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Probability Basics" sheetId="3" state="visible" r:id="rId3"/>
    <sheet xmlns:r="http://schemas.openxmlformats.org/officeDocument/2006/relationships" name="2 Conditional + Bayes" sheetId="4" state="visible" r:id="rId4"/>
    <sheet xmlns:r="http://schemas.openxmlformats.org/officeDocument/2006/relationships" name="3 Random Variables" sheetId="5" state="visible" r:id="rId5"/>
    <sheet xmlns:r="http://schemas.openxmlformats.org/officeDocument/2006/relationships" name="4 Joint Distributions" sheetId="6" state="visible" r:id="rId6"/>
    <sheet xmlns:r="http://schemas.openxmlformats.org/officeDocument/2006/relationships" name="5 Discrete Distributions" sheetId="7" state="visible" r:id="rId7"/>
    <sheet xmlns:r="http://schemas.openxmlformats.org/officeDocument/2006/relationships" name="6 Normal Distribution" sheetId="8" state="visible" r:id="rId8"/>
    <sheet xmlns:r="http://schemas.openxmlformats.org/officeDocument/2006/relationships" name="7 ANOVA" sheetId="9" state="visible" r:id="rId9"/>
    <sheet xmlns:r="http://schemas.openxmlformats.org/officeDocument/2006/relationships" name="8 Hypothesis Testing" sheetId="10" state="visible" r:id="rId10"/>
    <sheet xmlns:r="http://schemas.openxmlformats.org/officeDocument/2006/relationships" name="Outside Notes" sheetId="11" state="visible" r:id="rId11"/>
  </sheets>
  <definedNames>
    <definedName name="_xlnm._FilterDatabase" localSheetId="2" hidden="1">'1 Probability Basics'!$A$3:$Q$8</definedName>
    <definedName name="_xlnm._FilterDatabase" localSheetId="3" hidden="1">'2 Conditional + Bayes'!$A$3:$Q$10</definedName>
    <definedName name="_xlnm._FilterDatabase" localSheetId="4" hidden="1">'3 Random Variables'!$A$3:$Q$14</definedName>
    <definedName name="_xlnm._FilterDatabase" localSheetId="5" hidden="1">'4 Joint Distributions'!$A$3:$Q$7</definedName>
    <definedName name="_xlnm._FilterDatabase" localSheetId="6" hidden="1">'5 Discrete Distributions'!$A$3:$Q$19</definedName>
    <definedName name="_xlnm._FilterDatabase" localSheetId="7" hidden="1">'6 Normal Distribution'!$A$3:$Q$13</definedName>
    <definedName name="_xlnm._FilterDatabase" localSheetId="8" hidden="1">'7 ANOVA'!$A$3:$Q$7</definedName>
    <definedName name="_xlnm._FilterDatabase" localSheetId="9" hidden="1">'8 Hypothesis Testing'!$A$3:$Q$26</definedName>
    <definedName name="_xlnm._FilterDatabase" localSheetId="10" hidden="1">'Outside Notes'!$A$3:$J$4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/>
    </xf>
    <xf numFmtId="9" fontId="5" fillId="9" borderId="1" applyAlignment="1" pivotButton="0" quotePrefix="0" xfId="0">
      <alignment horizontal="center"/>
    </xf>
    <xf numFmtId="0" fontId="6" fillId="0" borderId="0" pivotButton="0" quotePrefix="0" xfId="0"/>
    <xf numFmtId="0" fontId="0" fillId="10" borderId="1" applyAlignment="1" pivotButton="0" quotePrefix="0" xfId="0">
      <alignment horizontal="center"/>
    </xf>
    <xf numFmtId="9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MATH 243 (KKS Sir — Probability &amp; ANOVA part) — TF Practice Tracker</t>
        </is>
      </c>
    </row>
    <row r="3">
      <c r="B3" s="2" t="inlineStr">
        <is>
          <t>Every KKS-part question in MATH 243 All Merged Questions.pdf (22 batch = MATH 243 (22 batch).pdf),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1–8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MATH 243 All Merged Questions.pdf (22 batch = MATH 243 (22 batch).pdf)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MATH 243 = current code; MATH 245 (2016-17 to 2021-22) and MATH 241 (2011-12 to 2015-16) = old Complex Variables &amp; Statistics papers — only their statistics/probability parts are listed.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  <row r="26">
      <c r="B26" s="5" t="inlineStr">
        <is>
          <t>Outside Notes tab</t>
        </is>
      </c>
      <c r="C26" s="6" t="inlineStr">
        <is>
          <t>KKS-section questions from older papers on topics not in the current slides. Check with your teacher before spending time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1–8.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Probability Basics</t>
        </is>
      </c>
      <c r="C5" s="8">
        <f>COUNTA('1 Probability Basics'!$E$4:$E$8)</f>
        <v/>
      </c>
      <c r="D5" s="8">
        <f>COUNTIF('1 Probability Basics'!$N$4:$N$8,TRUE())</f>
        <v/>
      </c>
      <c r="E5" s="10">
        <f>IF(C5=0,0,D5/C5)</f>
        <v/>
      </c>
      <c r="F5" s="8">
        <f>SUM('1 Probability Basics'!$H$4:$H$8)</f>
        <v/>
      </c>
      <c r="G5" s="8">
        <f>SUMIF('1 Probability Basics'!$N$4:$N$8,TRUE(),'1 Probability Basics'!$H$4:$H$8)</f>
        <v/>
      </c>
      <c r="H5" s="8">
        <f>COUNTIFS('1 Probability Basics'!$J$4:$J$8,"★★★ High",'1 Probability Basics'!$N$4:$N$8,FALSE())</f>
        <v/>
      </c>
      <c r="I5" s="8">
        <f>COUNTIF('1 Probability Basics'!$O$4:$O$8,"Weak")</f>
        <v/>
      </c>
      <c r="J5" s="9">
        <f>IFERROR("Q"&amp;INDEX('1 Probability Basics'!$A$4:$A$8,MATCH(FALSE(),'1 Probability Basics'!$N$4:$N$8,0))&amp;" · "&amp;INDEX('1 Probability Basics'!$B$4:$B$8,MATCH(FALSE(),'1 Probability Basics'!$N$4:$N$8,0))&amp;" "&amp;INDEX('1 Probability Basics'!$D$4:$D$8,MATCH(FALSE(),'1 Probability Basics'!$N$4:$N$8,0))&amp;" · TF p."&amp;INDEX('1 Probability Basics'!$I$4:$I$8,MATCH(FALSE(),'1 Probability Basics'!$N$4:$N$8,0)),"All done ✔")</f>
        <v/>
      </c>
    </row>
    <row r="6">
      <c r="A6" s="8" t="n">
        <v>2</v>
      </c>
      <c r="B6" s="9" t="inlineStr">
        <is>
          <t>2 Conditional + Bayes</t>
        </is>
      </c>
      <c r="C6" s="8">
        <f>COUNTA('2 Conditional + Bayes'!$E$4:$E$10)</f>
        <v/>
      </c>
      <c r="D6" s="8">
        <f>COUNTIF('2 Conditional + Bayes'!$N$4:$N$10,TRUE())</f>
        <v/>
      </c>
      <c r="E6" s="10">
        <f>IF(C6=0,0,D6/C6)</f>
        <v/>
      </c>
      <c r="F6" s="8">
        <f>SUM('2 Conditional + Bayes'!$H$4:$H$10)</f>
        <v/>
      </c>
      <c r="G6" s="8">
        <f>SUMIF('2 Conditional + Bayes'!$N$4:$N$10,TRUE(),'2 Conditional + Bayes'!$H$4:$H$10)</f>
        <v/>
      </c>
      <c r="H6" s="8">
        <f>COUNTIFS('2 Conditional + Bayes'!$J$4:$J$10,"★★★ High",'2 Conditional + Bayes'!$N$4:$N$10,FALSE())</f>
        <v/>
      </c>
      <c r="I6" s="8">
        <f>COUNTIF('2 Conditional + Bayes'!$O$4:$O$10,"Weak")</f>
        <v/>
      </c>
      <c r="J6" s="9">
        <f>IFERROR("Q"&amp;INDEX('2 Conditional + Bayes'!$A$4:$A$10,MATCH(FALSE(),'2 Conditional + Bayes'!$N$4:$N$10,0))&amp;" · "&amp;INDEX('2 Conditional + Bayes'!$B$4:$B$10,MATCH(FALSE(),'2 Conditional + Bayes'!$N$4:$N$10,0))&amp;" "&amp;INDEX('2 Conditional + Bayes'!$D$4:$D$10,MATCH(FALSE(),'2 Conditional + Bayes'!$N$4:$N$10,0))&amp;" · TF p."&amp;INDEX('2 Conditional + Bayes'!$I$4:$I$10,MATCH(FALSE(),'2 Conditional + Bayes'!$N$4:$N$10,0)),"All done ✔")</f>
        <v/>
      </c>
    </row>
    <row r="7">
      <c r="A7" s="8" t="n">
        <v>3</v>
      </c>
      <c r="B7" s="9" t="inlineStr">
        <is>
          <t>3 Random Variables</t>
        </is>
      </c>
      <c r="C7" s="8">
        <f>COUNTA('3 Random Variables'!$E$4:$E$14)</f>
        <v/>
      </c>
      <c r="D7" s="8">
        <f>COUNTIF('3 Random Variables'!$N$4:$N$14,TRUE())</f>
        <v/>
      </c>
      <c r="E7" s="10">
        <f>IF(C7=0,0,D7/C7)</f>
        <v/>
      </c>
      <c r="F7" s="8">
        <f>SUM('3 Random Variables'!$H$4:$H$14)</f>
        <v/>
      </c>
      <c r="G7" s="8">
        <f>SUMIF('3 Random Variables'!$N$4:$N$14,TRUE(),'3 Random Variables'!$H$4:$H$14)</f>
        <v/>
      </c>
      <c r="H7" s="8">
        <f>COUNTIFS('3 Random Variables'!$J$4:$J$14,"★★★ High",'3 Random Variables'!$N$4:$N$14,FALSE())</f>
        <v/>
      </c>
      <c r="I7" s="8">
        <f>COUNTIF('3 Random Variables'!$O$4:$O$14,"Weak")</f>
        <v/>
      </c>
      <c r="J7" s="9">
        <f>IFERROR("Q"&amp;INDEX('3 Random Variables'!$A$4:$A$14,MATCH(FALSE(),'3 Random Variables'!$N$4:$N$14,0))&amp;" · "&amp;INDEX('3 Random Variables'!$B$4:$B$14,MATCH(FALSE(),'3 Random Variables'!$N$4:$N$14,0))&amp;" "&amp;INDEX('3 Random Variables'!$D$4:$D$14,MATCH(FALSE(),'3 Random Variables'!$N$4:$N$14,0))&amp;" · TF p."&amp;INDEX('3 Random Variables'!$I$4:$I$14,MATCH(FALSE(),'3 Random Variables'!$N$4:$N$14,0)),"All done ✔")</f>
        <v/>
      </c>
    </row>
    <row r="8">
      <c r="A8" s="8" t="n">
        <v>4</v>
      </c>
      <c r="B8" s="9" t="inlineStr">
        <is>
          <t>4 Joint Distributions</t>
        </is>
      </c>
      <c r="C8" s="8">
        <f>COUNTA('4 Joint Distributions'!$E$4:$E$7)</f>
        <v/>
      </c>
      <c r="D8" s="8">
        <f>COUNTIF('4 Joint Distributions'!$N$4:$N$7,TRUE())</f>
        <v/>
      </c>
      <c r="E8" s="10">
        <f>IF(C8=0,0,D8/C8)</f>
        <v/>
      </c>
      <c r="F8" s="8">
        <f>SUM('4 Joint Distributions'!$H$4:$H$7)</f>
        <v/>
      </c>
      <c r="G8" s="8">
        <f>SUMIF('4 Joint Distributions'!$N$4:$N$7,TRUE(),'4 Joint Distributions'!$H$4:$H$7)</f>
        <v/>
      </c>
      <c r="H8" s="8">
        <f>COUNTIFS('4 Joint Distributions'!$J$4:$J$7,"★★★ High",'4 Joint Distributions'!$N$4:$N$7,FALSE())</f>
        <v/>
      </c>
      <c r="I8" s="8">
        <f>COUNTIF('4 Joint Distributions'!$O$4:$O$7,"Weak")</f>
        <v/>
      </c>
      <c r="J8" s="9">
        <f>IFERROR("Q"&amp;INDEX('4 Joint Distributions'!$A$4:$A$7,MATCH(FALSE(),'4 Joint Distributions'!$N$4:$N$7,0))&amp;" · "&amp;INDEX('4 Joint Distributions'!$B$4:$B$7,MATCH(FALSE(),'4 Joint Distributions'!$N$4:$N$7,0))&amp;" "&amp;INDEX('4 Joint Distributions'!$D$4:$D$7,MATCH(FALSE(),'4 Joint Distributions'!$N$4:$N$7,0))&amp;" · TF p."&amp;INDEX('4 Joint Distributions'!$I$4:$I$7,MATCH(FALSE(),'4 Joint Distributions'!$N$4:$N$7,0)),"All done ✔")</f>
        <v/>
      </c>
    </row>
    <row r="9">
      <c r="A9" s="8" t="n">
        <v>5</v>
      </c>
      <c r="B9" s="9" t="inlineStr">
        <is>
          <t>5 Discrete Distributions</t>
        </is>
      </c>
      <c r="C9" s="8">
        <f>COUNTA('5 Discrete Distributions'!$E$4:$E$19)</f>
        <v/>
      </c>
      <c r="D9" s="8">
        <f>COUNTIF('5 Discrete Distributions'!$N$4:$N$19,TRUE())</f>
        <v/>
      </c>
      <c r="E9" s="10">
        <f>IF(C9=0,0,D9/C9)</f>
        <v/>
      </c>
      <c r="F9" s="8">
        <f>SUM('5 Discrete Distributions'!$H$4:$H$19)</f>
        <v/>
      </c>
      <c r="G9" s="8">
        <f>SUMIF('5 Discrete Distributions'!$N$4:$N$19,TRUE(),'5 Discrete Distributions'!$H$4:$H$19)</f>
        <v/>
      </c>
      <c r="H9" s="8">
        <f>COUNTIFS('5 Discrete Distributions'!$J$4:$J$19,"★★★ High",'5 Discrete Distributions'!$N$4:$N$19,FALSE())</f>
        <v/>
      </c>
      <c r="I9" s="8">
        <f>COUNTIF('5 Discrete Distributions'!$O$4:$O$19,"Weak")</f>
        <v/>
      </c>
      <c r="J9" s="9">
        <f>IFERROR("Q"&amp;INDEX('5 Discrete Distributions'!$A$4:$A$19,MATCH(FALSE(),'5 Discrete Distributions'!$N$4:$N$19,0))&amp;" · "&amp;INDEX('5 Discrete Distributions'!$B$4:$B$19,MATCH(FALSE(),'5 Discrete Distributions'!$N$4:$N$19,0))&amp;" "&amp;INDEX('5 Discrete Distributions'!$D$4:$D$19,MATCH(FALSE(),'5 Discrete Distributions'!$N$4:$N$19,0))&amp;" · TF p."&amp;INDEX('5 Discrete Distributions'!$I$4:$I$19,MATCH(FALSE(),'5 Discrete Distributions'!$N$4:$N$19,0)),"All done ✔")</f>
        <v/>
      </c>
    </row>
    <row r="10">
      <c r="A10" s="8" t="n">
        <v>6</v>
      </c>
      <c r="B10" s="9" t="inlineStr">
        <is>
          <t>6 Normal Distribution</t>
        </is>
      </c>
      <c r="C10" s="8">
        <f>COUNTA('6 Normal Distribution'!$E$4:$E$13)</f>
        <v/>
      </c>
      <c r="D10" s="8">
        <f>COUNTIF('6 Normal Distribution'!$N$4:$N$13,TRUE())</f>
        <v/>
      </c>
      <c r="E10" s="10">
        <f>IF(C10=0,0,D10/C10)</f>
        <v/>
      </c>
      <c r="F10" s="8">
        <f>SUM('6 Normal Distribution'!$H$4:$H$13)</f>
        <v/>
      </c>
      <c r="G10" s="8">
        <f>SUMIF('6 Normal Distribution'!$N$4:$N$13,TRUE(),'6 Normal Distribution'!$H$4:$H$13)</f>
        <v/>
      </c>
      <c r="H10" s="8">
        <f>COUNTIFS('6 Normal Distribution'!$J$4:$J$13,"★★★ High",'6 Normal Distribution'!$N$4:$N$13,FALSE())</f>
        <v/>
      </c>
      <c r="I10" s="8">
        <f>COUNTIF('6 Normal Distribution'!$O$4:$O$13,"Weak")</f>
        <v/>
      </c>
      <c r="J10" s="9">
        <f>IFERROR("Q"&amp;INDEX('6 Normal Distribution'!$A$4:$A$13,MATCH(FALSE(),'6 Normal Distribution'!$N$4:$N$13,0))&amp;" · "&amp;INDEX('6 Normal Distribution'!$B$4:$B$13,MATCH(FALSE(),'6 Normal Distribution'!$N$4:$N$13,0))&amp;" "&amp;INDEX('6 Normal Distribution'!$D$4:$D$13,MATCH(FALSE(),'6 Normal Distribution'!$N$4:$N$13,0))&amp;" · TF p."&amp;INDEX('6 Normal Distribution'!$I$4:$I$13,MATCH(FALSE(),'6 Normal Distribution'!$N$4:$N$13,0)),"All done ✔")</f>
        <v/>
      </c>
    </row>
    <row r="11">
      <c r="A11" s="8" t="n">
        <v>7</v>
      </c>
      <c r="B11" s="9" t="inlineStr">
        <is>
          <t>7 ANOVA</t>
        </is>
      </c>
      <c r="C11" s="8">
        <f>COUNTA('7 ANOVA'!$E$4:$E$7)</f>
        <v/>
      </c>
      <c r="D11" s="8">
        <f>COUNTIF('7 ANOVA'!$N$4:$N$7,TRUE())</f>
        <v/>
      </c>
      <c r="E11" s="10">
        <f>IF(C11=0,0,D11/C11)</f>
        <v/>
      </c>
      <c r="F11" s="8">
        <f>SUM('7 ANOVA'!$H$4:$H$7)</f>
        <v/>
      </c>
      <c r="G11" s="8">
        <f>SUMIF('7 ANOVA'!$N$4:$N$7,TRUE(),'7 ANOVA'!$H$4:$H$7)</f>
        <v/>
      </c>
      <c r="H11" s="8">
        <f>COUNTIFS('7 ANOVA'!$J$4:$J$7,"★★★ High",'7 ANOVA'!$N$4:$N$7,FALSE())</f>
        <v/>
      </c>
      <c r="I11" s="8">
        <f>COUNTIF('7 ANOVA'!$O$4:$O$7,"Weak")</f>
        <v/>
      </c>
      <c r="J11" s="9">
        <f>IFERROR("Q"&amp;INDEX('7 ANOVA'!$A$4:$A$7,MATCH(FALSE(),'7 ANOVA'!$N$4:$N$7,0))&amp;" · "&amp;INDEX('7 ANOVA'!$B$4:$B$7,MATCH(FALSE(),'7 ANOVA'!$N$4:$N$7,0))&amp;" "&amp;INDEX('7 ANOVA'!$D$4:$D$7,MATCH(FALSE(),'7 ANOVA'!$N$4:$N$7,0))&amp;" · TF p."&amp;INDEX('7 ANOVA'!$I$4:$I$7,MATCH(FALSE(),'7 ANOVA'!$N$4:$N$7,0)),"All done ✔")</f>
        <v/>
      </c>
    </row>
    <row r="12">
      <c r="A12" s="8" t="n">
        <v>8</v>
      </c>
      <c r="B12" s="9" t="inlineStr">
        <is>
          <t>8 Hypothesis Testing</t>
        </is>
      </c>
      <c r="C12" s="8">
        <f>COUNTA('8 Hypothesis Testing'!$E$4:$E$26)</f>
        <v/>
      </c>
      <c r="D12" s="8">
        <f>COUNTIF('8 Hypothesis Testing'!$N$4:$N$26,TRUE())</f>
        <v/>
      </c>
      <c r="E12" s="10">
        <f>IF(C12=0,0,D12/C12)</f>
        <v/>
      </c>
      <c r="F12" s="8">
        <f>SUM('8 Hypothesis Testing'!$H$4:$H$26)</f>
        <v/>
      </c>
      <c r="G12" s="8">
        <f>SUMIF('8 Hypothesis Testing'!$N$4:$N$26,TRUE(),'8 Hypothesis Testing'!$H$4:$H$26)</f>
        <v/>
      </c>
      <c r="H12" s="8">
        <f>COUNTIFS('8 Hypothesis Testing'!$J$4:$J$26,"★★★ High",'8 Hypothesis Testing'!$N$4:$N$26,FALSE())</f>
        <v/>
      </c>
      <c r="I12" s="8">
        <f>COUNTIF('8 Hypothesis Testing'!$O$4:$O$26,"Weak")</f>
        <v/>
      </c>
      <c r="J12" s="9">
        <f>IFERROR("Q"&amp;INDEX('8 Hypothesis Testing'!$A$4:$A$26,MATCH(FALSE(),'8 Hypothesis Testing'!$N$4:$N$26,0))&amp;" · "&amp;INDEX('8 Hypothesis Testing'!$B$4:$B$26,MATCH(FALSE(),'8 Hypothesis Testing'!$N$4:$N$26,0))&amp;" "&amp;INDEX('8 Hypothesis Testing'!$D$4:$D$26,MATCH(FALSE(),'8 Hypothesis Testing'!$N$4:$N$26,0))&amp;" · TF p."&amp;INDEX('8 Hypothesis Testing'!$I$4:$I$26,MATCH(FALSE(),'8 Hypothesis Testing'!$N$4:$N$26,0)),"All done ✔")</f>
        <v/>
      </c>
    </row>
    <row r="13">
      <c r="B13" s="11" t="inlineStr">
        <is>
          <t>TOTAL</t>
        </is>
      </c>
      <c r="C13" s="11">
        <f>SUM(C5:C12)</f>
        <v/>
      </c>
      <c r="D13" s="11">
        <f>SUM(D5:D12)</f>
        <v/>
      </c>
      <c r="E13" s="12">
        <f>IF(C13=0,0,D13/C13)</f>
        <v/>
      </c>
      <c r="F13" s="11">
        <f>SUM(F5:F12)</f>
        <v/>
      </c>
      <c r="G13" s="11">
        <f>SUM(G5:G12)</f>
        <v/>
      </c>
      <c r="H13" s="11">
        <f>SUM(H5:H12)</f>
        <v/>
      </c>
      <c r="I13" s="11">
        <f>SUM(I5:I12)</f>
        <v/>
      </c>
    </row>
    <row r="15">
      <c r="A15" s="13" t="inlineStr">
        <is>
          <t>Questions by year (tabs 1–8)</t>
        </is>
      </c>
    </row>
    <row r="16">
      <c r="A16" s="7" t="inlineStr">
        <is>
          <t>#</t>
        </is>
      </c>
      <c r="B16" s="7" t="inlineStr">
        <is>
          <t>Year</t>
        </is>
      </c>
      <c r="C16" s="7" t="inlineStr">
        <is>
          <t>Questions</t>
        </is>
      </c>
      <c r="D16" s="7" t="inlineStr">
        <is>
          <t>Done</t>
        </is>
      </c>
      <c r="E16" s="7" t="inlineStr">
        <is>
          <t>% Done</t>
        </is>
      </c>
      <c r="F16" s="7" t="inlineStr">
        <is>
          <t>Marks (total)</t>
        </is>
      </c>
    </row>
    <row r="17">
      <c r="A17" s="14" t="n">
        <v>1</v>
      </c>
      <c r="B17" s="14" t="inlineStr">
        <is>
          <t>2023-24</t>
        </is>
      </c>
      <c r="C17" s="14">
        <f>COUNTIF('1 Probability Basics'!$B$4:$B$8,$B17)+COUNTIF('2 Conditional + Bayes'!$B$4:$B$10,$B17)+COUNTIF('3 Random Variables'!$B$4:$B$14,$B17)+COUNTIF('4 Joint Distributions'!$B$4:$B$7,$B17)+COUNTIF('5 Discrete Distributions'!$B$4:$B$19,$B17)+COUNTIF('6 Normal Distribution'!$B$4:$B$13,$B17)+COUNTIF('7 ANOVA'!$B$4:$B$7,$B17)+COUNTIF('8 Hypothesis Testing'!$B$4:$B$26,$B17)</f>
        <v/>
      </c>
      <c r="D17" s="14">
        <f>COUNTIFS('1 Probability Basics'!$B$4:$B$8,$B17,'1 Probability Basics'!$N$4:$N$8,TRUE())+COUNTIFS('2 Conditional + Bayes'!$B$4:$B$10,$B17,'2 Conditional + Bayes'!$N$4:$N$10,TRUE())+COUNTIFS('3 Random Variables'!$B$4:$B$14,$B17,'3 Random Variables'!$N$4:$N$14,TRUE())+COUNTIFS('4 Joint Distributions'!$B$4:$B$7,$B17,'4 Joint Distributions'!$N$4:$N$7,TRUE())+COUNTIFS('5 Discrete Distributions'!$B$4:$B$19,$B17,'5 Discrete Distributions'!$N$4:$N$19,TRUE())+COUNTIFS('6 Normal Distribution'!$B$4:$B$13,$B17,'6 Normal Distribution'!$N$4:$N$13,TRUE())+COUNTIFS('7 ANOVA'!$B$4:$B$7,$B17,'7 ANOVA'!$N$4:$N$7,TRUE())+COUNTIFS('8 Hypothesis Testing'!$B$4:$B$26,$B17,'8 Hypothesis Testing'!$N$4:$N$26,TRUE())</f>
        <v/>
      </c>
      <c r="E17" s="15">
        <f>IF(C17=0,0,D17/C17)</f>
        <v/>
      </c>
      <c r="F17" s="14">
        <f>SUMIF('1 Probability Basics'!$B$4:$B$8,$B17,'1 Probability Basics'!$H$4:$H$8)+SUMIF('2 Conditional + Bayes'!$B$4:$B$10,$B17,'2 Conditional + Bayes'!$H$4:$H$10)+SUMIF('3 Random Variables'!$B$4:$B$14,$B17,'3 Random Variables'!$H$4:$H$14)+SUMIF('4 Joint Distributions'!$B$4:$B$7,$B17,'4 Joint Distributions'!$H$4:$H$7)+SUMIF('5 Discrete Distributions'!$B$4:$B$19,$B17,'5 Discrete Distributions'!$H$4:$H$19)+SUMIF('6 Normal Distribution'!$B$4:$B$13,$B17,'6 Normal Distribution'!$H$4:$H$13)+SUMIF('7 ANOVA'!$B$4:$B$7,$B17,'7 ANOVA'!$H$4:$H$7)+SUMIF('8 Hypothesis Testing'!$B$4:$B$26,$B17,'8 Hypothesis Testing'!$H$4:$H$26)</f>
        <v/>
      </c>
    </row>
    <row r="18">
      <c r="A18" s="14" t="n">
        <v>2</v>
      </c>
      <c r="B18" s="14" t="inlineStr">
        <is>
          <t>2022-23</t>
        </is>
      </c>
      <c r="C18" s="14">
        <f>COUNTIF('1 Probability Basics'!$B$4:$B$8,$B18)+COUNTIF('2 Conditional + Bayes'!$B$4:$B$10,$B18)+COUNTIF('3 Random Variables'!$B$4:$B$14,$B18)+COUNTIF('4 Joint Distributions'!$B$4:$B$7,$B18)+COUNTIF('5 Discrete Distributions'!$B$4:$B$19,$B18)+COUNTIF('6 Normal Distribution'!$B$4:$B$13,$B18)+COUNTIF('7 ANOVA'!$B$4:$B$7,$B18)+COUNTIF('8 Hypothesis Testing'!$B$4:$B$26,$B18)</f>
        <v/>
      </c>
      <c r="D18" s="14">
        <f>COUNTIFS('1 Probability Basics'!$B$4:$B$8,$B18,'1 Probability Basics'!$N$4:$N$8,TRUE())+COUNTIFS('2 Conditional + Bayes'!$B$4:$B$10,$B18,'2 Conditional + Bayes'!$N$4:$N$10,TRUE())+COUNTIFS('3 Random Variables'!$B$4:$B$14,$B18,'3 Random Variables'!$N$4:$N$14,TRUE())+COUNTIFS('4 Joint Distributions'!$B$4:$B$7,$B18,'4 Joint Distributions'!$N$4:$N$7,TRUE())+COUNTIFS('5 Discrete Distributions'!$B$4:$B$19,$B18,'5 Discrete Distributions'!$N$4:$N$19,TRUE())+COUNTIFS('6 Normal Distribution'!$B$4:$B$13,$B18,'6 Normal Distribution'!$N$4:$N$13,TRUE())+COUNTIFS('7 ANOVA'!$B$4:$B$7,$B18,'7 ANOVA'!$N$4:$N$7,TRUE())+COUNTIFS('8 Hypothesis Testing'!$B$4:$B$26,$B18,'8 Hypothesis Testing'!$N$4:$N$26,TRUE())</f>
        <v/>
      </c>
      <c r="E18" s="15">
        <f>IF(C18=0,0,D18/C18)</f>
        <v/>
      </c>
      <c r="F18" s="14">
        <f>SUMIF('1 Probability Basics'!$B$4:$B$8,$B18,'1 Probability Basics'!$H$4:$H$8)+SUMIF('2 Conditional + Bayes'!$B$4:$B$10,$B18,'2 Conditional + Bayes'!$H$4:$H$10)+SUMIF('3 Random Variables'!$B$4:$B$14,$B18,'3 Random Variables'!$H$4:$H$14)+SUMIF('4 Joint Distributions'!$B$4:$B$7,$B18,'4 Joint Distributions'!$H$4:$H$7)+SUMIF('5 Discrete Distributions'!$B$4:$B$19,$B18,'5 Discrete Distributions'!$H$4:$H$19)+SUMIF('6 Normal Distribution'!$B$4:$B$13,$B18,'6 Normal Distribution'!$H$4:$H$13)+SUMIF('7 ANOVA'!$B$4:$B$7,$B18,'7 ANOVA'!$H$4:$H$7)+SUMIF('8 Hypothesis Testing'!$B$4:$B$26,$B18,'8 Hypothesis Testing'!$H$4:$H$26)</f>
        <v/>
      </c>
    </row>
    <row r="19">
      <c r="A19" s="14" t="n">
        <v>3</v>
      </c>
      <c r="B19" s="14" t="inlineStr">
        <is>
          <t>2021-22</t>
        </is>
      </c>
      <c r="C19" s="14">
        <f>COUNTIF('1 Probability Basics'!$B$4:$B$8,$B19)+COUNTIF('2 Conditional + Bayes'!$B$4:$B$10,$B19)+COUNTIF('3 Random Variables'!$B$4:$B$14,$B19)+COUNTIF('4 Joint Distributions'!$B$4:$B$7,$B19)+COUNTIF('5 Discrete Distributions'!$B$4:$B$19,$B19)+COUNTIF('6 Normal Distribution'!$B$4:$B$13,$B19)+COUNTIF('7 ANOVA'!$B$4:$B$7,$B19)+COUNTIF('8 Hypothesis Testing'!$B$4:$B$26,$B19)</f>
        <v/>
      </c>
      <c r="D19" s="14">
        <f>COUNTIFS('1 Probability Basics'!$B$4:$B$8,$B19,'1 Probability Basics'!$N$4:$N$8,TRUE())+COUNTIFS('2 Conditional + Bayes'!$B$4:$B$10,$B19,'2 Conditional + Bayes'!$N$4:$N$10,TRUE())+COUNTIFS('3 Random Variables'!$B$4:$B$14,$B19,'3 Random Variables'!$N$4:$N$14,TRUE())+COUNTIFS('4 Joint Distributions'!$B$4:$B$7,$B19,'4 Joint Distributions'!$N$4:$N$7,TRUE())+COUNTIFS('5 Discrete Distributions'!$B$4:$B$19,$B19,'5 Discrete Distributions'!$N$4:$N$19,TRUE())+COUNTIFS('6 Normal Distribution'!$B$4:$B$13,$B19,'6 Normal Distribution'!$N$4:$N$13,TRUE())+COUNTIFS('7 ANOVA'!$B$4:$B$7,$B19,'7 ANOVA'!$N$4:$N$7,TRUE())+COUNTIFS('8 Hypothesis Testing'!$B$4:$B$26,$B19,'8 Hypothesis Testing'!$N$4:$N$26,TRUE())</f>
        <v/>
      </c>
      <c r="E19" s="15">
        <f>IF(C19=0,0,D19/C19)</f>
        <v/>
      </c>
      <c r="F19" s="14">
        <f>SUMIF('1 Probability Basics'!$B$4:$B$8,$B19,'1 Probability Basics'!$H$4:$H$8)+SUMIF('2 Conditional + Bayes'!$B$4:$B$10,$B19,'2 Conditional + Bayes'!$H$4:$H$10)+SUMIF('3 Random Variables'!$B$4:$B$14,$B19,'3 Random Variables'!$H$4:$H$14)+SUMIF('4 Joint Distributions'!$B$4:$B$7,$B19,'4 Joint Distributions'!$H$4:$H$7)+SUMIF('5 Discrete Distributions'!$B$4:$B$19,$B19,'5 Discrete Distributions'!$H$4:$H$19)+SUMIF('6 Normal Distribution'!$B$4:$B$13,$B19,'6 Normal Distribution'!$H$4:$H$13)+SUMIF('7 ANOVA'!$B$4:$B$7,$B19,'7 ANOVA'!$H$4:$H$7)+SUMIF('8 Hypothesis Testing'!$B$4:$B$26,$B19,'8 Hypothesis Testing'!$H$4:$H$26)</f>
        <v/>
      </c>
    </row>
    <row r="20">
      <c r="A20" s="14" t="n">
        <v>4</v>
      </c>
      <c r="B20" s="14" t="inlineStr">
        <is>
          <t>2020-21</t>
        </is>
      </c>
      <c r="C20" s="14">
        <f>COUNTIF('1 Probability Basics'!$B$4:$B$8,$B20)+COUNTIF('2 Conditional + Bayes'!$B$4:$B$10,$B20)+COUNTIF('3 Random Variables'!$B$4:$B$14,$B20)+COUNTIF('4 Joint Distributions'!$B$4:$B$7,$B20)+COUNTIF('5 Discrete Distributions'!$B$4:$B$19,$B20)+COUNTIF('6 Normal Distribution'!$B$4:$B$13,$B20)+COUNTIF('7 ANOVA'!$B$4:$B$7,$B20)+COUNTIF('8 Hypothesis Testing'!$B$4:$B$26,$B20)</f>
        <v/>
      </c>
      <c r="D20" s="14">
        <f>COUNTIFS('1 Probability Basics'!$B$4:$B$8,$B20,'1 Probability Basics'!$N$4:$N$8,TRUE())+COUNTIFS('2 Conditional + Bayes'!$B$4:$B$10,$B20,'2 Conditional + Bayes'!$N$4:$N$10,TRUE())+COUNTIFS('3 Random Variables'!$B$4:$B$14,$B20,'3 Random Variables'!$N$4:$N$14,TRUE())+COUNTIFS('4 Joint Distributions'!$B$4:$B$7,$B20,'4 Joint Distributions'!$N$4:$N$7,TRUE())+COUNTIFS('5 Discrete Distributions'!$B$4:$B$19,$B20,'5 Discrete Distributions'!$N$4:$N$19,TRUE())+COUNTIFS('6 Normal Distribution'!$B$4:$B$13,$B20,'6 Normal Distribution'!$N$4:$N$13,TRUE())+COUNTIFS('7 ANOVA'!$B$4:$B$7,$B20,'7 ANOVA'!$N$4:$N$7,TRUE())+COUNTIFS('8 Hypothesis Testing'!$B$4:$B$26,$B20,'8 Hypothesis Testing'!$N$4:$N$26,TRUE())</f>
        <v/>
      </c>
      <c r="E20" s="15">
        <f>IF(C20=0,0,D20/C20)</f>
        <v/>
      </c>
      <c r="F20" s="14">
        <f>SUMIF('1 Probability Basics'!$B$4:$B$8,$B20,'1 Probability Basics'!$H$4:$H$8)+SUMIF('2 Conditional + Bayes'!$B$4:$B$10,$B20,'2 Conditional + Bayes'!$H$4:$H$10)+SUMIF('3 Random Variables'!$B$4:$B$14,$B20,'3 Random Variables'!$H$4:$H$14)+SUMIF('4 Joint Distributions'!$B$4:$B$7,$B20,'4 Joint Distributions'!$H$4:$H$7)+SUMIF('5 Discrete Distributions'!$B$4:$B$19,$B20,'5 Discrete Distributions'!$H$4:$H$19)+SUMIF('6 Normal Distribution'!$B$4:$B$13,$B20,'6 Normal Distribution'!$H$4:$H$13)+SUMIF('7 ANOVA'!$B$4:$B$7,$B20,'7 ANOVA'!$H$4:$H$7)+SUMIF('8 Hypothesis Testing'!$B$4:$B$26,$B20,'8 Hypothesis Testing'!$H$4:$H$26)</f>
        <v/>
      </c>
    </row>
    <row r="21">
      <c r="A21" s="14" t="n">
        <v>5</v>
      </c>
      <c r="B21" s="14" t="inlineStr">
        <is>
          <t>2019-20</t>
        </is>
      </c>
      <c r="C21" s="14">
        <f>COUNTIF('1 Probability Basics'!$B$4:$B$8,$B21)+COUNTIF('2 Conditional + Bayes'!$B$4:$B$10,$B21)+COUNTIF('3 Random Variables'!$B$4:$B$14,$B21)+COUNTIF('4 Joint Distributions'!$B$4:$B$7,$B21)+COUNTIF('5 Discrete Distributions'!$B$4:$B$19,$B21)+COUNTIF('6 Normal Distribution'!$B$4:$B$13,$B21)+COUNTIF('7 ANOVA'!$B$4:$B$7,$B21)+COUNTIF('8 Hypothesis Testing'!$B$4:$B$26,$B21)</f>
        <v/>
      </c>
      <c r="D21" s="14">
        <f>COUNTIFS('1 Probability Basics'!$B$4:$B$8,$B21,'1 Probability Basics'!$N$4:$N$8,TRUE())+COUNTIFS('2 Conditional + Bayes'!$B$4:$B$10,$B21,'2 Conditional + Bayes'!$N$4:$N$10,TRUE())+COUNTIFS('3 Random Variables'!$B$4:$B$14,$B21,'3 Random Variables'!$N$4:$N$14,TRUE())+COUNTIFS('4 Joint Distributions'!$B$4:$B$7,$B21,'4 Joint Distributions'!$N$4:$N$7,TRUE())+COUNTIFS('5 Discrete Distributions'!$B$4:$B$19,$B21,'5 Discrete Distributions'!$N$4:$N$19,TRUE())+COUNTIFS('6 Normal Distribution'!$B$4:$B$13,$B21,'6 Normal Distribution'!$N$4:$N$13,TRUE())+COUNTIFS('7 ANOVA'!$B$4:$B$7,$B21,'7 ANOVA'!$N$4:$N$7,TRUE())+COUNTIFS('8 Hypothesis Testing'!$B$4:$B$26,$B21,'8 Hypothesis Testing'!$N$4:$N$26,TRUE())</f>
        <v/>
      </c>
      <c r="E21" s="15">
        <f>IF(C21=0,0,D21/C21)</f>
        <v/>
      </c>
      <c r="F21" s="14">
        <f>SUMIF('1 Probability Basics'!$B$4:$B$8,$B21,'1 Probability Basics'!$H$4:$H$8)+SUMIF('2 Conditional + Bayes'!$B$4:$B$10,$B21,'2 Conditional + Bayes'!$H$4:$H$10)+SUMIF('3 Random Variables'!$B$4:$B$14,$B21,'3 Random Variables'!$H$4:$H$14)+SUMIF('4 Joint Distributions'!$B$4:$B$7,$B21,'4 Joint Distributions'!$H$4:$H$7)+SUMIF('5 Discrete Distributions'!$B$4:$B$19,$B21,'5 Discrete Distributions'!$H$4:$H$19)+SUMIF('6 Normal Distribution'!$B$4:$B$13,$B21,'6 Normal Distribution'!$H$4:$H$13)+SUMIF('7 ANOVA'!$B$4:$B$7,$B21,'7 ANOVA'!$H$4:$H$7)+SUMIF('8 Hypothesis Testing'!$B$4:$B$26,$B21,'8 Hypothesis Testing'!$H$4:$H$26)</f>
        <v/>
      </c>
    </row>
    <row r="22">
      <c r="A22" s="16" t="n">
        <v>6</v>
      </c>
      <c r="B22" s="16" t="inlineStr">
        <is>
          <t>2018-19</t>
        </is>
      </c>
      <c r="C22" s="16">
        <f>COUNTIF('1 Probability Basics'!$B$4:$B$8,$B22)+COUNTIF('2 Conditional + Bayes'!$B$4:$B$10,$B22)+COUNTIF('3 Random Variables'!$B$4:$B$14,$B22)+COUNTIF('4 Joint Distributions'!$B$4:$B$7,$B22)+COUNTIF('5 Discrete Distributions'!$B$4:$B$19,$B22)+COUNTIF('6 Normal Distribution'!$B$4:$B$13,$B22)+COUNTIF('7 ANOVA'!$B$4:$B$7,$B22)+COUNTIF('8 Hypothesis Testing'!$B$4:$B$26,$B22)</f>
        <v/>
      </c>
      <c r="D22" s="16">
        <f>COUNTIFS('1 Probability Basics'!$B$4:$B$8,$B22,'1 Probability Basics'!$N$4:$N$8,TRUE())+COUNTIFS('2 Conditional + Bayes'!$B$4:$B$10,$B22,'2 Conditional + Bayes'!$N$4:$N$10,TRUE())+COUNTIFS('3 Random Variables'!$B$4:$B$14,$B22,'3 Random Variables'!$N$4:$N$14,TRUE())+COUNTIFS('4 Joint Distributions'!$B$4:$B$7,$B22,'4 Joint Distributions'!$N$4:$N$7,TRUE())+COUNTIFS('5 Discrete Distributions'!$B$4:$B$19,$B22,'5 Discrete Distributions'!$N$4:$N$19,TRUE())+COUNTIFS('6 Normal Distribution'!$B$4:$B$13,$B22,'6 Normal Distribution'!$N$4:$N$13,TRUE())+COUNTIFS('7 ANOVA'!$B$4:$B$7,$B22,'7 ANOVA'!$N$4:$N$7,TRUE())+COUNTIFS('8 Hypothesis Testing'!$B$4:$B$26,$B22,'8 Hypothesis Testing'!$N$4:$N$26,TRUE())</f>
        <v/>
      </c>
      <c r="E22" s="17">
        <f>IF(C22=0,0,D22/C22)</f>
        <v/>
      </c>
      <c r="F22" s="16">
        <f>SUMIF('1 Probability Basics'!$B$4:$B$8,$B22,'1 Probability Basics'!$H$4:$H$8)+SUMIF('2 Conditional + Bayes'!$B$4:$B$10,$B22,'2 Conditional + Bayes'!$H$4:$H$10)+SUMIF('3 Random Variables'!$B$4:$B$14,$B22,'3 Random Variables'!$H$4:$H$14)+SUMIF('4 Joint Distributions'!$B$4:$B$7,$B22,'4 Joint Distributions'!$H$4:$H$7)+SUMIF('5 Discrete Distributions'!$B$4:$B$19,$B22,'5 Discrete Distributions'!$H$4:$H$19)+SUMIF('6 Normal Distribution'!$B$4:$B$13,$B22,'6 Normal Distribution'!$H$4:$H$13)+SUMIF('7 ANOVA'!$B$4:$B$7,$B22,'7 ANOVA'!$H$4:$H$7)+SUMIF('8 Hypothesis Testing'!$B$4:$B$26,$B22,'8 Hypothesis Testing'!$H$4:$H$26)</f>
        <v/>
      </c>
    </row>
    <row r="23">
      <c r="A23" s="16" t="n">
        <v>7</v>
      </c>
      <c r="B23" s="16" t="inlineStr">
        <is>
          <t>2016-17</t>
        </is>
      </c>
      <c r="C23" s="16">
        <f>COUNTIF('1 Probability Basics'!$B$4:$B$8,$B23)+COUNTIF('2 Conditional + Bayes'!$B$4:$B$10,$B23)+COUNTIF('3 Random Variables'!$B$4:$B$14,$B23)+COUNTIF('4 Joint Distributions'!$B$4:$B$7,$B23)+COUNTIF('5 Discrete Distributions'!$B$4:$B$19,$B23)+COUNTIF('6 Normal Distribution'!$B$4:$B$13,$B23)+COUNTIF('7 ANOVA'!$B$4:$B$7,$B23)+COUNTIF('8 Hypothesis Testing'!$B$4:$B$26,$B23)</f>
        <v/>
      </c>
      <c r="D23" s="16">
        <f>COUNTIFS('1 Probability Basics'!$B$4:$B$8,$B23,'1 Probability Basics'!$N$4:$N$8,TRUE())+COUNTIFS('2 Conditional + Bayes'!$B$4:$B$10,$B23,'2 Conditional + Bayes'!$N$4:$N$10,TRUE())+COUNTIFS('3 Random Variables'!$B$4:$B$14,$B23,'3 Random Variables'!$N$4:$N$14,TRUE())+COUNTIFS('4 Joint Distributions'!$B$4:$B$7,$B23,'4 Joint Distributions'!$N$4:$N$7,TRUE())+COUNTIFS('5 Discrete Distributions'!$B$4:$B$19,$B23,'5 Discrete Distributions'!$N$4:$N$19,TRUE())+COUNTIFS('6 Normal Distribution'!$B$4:$B$13,$B23,'6 Normal Distribution'!$N$4:$N$13,TRUE())+COUNTIFS('7 ANOVA'!$B$4:$B$7,$B23,'7 ANOVA'!$N$4:$N$7,TRUE())+COUNTIFS('8 Hypothesis Testing'!$B$4:$B$26,$B23,'8 Hypothesis Testing'!$N$4:$N$26,TRUE())</f>
        <v/>
      </c>
      <c r="E23" s="17">
        <f>IF(C23=0,0,D23/C23)</f>
        <v/>
      </c>
      <c r="F23" s="16">
        <f>SUMIF('1 Probability Basics'!$B$4:$B$8,$B23,'1 Probability Basics'!$H$4:$H$8)+SUMIF('2 Conditional + Bayes'!$B$4:$B$10,$B23,'2 Conditional + Bayes'!$H$4:$H$10)+SUMIF('3 Random Variables'!$B$4:$B$14,$B23,'3 Random Variables'!$H$4:$H$14)+SUMIF('4 Joint Distributions'!$B$4:$B$7,$B23,'4 Joint Distributions'!$H$4:$H$7)+SUMIF('5 Discrete Distributions'!$B$4:$B$19,$B23,'5 Discrete Distributions'!$H$4:$H$19)+SUMIF('6 Normal Distribution'!$B$4:$B$13,$B23,'6 Normal Distribution'!$H$4:$H$13)+SUMIF('7 ANOVA'!$B$4:$B$7,$B23,'7 ANOVA'!$H$4:$H$7)+SUMIF('8 Hypothesis Testing'!$B$4:$B$26,$B23,'8 Hypothesis Testing'!$H$4:$H$26)</f>
        <v/>
      </c>
    </row>
    <row r="24">
      <c r="A24" s="16" t="n">
        <v>8</v>
      </c>
      <c r="B24" s="16" t="inlineStr">
        <is>
          <t>2015-16</t>
        </is>
      </c>
      <c r="C24" s="16">
        <f>COUNTIF('1 Probability Basics'!$B$4:$B$8,$B24)+COUNTIF('2 Conditional + Bayes'!$B$4:$B$10,$B24)+COUNTIF('3 Random Variables'!$B$4:$B$14,$B24)+COUNTIF('4 Joint Distributions'!$B$4:$B$7,$B24)+COUNTIF('5 Discrete Distributions'!$B$4:$B$19,$B24)+COUNTIF('6 Normal Distribution'!$B$4:$B$13,$B24)+COUNTIF('7 ANOVA'!$B$4:$B$7,$B24)+COUNTIF('8 Hypothesis Testing'!$B$4:$B$26,$B24)</f>
        <v/>
      </c>
      <c r="D24" s="16">
        <f>COUNTIFS('1 Probability Basics'!$B$4:$B$8,$B24,'1 Probability Basics'!$N$4:$N$8,TRUE())+COUNTIFS('2 Conditional + Bayes'!$B$4:$B$10,$B24,'2 Conditional + Bayes'!$N$4:$N$10,TRUE())+COUNTIFS('3 Random Variables'!$B$4:$B$14,$B24,'3 Random Variables'!$N$4:$N$14,TRUE())+COUNTIFS('4 Joint Distributions'!$B$4:$B$7,$B24,'4 Joint Distributions'!$N$4:$N$7,TRUE())+COUNTIFS('5 Discrete Distributions'!$B$4:$B$19,$B24,'5 Discrete Distributions'!$N$4:$N$19,TRUE())+COUNTIFS('6 Normal Distribution'!$B$4:$B$13,$B24,'6 Normal Distribution'!$N$4:$N$13,TRUE())+COUNTIFS('7 ANOVA'!$B$4:$B$7,$B24,'7 ANOVA'!$N$4:$N$7,TRUE())+COUNTIFS('8 Hypothesis Testing'!$B$4:$B$26,$B24,'8 Hypothesis Testing'!$N$4:$N$26,TRUE())</f>
        <v/>
      </c>
      <c r="E24" s="17">
        <f>IF(C24=0,0,D24/C24)</f>
        <v/>
      </c>
      <c r="F24" s="16">
        <f>SUMIF('1 Probability Basics'!$B$4:$B$8,$B24,'1 Probability Basics'!$H$4:$H$8)+SUMIF('2 Conditional + Bayes'!$B$4:$B$10,$B24,'2 Conditional + Bayes'!$H$4:$H$10)+SUMIF('3 Random Variables'!$B$4:$B$14,$B24,'3 Random Variables'!$H$4:$H$14)+SUMIF('4 Joint Distributions'!$B$4:$B$7,$B24,'4 Joint Distributions'!$H$4:$H$7)+SUMIF('5 Discrete Distributions'!$B$4:$B$19,$B24,'5 Discrete Distributions'!$H$4:$H$19)+SUMIF('6 Normal Distribution'!$B$4:$B$13,$B24,'6 Normal Distribution'!$H$4:$H$13)+SUMIF('7 ANOVA'!$B$4:$B$7,$B24,'7 ANOVA'!$H$4:$H$7)+SUMIF('8 Hypothesis Testing'!$B$4:$B$26,$B24,'8 Hypothesis Testing'!$H$4:$H$26)</f>
        <v/>
      </c>
    </row>
    <row r="25">
      <c r="A25" s="16" t="n">
        <v>9</v>
      </c>
      <c r="B25" s="16" t="inlineStr">
        <is>
          <t>2014-15</t>
        </is>
      </c>
      <c r="C25" s="16">
        <f>COUNTIF('1 Probability Basics'!$B$4:$B$8,$B25)+COUNTIF('2 Conditional + Bayes'!$B$4:$B$10,$B25)+COUNTIF('3 Random Variables'!$B$4:$B$14,$B25)+COUNTIF('4 Joint Distributions'!$B$4:$B$7,$B25)+COUNTIF('5 Discrete Distributions'!$B$4:$B$19,$B25)+COUNTIF('6 Normal Distribution'!$B$4:$B$13,$B25)+COUNTIF('7 ANOVA'!$B$4:$B$7,$B25)+COUNTIF('8 Hypothesis Testing'!$B$4:$B$26,$B25)</f>
        <v/>
      </c>
      <c r="D25" s="16">
        <f>COUNTIFS('1 Probability Basics'!$B$4:$B$8,$B25,'1 Probability Basics'!$N$4:$N$8,TRUE())+COUNTIFS('2 Conditional + Bayes'!$B$4:$B$10,$B25,'2 Conditional + Bayes'!$N$4:$N$10,TRUE())+COUNTIFS('3 Random Variables'!$B$4:$B$14,$B25,'3 Random Variables'!$N$4:$N$14,TRUE())+COUNTIFS('4 Joint Distributions'!$B$4:$B$7,$B25,'4 Joint Distributions'!$N$4:$N$7,TRUE())+COUNTIFS('5 Discrete Distributions'!$B$4:$B$19,$B25,'5 Discrete Distributions'!$N$4:$N$19,TRUE())+COUNTIFS('6 Normal Distribution'!$B$4:$B$13,$B25,'6 Normal Distribution'!$N$4:$N$13,TRUE())+COUNTIFS('7 ANOVA'!$B$4:$B$7,$B25,'7 ANOVA'!$N$4:$N$7,TRUE())+COUNTIFS('8 Hypothesis Testing'!$B$4:$B$26,$B25,'8 Hypothesis Testing'!$N$4:$N$26,TRUE())</f>
        <v/>
      </c>
      <c r="E25" s="17">
        <f>IF(C25=0,0,D25/C25)</f>
        <v/>
      </c>
      <c r="F25" s="16">
        <f>SUMIF('1 Probability Basics'!$B$4:$B$8,$B25,'1 Probability Basics'!$H$4:$H$8)+SUMIF('2 Conditional + Bayes'!$B$4:$B$10,$B25,'2 Conditional + Bayes'!$H$4:$H$10)+SUMIF('3 Random Variables'!$B$4:$B$14,$B25,'3 Random Variables'!$H$4:$H$14)+SUMIF('4 Joint Distributions'!$B$4:$B$7,$B25,'4 Joint Distributions'!$H$4:$H$7)+SUMIF('5 Discrete Distributions'!$B$4:$B$19,$B25,'5 Discrete Distributions'!$H$4:$H$19)+SUMIF('6 Normal Distribution'!$B$4:$B$13,$B25,'6 Normal Distribution'!$H$4:$H$13)+SUMIF('7 ANOVA'!$B$4:$B$7,$B25,'7 ANOVA'!$H$4:$H$7)+SUMIF('8 Hypothesis Testing'!$B$4:$B$26,$B25,'8 Hypothesis Testing'!$H$4:$H$26)</f>
        <v/>
      </c>
    </row>
    <row r="26">
      <c r="A26" s="16" t="n">
        <v>10</v>
      </c>
      <c r="B26" s="16" t="inlineStr">
        <is>
          <t>2013-14</t>
        </is>
      </c>
      <c r="C26" s="16">
        <f>COUNTIF('1 Probability Basics'!$B$4:$B$8,$B26)+COUNTIF('2 Conditional + Bayes'!$B$4:$B$10,$B26)+COUNTIF('3 Random Variables'!$B$4:$B$14,$B26)+COUNTIF('4 Joint Distributions'!$B$4:$B$7,$B26)+COUNTIF('5 Discrete Distributions'!$B$4:$B$19,$B26)+COUNTIF('6 Normal Distribution'!$B$4:$B$13,$B26)+COUNTIF('7 ANOVA'!$B$4:$B$7,$B26)+COUNTIF('8 Hypothesis Testing'!$B$4:$B$26,$B26)</f>
        <v/>
      </c>
      <c r="D26" s="16">
        <f>COUNTIFS('1 Probability Basics'!$B$4:$B$8,$B26,'1 Probability Basics'!$N$4:$N$8,TRUE())+COUNTIFS('2 Conditional + Bayes'!$B$4:$B$10,$B26,'2 Conditional + Bayes'!$N$4:$N$10,TRUE())+COUNTIFS('3 Random Variables'!$B$4:$B$14,$B26,'3 Random Variables'!$N$4:$N$14,TRUE())+COUNTIFS('4 Joint Distributions'!$B$4:$B$7,$B26,'4 Joint Distributions'!$N$4:$N$7,TRUE())+COUNTIFS('5 Discrete Distributions'!$B$4:$B$19,$B26,'5 Discrete Distributions'!$N$4:$N$19,TRUE())+COUNTIFS('6 Normal Distribution'!$B$4:$B$13,$B26,'6 Normal Distribution'!$N$4:$N$13,TRUE())+COUNTIFS('7 ANOVA'!$B$4:$B$7,$B26,'7 ANOVA'!$N$4:$N$7,TRUE())+COUNTIFS('8 Hypothesis Testing'!$B$4:$B$26,$B26,'8 Hypothesis Testing'!$N$4:$N$26,TRUE())</f>
        <v/>
      </c>
      <c r="E26" s="17">
        <f>IF(C26=0,0,D26/C26)</f>
        <v/>
      </c>
      <c r="F26" s="16">
        <f>SUMIF('1 Probability Basics'!$B$4:$B$8,$B26,'1 Probability Basics'!$H$4:$H$8)+SUMIF('2 Conditional + Bayes'!$B$4:$B$10,$B26,'2 Conditional + Bayes'!$H$4:$H$10)+SUMIF('3 Random Variables'!$B$4:$B$14,$B26,'3 Random Variables'!$H$4:$H$14)+SUMIF('4 Joint Distributions'!$B$4:$B$7,$B26,'4 Joint Distributions'!$H$4:$H$7)+SUMIF('5 Discrete Distributions'!$B$4:$B$19,$B26,'5 Discrete Distributions'!$H$4:$H$19)+SUMIF('6 Normal Distribution'!$B$4:$B$13,$B26,'6 Normal Distribution'!$H$4:$H$13)+SUMIF('7 ANOVA'!$B$4:$B$7,$B26,'7 ANOVA'!$H$4:$H$7)+SUMIF('8 Hypothesis Testing'!$B$4:$B$26,$B26,'8 Hypothesis Testing'!$H$4:$H$26)</f>
        <v/>
      </c>
    </row>
    <row r="27">
      <c r="A27" s="16" t="n">
        <v>11</v>
      </c>
      <c r="B27" s="16" t="inlineStr">
        <is>
          <t>2012-13</t>
        </is>
      </c>
      <c r="C27" s="16">
        <f>COUNTIF('1 Probability Basics'!$B$4:$B$8,$B27)+COUNTIF('2 Conditional + Bayes'!$B$4:$B$10,$B27)+COUNTIF('3 Random Variables'!$B$4:$B$14,$B27)+COUNTIF('4 Joint Distributions'!$B$4:$B$7,$B27)+COUNTIF('5 Discrete Distributions'!$B$4:$B$19,$B27)+COUNTIF('6 Normal Distribution'!$B$4:$B$13,$B27)+COUNTIF('7 ANOVA'!$B$4:$B$7,$B27)+COUNTIF('8 Hypothesis Testing'!$B$4:$B$26,$B27)</f>
        <v/>
      </c>
      <c r="D27" s="16">
        <f>COUNTIFS('1 Probability Basics'!$B$4:$B$8,$B27,'1 Probability Basics'!$N$4:$N$8,TRUE())+COUNTIFS('2 Conditional + Bayes'!$B$4:$B$10,$B27,'2 Conditional + Bayes'!$N$4:$N$10,TRUE())+COUNTIFS('3 Random Variables'!$B$4:$B$14,$B27,'3 Random Variables'!$N$4:$N$14,TRUE())+COUNTIFS('4 Joint Distributions'!$B$4:$B$7,$B27,'4 Joint Distributions'!$N$4:$N$7,TRUE())+COUNTIFS('5 Discrete Distributions'!$B$4:$B$19,$B27,'5 Discrete Distributions'!$N$4:$N$19,TRUE())+COUNTIFS('6 Normal Distribution'!$B$4:$B$13,$B27,'6 Normal Distribution'!$N$4:$N$13,TRUE())+COUNTIFS('7 ANOVA'!$B$4:$B$7,$B27,'7 ANOVA'!$N$4:$N$7,TRUE())+COUNTIFS('8 Hypothesis Testing'!$B$4:$B$26,$B27,'8 Hypothesis Testing'!$N$4:$N$26,TRUE())</f>
        <v/>
      </c>
      <c r="E27" s="17">
        <f>IF(C27=0,0,D27/C27)</f>
        <v/>
      </c>
      <c r="F27" s="16">
        <f>SUMIF('1 Probability Basics'!$B$4:$B$8,$B27,'1 Probability Basics'!$H$4:$H$8)+SUMIF('2 Conditional + Bayes'!$B$4:$B$10,$B27,'2 Conditional + Bayes'!$H$4:$H$10)+SUMIF('3 Random Variables'!$B$4:$B$14,$B27,'3 Random Variables'!$H$4:$H$14)+SUMIF('4 Joint Distributions'!$B$4:$B$7,$B27,'4 Joint Distributions'!$H$4:$H$7)+SUMIF('5 Discrete Distributions'!$B$4:$B$19,$B27,'5 Discrete Distributions'!$H$4:$H$19)+SUMIF('6 Normal Distribution'!$B$4:$B$13,$B27,'6 Normal Distribution'!$H$4:$H$13)+SUMIF('7 ANOVA'!$B$4:$B$7,$B27,'7 ANOVA'!$H$4:$H$7)+SUMIF('8 Hypothesis Testing'!$B$4:$B$26,$B27,'8 Hypothesis Testing'!$H$4:$H$26)</f>
        <v/>
      </c>
    </row>
    <row r="28">
      <c r="A28" s="16" t="n">
        <v>12</v>
      </c>
      <c r="B28" s="16" t="inlineStr">
        <is>
          <t>2011-12</t>
        </is>
      </c>
      <c r="C28" s="16">
        <f>COUNTIF('1 Probability Basics'!$B$4:$B$8,$B28)+COUNTIF('2 Conditional + Bayes'!$B$4:$B$10,$B28)+COUNTIF('3 Random Variables'!$B$4:$B$14,$B28)+COUNTIF('4 Joint Distributions'!$B$4:$B$7,$B28)+COUNTIF('5 Discrete Distributions'!$B$4:$B$19,$B28)+COUNTIF('6 Normal Distribution'!$B$4:$B$13,$B28)+COUNTIF('7 ANOVA'!$B$4:$B$7,$B28)+COUNTIF('8 Hypothesis Testing'!$B$4:$B$26,$B28)</f>
        <v/>
      </c>
      <c r="D28" s="16">
        <f>COUNTIFS('1 Probability Basics'!$B$4:$B$8,$B28,'1 Probability Basics'!$N$4:$N$8,TRUE())+COUNTIFS('2 Conditional + Bayes'!$B$4:$B$10,$B28,'2 Conditional + Bayes'!$N$4:$N$10,TRUE())+COUNTIFS('3 Random Variables'!$B$4:$B$14,$B28,'3 Random Variables'!$N$4:$N$14,TRUE())+COUNTIFS('4 Joint Distributions'!$B$4:$B$7,$B28,'4 Joint Distributions'!$N$4:$N$7,TRUE())+COUNTIFS('5 Discrete Distributions'!$B$4:$B$19,$B28,'5 Discrete Distributions'!$N$4:$N$19,TRUE())+COUNTIFS('6 Normal Distribution'!$B$4:$B$13,$B28,'6 Normal Distribution'!$N$4:$N$13,TRUE())+COUNTIFS('7 ANOVA'!$B$4:$B$7,$B28,'7 ANOVA'!$N$4:$N$7,TRUE())+COUNTIFS('8 Hypothesis Testing'!$B$4:$B$26,$B28,'8 Hypothesis Testing'!$N$4:$N$26,TRUE())</f>
        <v/>
      </c>
      <c r="E28" s="17">
        <f>IF(C28=0,0,D28/C28)</f>
        <v/>
      </c>
      <c r="F28" s="16">
        <f>SUMIF('1 Probability Basics'!$B$4:$B$8,$B28,'1 Probability Basics'!$H$4:$H$8)+SUMIF('2 Conditional + Bayes'!$B$4:$B$10,$B28,'2 Conditional + Bayes'!$H$4:$H$10)+SUMIF('3 Random Variables'!$B$4:$B$14,$B28,'3 Random Variables'!$H$4:$H$14)+SUMIF('4 Joint Distributions'!$B$4:$B$7,$B28,'4 Joint Distributions'!$H$4:$H$7)+SUMIF('5 Discrete Distributions'!$B$4:$B$19,$B28,'5 Discrete Distributions'!$H$4:$H$19)+SUMIF('6 Normal Distribution'!$B$4:$B$13,$B28,'6 Normal Distribution'!$H$4:$H$13)+SUMIF('7 ANOVA'!$B$4:$B$7,$B28,'7 ANOVA'!$H$4:$H$7)+SUMIF('8 Hypothesis Testing'!$B$4:$B$26,$B28,'8 Hypothesis Testing'!$H$4:$H$26)</f>
        <v/>
      </c>
    </row>
    <row r="29">
      <c r="B29" s="2" t="inlineStr">
        <is>
          <t>Shaded years = ★★★ High priority (2019-20 onward).</t>
        </is>
      </c>
    </row>
    <row r="30">
      <c r="B30" s="2" t="inlineStr">
        <is>
          <t>Outside Notes: only the central-limit-theorem question (2023-24 Q6(b)) — not in any slide deck; hypothesis testing is now covered by tab 8 (Lecture-13-20- Hypothesis.pdf).</t>
        </is>
      </c>
    </row>
    <row r="31">
      <c r="B31" s="2" t="inlineStr">
        <is>
          <t>Complex-variable questions of the old MATH 241/245 papers are not listed.</t>
        </is>
      </c>
    </row>
  </sheetData>
  <conditionalFormatting sqref="E5:E13">
    <cfRule type="dataBar" priority="1">
      <dataBar>
        <cfvo type="num" val="0"/>
        <cfvo type="num" val="1"/>
        <color rgb="0063BE7B"/>
      </dataBar>
    </cfRule>
  </conditionalFormatting>
  <conditionalFormatting sqref="E17:E28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1–4 — Sets, Counting, Rules, Odds, Joint Tables</t>
        </is>
      </c>
    </row>
    <row r="2">
      <c r="A2" s="2" t="inlineStr">
        <is>
          <t>Note file: MATH243_KKS_Probability_Basics_Notes.docx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2014-15</t>
        </is>
      </c>
      <c r="C4" s="19" t="inlineStr">
        <is>
          <t>MATH 241</t>
        </is>
      </c>
      <c r="D4" s="19" t="inlineStr">
        <is>
          <t>8(a)</t>
        </is>
      </c>
      <c r="E4" s="20" t="inlineStr">
        <is>
          <t>Box of 8 red, 3 white, 9 blue; 3 drawn: P(all red), P(2 red 1 white), P(at least 1 white)</t>
        </is>
      </c>
      <c r="F4" s="20" t="inlineStr">
        <is>
          <t>Counting, classical probability — Lec 2 pp. 2–8</t>
        </is>
      </c>
      <c r="G4" s="19" t="inlineStr">
        <is>
          <t>L2</t>
        </is>
      </c>
      <c r="H4" s="19" t="n">
        <v>12</v>
      </c>
      <c r="I4" s="19" t="n">
        <v>11</v>
      </c>
      <c r="J4" s="21" t="inlineStr">
        <is>
          <t>★★ Medium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2013-14 7(b)(i)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2013-14</t>
        </is>
      </c>
      <c r="C5" s="19" t="inlineStr">
        <is>
          <t>MATH 241</t>
        </is>
      </c>
      <c r="D5" s="19" t="inlineStr">
        <is>
          <t>7(b)(i)</t>
        </is>
      </c>
      <c r="E5" s="20" t="inlineStr">
        <is>
          <t>3 cards drawn without replacement: P(all from different suits)</t>
        </is>
      </c>
      <c r="F5" s="20" t="inlineStr">
        <is>
          <t>Counting, classical probability — Lec 2 pp. 2–8</t>
        </is>
      </c>
      <c r="G5" s="19" t="inlineStr">
        <is>
          <t>L2</t>
        </is>
      </c>
      <c r="H5" s="19" t="n">
        <v>7</v>
      </c>
      <c r="I5" s="19" t="n">
        <v>8</v>
      </c>
      <c r="J5" s="21" t="inlineStr">
        <is>
          <t>★★ Medium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2014-15 8(a)</t>
        </is>
      </c>
      <c r="N5" s="23" t="b">
        <v>0</v>
      </c>
      <c r="O5" s="19" t="n"/>
      <c r="P5" s="19" t="n"/>
      <c r="Q5" s="20" t="n"/>
    </row>
    <row r="6">
      <c r="A6" s="24" t="n">
        <v>3</v>
      </c>
      <c r="B6" s="24" t="inlineStr">
        <is>
          <t>2023-24</t>
        </is>
      </c>
      <c r="C6" s="24" t="inlineStr">
        <is>
          <t>MATH 243</t>
        </is>
      </c>
      <c r="D6" s="24" t="inlineStr">
        <is>
          <t>1(a)</t>
        </is>
      </c>
      <c r="E6" s="6" t="inlineStr">
        <is>
          <t>Can two events be mutually exclusive and independent at the same time? Justify</t>
        </is>
      </c>
      <c r="F6" s="6" t="inlineStr">
        <is>
          <t>Multiplication rule, independence, odds — Lec 2 pp. 8–9, Lec 3&amp;4 pp. 1–6</t>
        </is>
      </c>
      <c r="G6" s="24" t="inlineStr">
        <is>
          <t>L3</t>
        </is>
      </c>
      <c r="H6" s="24" t="n">
        <v>6</v>
      </c>
      <c r="I6" s="24" t="inlineStr">
        <is>
          <t>22 batch p.1</t>
        </is>
      </c>
      <c r="J6" s="25" t="inlineStr">
        <is>
          <t>★★★ High</t>
        </is>
      </c>
      <c r="K6" s="24" t="inlineStr">
        <is>
          <t>Theory</t>
        </is>
      </c>
      <c r="L6" s="22" t="inlineStr">
        <is>
          <t>✔ Solved</t>
        </is>
      </c>
      <c r="M6" s="6" t="inlineStr">
        <is>
          <t>2016-17 7(a); 2011-12 7(b)(ii)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2016-17</t>
        </is>
      </c>
      <c r="C7" s="24" t="inlineStr">
        <is>
          <t>MATH 245</t>
        </is>
      </c>
      <c r="D7" s="24" t="inlineStr">
        <is>
          <t>7(a)</t>
        </is>
      </c>
      <c r="E7" s="6" t="inlineStr">
        <is>
          <t>Circuit of 4 parallel paths (0.02; 0.01–0.01; 0.01–0.01; 0.02 failure probabilities): P(circuit does not operate)</t>
        </is>
      </c>
      <c r="F7" s="6" t="inlineStr">
        <is>
          <t>Multiplication rule, independence, odds — Lec 2 pp. 8–9, Lec 3&amp;4 pp. 1–6</t>
        </is>
      </c>
      <c r="G7" s="24" t="inlineStr">
        <is>
          <t>L3</t>
        </is>
      </c>
      <c r="H7" s="24" t="n">
        <v>10</v>
      </c>
      <c r="I7" s="24" t="n">
        <v>20</v>
      </c>
      <c r="J7" s="21" t="inlineStr">
        <is>
          <t>★★ Medium</t>
        </is>
      </c>
      <c r="K7" s="24" t="inlineStr">
        <is>
          <t>Numerical</t>
        </is>
      </c>
      <c r="L7" s="22" t="inlineStr">
        <is>
          <t>✔ Solved</t>
        </is>
      </c>
      <c r="M7" s="6" t="inlineStr">
        <is>
          <t>2023-24 1(a); 2011-12 7(b)(ii)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2011-12</t>
        </is>
      </c>
      <c r="C8" s="24" t="inlineStr">
        <is>
          <t>MATH 241</t>
        </is>
      </c>
      <c r="D8" s="24" t="inlineStr">
        <is>
          <t>7(b)(ii)</t>
        </is>
      </c>
      <c r="E8" s="6" t="inlineStr">
        <is>
          <t>A, B, C solve a problem with probabilities 3/7, 2/3, 4/5 independently — P(problem solved)</t>
        </is>
      </c>
      <c r="F8" s="6" t="inlineStr">
        <is>
          <t>Multiplication rule, independence, odds — Lec 2 pp. 8–9, Lec 3&amp;4 pp. 1–6</t>
        </is>
      </c>
      <c r="G8" s="24" t="inlineStr">
        <is>
          <t>L3</t>
        </is>
      </c>
      <c r="H8" s="24" t="n">
        <v>8</v>
      </c>
      <c r="I8" s="24" t="n">
        <v>2</v>
      </c>
      <c r="J8" s="21" t="inlineStr">
        <is>
          <t>★★ Medium</t>
        </is>
      </c>
      <c r="K8" s="24" t="inlineStr">
        <is>
          <t>Numerical</t>
        </is>
      </c>
      <c r="L8" s="22" t="inlineStr">
        <is>
          <t>✔ Solved</t>
        </is>
      </c>
      <c r="M8" s="6" t="inlineStr">
        <is>
          <t>2023-24 1(a); 2016-17 7(a)</t>
        </is>
      </c>
      <c r="N8" s="23" t="b">
        <v>0</v>
      </c>
      <c r="O8" s="24" t="n"/>
      <c r="P8" s="24" t="n"/>
      <c r="Q8" s="6" t="n"/>
    </row>
  </sheetData>
  <autoFilter ref="A3:Q8"/>
  <conditionalFormatting sqref="A4:Q8">
    <cfRule type="expression" priority="1" dxfId="0">
      <formula>$N4=TRUE</formula>
    </cfRule>
  </conditionalFormatting>
  <conditionalFormatting sqref="O4:O8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8" showDropDown="0" showInputMessage="0" showErrorMessage="0" allowBlank="1" type="list">
      <formula1>"TRUE,FALSE"</formula1>
    </dataValidation>
    <dataValidation sqref="O4:O8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5 — Conditional Probability and Bayes' Theorem</t>
        </is>
      </c>
    </row>
    <row r="2">
      <c r="A2" s="2" t="inlineStr">
        <is>
          <t>Note file: MATH243_KKS_Conditional_Bayes_Notes.docx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2018-19</t>
        </is>
      </c>
      <c r="C4" s="19" t="inlineStr">
        <is>
          <t>MATH 245</t>
        </is>
      </c>
      <c r="D4" s="19" t="inlineStr">
        <is>
          <t>6(b)</t>
        </is>
      </c>
      <c r="E4" s="20" t="inlineStr">
        <is>
          <t>Picnic of 20: 5 sunburnt, 8 bitten, 10 safe: P(not bitten | sunburnt), P(sunburnt | bitten)</t>
        </is>
      </c>
      <c r="F4" s="20" t="inlineStr">
        <is>
          <t>Conditional probability — Lec 5 pp. 1–4</t>
        </is>
      </c>
      <c r="G4" s="19" t="inlineStr">
        <is>
          <t>L5</t>
        </is>
      </c>
      <c r="H4" s="19" t="n">
        <v>15</v>
      </c>
      <c r="I4" s="19" t="n">
        <v>24</v>
      </c>
      <c r="J4" s="21" t="inlineStr">
        <is>
          <t>★★ Medium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2015-16 8(a)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2015-16</t>
        </is>
      </c>
      <c r="C5" s="19" t="inlineStr">
        <is>
          <t>MATH 241</t>
        </is>
      </c>
      <c r="D5" s="19" t="inlineStr">
        <is>
          <t>8(a)</t>
        </is>
      </c>
      <c r="E5" s="20" t="inlineStr">
        <is>
          <t>TV show: P(man) 0.25, P(woman) 0.35, P(man | wife) 0.8: P(couple), P(husband | wife does not)</t>
        </is>
      </c>
      <c r="F5" s="20" t="inlineStr">
        <is>
          <t>Conditional probability — Lec 5 pp. 1–4</t>
        </is>
      </c>
      <c r="G5" s="19" t="inlineStr">
        <is>
          <t>L5</t>
        </is>
      </c>
      <c r="H5" s="19" t="n">
        <v>13</v>
      </c>
      <c r="I5" s="19" t="n">
        <v>16</v>
      </c>
      <c r="J5" s="21" t="inlineStr">
        <is>
          <t>★★ Medium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2018-19 6(b)</t>
        </is>
      </c>
      <c r="N5" s="23" t="b">
        <v>0</v>
      </c>
      <c r="O5" s="19" t="n"/>
      <c r="P5" s="19" t="n"/>
      <c r="Q5" s="20" t="n"/>
    </row>
    <row r="6">
      <c r="A6" s="24" t="n">
        <v>3</v>
      </c>
      <c r="B6" s="24" t="inlineStr">
        <is>
          <t>2023-24</t>
        </is>
      </c>
      <c r="C6" s="24" t="inlineStr">
        <is>
          <t>MATH 243</t>
        </is>
      </c>
      <c r="D6" s="24" t="inlineStr">
        <is>
          <t>1(b)</t>
        </is>
      </c>
      <c r="E6" s="6" t="inlineStr">
        <is>
          <t>Multiplication law; box A (5W, 7R) → one ball moved to box B (3W, 8R): P(red from B)</t>
        </is>
      </c>
      <c r="F6" s="6" t="inlineStr">
        <is>
          <t>Total probability, Bayes — Lec 5 pp. 4–7</t>
        </is>
      </c>
      <c r="G6" s="24" t="inlineStr">
        <is>
          <t>L6</t>
        </is>
      </c>
      <c r="H6" s="24" t="n">
        <v>12</v>
      </c>
      <c r="I6" s="24" t="inlineStr">
        <is>
          <t>22 batch p.1</t>
        </is>
      </c>
      <c r="J6" s="25" t="inlineStr">
        <is>
          <t>★★★ High</t>
        </is>
      </c>
      <c r="K6" s="24" t="inlineStr">
        <is>
          <t>Numerical</t>
        </is>
      </c>
      <c r="L6" s="22" t="inlineStr">
        <is>
          <t>✔ Solved</t>
        </is>
      </c>
      <c r="M6" s="6" t="inlineStr">
        <is>
          <t>2022-23 1(a)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2023-24</t>
        </is>
      </c>
      <c r="C7" s="24" t="inlineStr">
        <is>
          <t>MATH 243</t>
        </is>
      </c>
      <c r="D7" s="24" t="inlineStr">
        <is>
          <t>1(c)</t>
        </is>
      </c>
      <c r="E7" s="6" t="inlineStr">
        <is>
          <t>Party support 45/40/15 %, turnout 65/80/50 %: P(A), P(B), P(C) | did not vote</t>
        </is>
      </c>
      <c r="F7" s="6" t="inlineStr">
        <is>
          <t>Total probability, Bayes — Lec 5 pp. 4–7</t>
        </is>
      </c>
      <c r="G7" s="24" t="inlineStr">
        <is>
          <t>L6</t>
        </is>
      </c>
      <c r="H7" s="24" t="n">
        <v>17</v>
      </c>
      <c r="I7" s="24" t="inlineStr">
        <is>
          <t>22 batch p.1</t>
        </is>
      </c>
      <c r="J7" s="25" t="inlineStr">
        <is>
          <t>★★★ High</t>
        </is>
      </c>
      <c r="K7" s="24" t="inlineStr">
        <is>
          <t>Numerical</t>
        </is>
      </c>
      <c r="L7" s="22" t="inlineStr">
        <is>
          <t>✔ Solved</t>
        </is>
      </c>
      <c r="M7" s="6" t="inlineStr">
        <is>
          <t>2022-23 1(b); 2019-20 7(a)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2022-23</t>
        </is>
      </c>
      <c r="C8" s="24" t="inlineStr">
        <is>
          <t>MATH 243</t>
        </is>
      </c>
      <c r="D8" s="24" t="inlineStr">
        <is>
          <t>1(a)</t>
        </is>
      </c>
      <c r="E8" s="6" t="inlineStr">
        <is>
          <t>Bag 1 (4W, 3B) → one ball moved unseen to bag 2 (3W, 5B): P(black from bag 2)</t>
        </is>
      </c>
      <c r="F8" s="6" t="inlineStr">
        <is>
          <t>Total probability, Bayes — Lec 5 pp. 4–7</t>
        </is>
      </c>
      <c r="G8" s="24" t="inlineStr">
        <is>
          <t>L6</t>
        </is>
      </c>
      <c r="H8" s="24" t="n">
        <v>8</v>
      </c>
      <c r="I8" s="24" t="n">
        <v>47</v>
      </c>
      <c r="J8" s="25" t="inlineStr">
        <is>
          <t>★★★ High</t>
        </is>
      </c>
      <c r="K8" s="24" t="inlineStr">
        <is>
          <t>Numerical</t>
        </is>
      </c>
      <c r="L8" s="22" t="inlineStr">
        <is>
          <t>✔ Solved</t>
        </is>
      </c>
      <c r="M8" s="6" t="inlineStr">
        <is>
          <t>2023-24 1(b)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2022-23</t>
        </is>
      </c>
      <c r="C9" s="24" t="inlineStr">
        <is>
          <t>MATH 243</t>
        </is>
      </c>
      <c r="D9" s="24" t="inlineStr">
        <is>
          <t>1(b)</t>
        </is>
      </c>
      <c r="E9" s="6" t="inlineStr">
        <is>
          <t>Machines B1, B2, B3 (30/45/25 %, defective 2/3/2 %): P(Bi | defective)</t>
        </is>
      </c>
      <c r="F9" s="6" t="inlineStr">
        <is>
          <t>Total probability, Bayes — Lec 5 pp. 4–7</t>
        </is>
      </c>
      <c r="G9" s="24" t="inlineStr">
        <is>
          <t>L6</t>
        </is>
      </c>
      <c r="H9" s="24" t="n">
        <v>15</v>
      </c>
      <c r="I9" s="24" t="n">
        <v>47</v>
      </c>
      <c r="J9" s="25" t="inlineStr">
        <is>
          <t>★★★ High</t>
        </is>
      </c>
      <c r="K9" s="24" t="inlineStr">
        <is>
          <t>Numerical</t>
        </is>
      </c>
      <c r="L9" s="22" t="inlineStr">
        <is>
          <t>✔ Solved</t>
        </is>
      </c>
      <c r="M9" s="6" t="inlineStr">
        <is>
          <t>2023-24 1(c); 2019-20 7(a)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2019-20</t>
        </is>
      </c>
      <c r="C10" s="24" t="inlineStr">
        <is>
          <t>MATH 245</t>
        </is>
      </c>
      <c r="D10" s="24" t="inlineStr">
        <is>
          <t>7(a)</t>
        </is>
      </c>
      <c r="E10" s="6" t="inlineStr">
        <is>
          <t>Truth serum (90 % / 1 %, 5 % guilty): P(innocent | serum says guilty)</t>
        </is>
      </c>
      <c r="F10" s="6" t="inlineStr">
        <is>
          <t>Total probability, Bayes — Lec 5 pp. 4–7</t>
        </is>
      </c>
      <c r="G10" s="24" t="inlineStr">
        <is>
          <t>L6</t>
        </is>
      </c>
      <c r="H10" s="24" t="n">
        <v>17</v>
      </c>
      <c r="I10" s="24" t="n">
        <v>34</v>
      </c>
      <c r="J10" s="25" t="inlineStr">
        <is>
          <t>★★★ High</t>
        </is>
      </c>
      <c r="K10" s="24" t="inlineStr">
        <is>
          <t>Numerical</t>
        </is>
      </c>
      <c r="L10" s="22" t="inlineStr">
        <is>
          <t>✔ Solved</t>
        </is>
      </c>
      <c r="M10" s="6" t="inlineStr">
        <is>
          <t>2023-24 1(c); 2022-23 1(b)</t>
        </is>
      </c>
      <c r="N10" s="23" t="b">
        <v>0</v>
      </c>
      <c r="O10" s="24" t="n"/>
      <c r="P10" s="24" t="n"/>
      <c r="Q10" s="6" t="n"/>
    </row>
  </sheetData>
  <autoFilter ref="A3:Q10"/>
  <conditionalFormatting sqref="A4:Q10">
    <cfRule type="expression" priority="1" dxfId="0">
      <formula>$N4=TRUE</formula>
    </cfRule>
  </conditionalFormatting>
  <conditionalFormatting sqref="O4:O10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0" showDropDown="0" showInputMessage="0" showErrorMessage="0" allowBlank="1" type="list">
      <formula1>"TRUE,FALSE"</formula1>
    </dataValidation>
    <dataValidation sqref="O4:O10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6, 7, 9 — pmf, pdf, CDF, Expectation, Chebyshev</t>
        </is>
      </c>
    </row>
    <row r="2">
      <c r="A2" s="2" t="inlineStr">
        <is>
          <t>Note file: MATH243_KKS_Random_Variables_Notes.docx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MATH 243</t>
        </is>
      </c>
      <c r="D4" s="19" t="inlineStr">
        <is>
          <t>2(a)</t>
        </is>
      </c>
      <c r="E4" s="20" t="inlineStr">
        <is>
          <t>F(x) = 1 − e^{−8x}: P(wait &lt; 12 minutes) using the CDF and using the pdf</t>
        </is>
      </c>
      <c r="F4" s="20" t="inlineStr">
        <is>
          <t>pdf, CDF, exponential — Lec 7 (+ textbook)</t>
        </is>
      </c>
      <c r="G4" s="19" t="inlineStr">
        <is>
          <t>L8</t>
        </is>
      </c>
      <c r="H4" s="19" t="n">
        <v>15</v>
      </c>
      <c r="I4" s="19" t="inlineStr">
        <is>
          <t>22 batch p.1</t>
        </is>
      </c>
      <c r="J4" s="25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2022-23 1(c); 2019-20 8(b)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MATH 243</t>
        </is>
      </c>
      <c r="D5" s="19" t="inlineStr">
        <is>
          <t>1(c)</t>
        </is>
      </c>
      <c r="E5" s="20" t="inlineStr">
        <is>
          <t>DVD component f = (1/2000)e^{−x/2000}: CDF; P(lasts &gt; 1000 h); P(fails before 2000 h)</t>
        </is>
      </c>
      <c r="F5" s="20" t="inlineStr">
        <is>
          <t>pdf, CDF, exponential — Lec 7 (+ textbook)</t>
        </is>
      </c>
      <c r="G5" s="19" t="inlineStr">
        <is>
          <t>L8</t>
        </is>
      </c>
      <c r="H5" s="19" t="n">
        <v>12</v>
      </c>
      <c r="I5" s="19" t="n">
        <v>47</v>
      </c>
      <c r="J5" s="25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2023-24 2(a); 2019-20 8(b)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2020-21</t>
        </is>
      </c>
      <c r="C6" s="19" t="inlineStr">
        <is>
          <t>MATH 245</t>
        </is>
      </c>
      <c r="D6" s="19" t="inlineStr">
        <is>
          <t>6(b)</t>
        </is>
      </c>
      <c r="E6" s="20" t="inlineStr">
        <is>
          <t>Measurement error f = k(3 − x)², −1 ≤ x ≤ 1: k; P(X &lt; 1/2); P(|X| &gt; 0.8)</t>
        </is>
      </c>
      <c r="F6" s="20" t="inlineStr">
        <is>
          <t>pdf, CDF, exponential — Lec 7 (+ textbook)</t>
        </is>
      </c>
      <c r="G6" s="19" t="inlineStr">
        <is>
          <t>L8</t>
        </is>
      </c>
      <c r="H6" s="19" t="n">
        <v>10</v>
      </c>
      <c r="I6" s="19" t="n">
        <v>38</v>
      </c>
      <c r="J6" s="25" t="inlineStr">
        <is>
          <t>★★★ High</t>
        </is>
      </c>
      <c r="K6" s="19" t="inlineStr">
        <is>
          <t>Numerical</t>
        </is>
      </c>
      <c r="L6" s="22" t="inlineStr">
        <is>
          <t>✔ Solved</t>
        </is>
      </c>
      <c r="M6" s="20" t="inlineStr">
        <is>
          <t>2018-19 7(a)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2019-20</t>
        </is>
      </c>
      <c r="C7" s="19" t="inlineStr">
        <is>
          <t>MATH 245</t>
        </is>
      </c>
      <c r="D7" s="19" t="inlineStr">
        <is>
          <t>8(b)</t>
        </is>
      </c>
      <c r="E7" s="20" t="inlineStr">
        <is>
          <t>Fire-station calls, exponential with rate 1.8/day: five parts (15-min call, memoryless, 10-h shift, 4 shifts, 10 % point)</t>
        </is>
      </c>
      <c r="F7" s="20" t="inlineStr">
        <is>
          <t>pdf, CDF, exponential — Lec 7 (+ textbook)</t>
        </is>
      </c>
      <c r="G7" s="19" t="inlineStr">
        <is>
          <t>L8</t>
        </is>
      </c>
      <c r="H7" s="19" t="n">
        <v>25</v>
      </c>
      <c r="I7" s="19" t="n">
        <v>35</v>
      </c>
      <c r="J7" s="25" t="inlineStr">
        <is>
          <t>★★★ High</t>
        </is>
      </c>
      <c r="K7" s="19" t="inlineStr">
        <is>
          <t>Numerical</t>
        </is>
      </c>
      <c r="L7" s="22" t="inlineStr">
        <is>
          <t>✔ Solved</t>
        </is>
      </c>
      <c r="M7" s="20" t="inlineStr">
        <is>
          <t>2023-24 2(a); 2022-23 1(c)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2018-19</t>
        </is>
      </c>
      <c r="C8" s="19" t="inlineStr">
        <is>
          <t>MATH 245</t>
        </is>
      </c>
      <c r="D8" s="19" t="inlineStr">
        <is>
          <t>7(a)</t>
        </is>
      </c>
      <c r="E8" s="20" t="inlineStr">
        <is>
          <t>Density function and its conditions; F(x) = x/8, x²/16 piecewise: pdf, P(X ≥ 1.5), P(X ≥ 1 | X ≤ 3)</t>
        </is>
      </c>
      <c r="F8" s="20" t="inlineStr">
        <is>
          <t>pdf, CDF, exponential — Lec 7 (+ textbook)</t>
        </is>
      </c>
      <c r="G8" s="19" t="inlineStr">
        <is>
          <t>L8</t>
        </is>
      </c>
      <c r="H8" s="19" t="n">
        <v>20</v>
      </c>
      <c r="I8" s="19" t="n">
        <v>24</v>
      </c>
      <c r="J8" s="21" t="inlineStr">
        <is>
          <t>★★ Medium</t>
        </is>
      </c>
      <c r="K8" s="19" t="inlineStr">
        <is>
          <t>Numerical</t>
        </is>
      </c>
      <c r="L8" s="22" t="inlineStr">
        <is>
          <t>✔ Solved</t>
        </is>
      </c>
      <c r="M8" s="20" t="inlineStr">
        <is>
          <t>2020-21 6(b)</t>
        </is>
      </c>
      <c r="N8" s="23" t="b">
        <v>0</v>
      </c>
      <c r="O8" s="19" t="n"/>
      <c r="P8" s="19" t="n"/>
      <c r="Q8" s="20" t="n"/>
    </row>
    <row r="9">
      <c r="A9" s="24" t="n">
        <v>6</v>
      </c>
      <c r="B9" s="24" t="inlineStr">
        <is>
          <t>2023-24</t>
        </is>
      </c>
      <c r="C9" s="24" t="inlineStr">
        <is>
          <t>MATH 243</t>
        </is>
      </c>
      <c r="D9" s="24" t="inlineStr">
        <is>
          <t>3(a)</t>
        </is>
      </c>
      <c r="E9" s="6" t="inlineStr">
        <is>
          <t>Chebyshev's theorem; 70 jobs, 1000 applicants, mean 60, sd 6: can a score of 84 get a job?</t>
        </is>
      </c>
      <c r="F9" s="6" t="inlineStr">
        <is>
          <t>Expectation, variance, Chebyshev — Lec 9 pp. 1–5, other dist. p. 1</t>
        </is>
      </c>
      <c r="G9" s="24" t="inlineStr">
        <is>
          <t>L9</t>
        </is>
      </c>
      <c r="H9" s="24" t="n">
        <v>11</v>
      </c>
      <c r="I9" s="24" t="inlineStr">
        <is>
          <t>22 batch p.2</t>
        </is>
      </c>
      <c r="J9" s="25" t="inlineStr">
        <is>
          <t>★★★ High</t>
        </is>
      </c>
      <c r="K9" s="24" t="inlineStr">
        <is>
          <t>Numerical</t>
        </is>
      </c>
      <c r="L9" s="22" t="inlineStr">
        <is>
          <t>✔ Solved</t>
        </is>
      </c>
      <c r="M9" s="6" t="inlineStr">
        <is>
          <t>2022-23 2(c)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2022-23</t>
        </is>
      </c>
      <c r="C10" s="24" t="inlineStr">
        <is>
          <t>MATH 243</t>
        </is>
      </c>
      <c r="D10" s="24" t="inlineStr">
        <is>
          <t>2(b)</t>
        </is>
      </c>
      <c r="E10" s="6" t="inlineStr">
        <is>
          <t>Clearance time Y = 3X − 2, X with f = (1/4)e^{−x/4}: mean and variance of Y</t>
        </is>
      </c>
      <c r="F10" s="6" t="inlineStr">
        <is>
          <t>Expectation, variance, Chebyshev — Lec 9 pp. 1–5, other dist. p. 1</t>
        </is>
      </c>
      <c r="G10" s="24" t="inlineStr">
        <is>
          <t>L9</t>
        </is>
      </c>
      <c r="H10" s="24" t="n">
        <v>10</v>
      </c>
      <c r="I10" s="24" t="n">
        <v>48</v>
      </c>
      <c r="J10" s="25" t="inlineStr">
        <is>
          <t>★★★ High</t>
        </is>
      </c>
      <c r="K10" s="24" t="inlineStr">
        <is>
          <t>Numerical</t>
        </is>
      </c>
      <c r="L10" s="22" t="inlineStr">
        <is>
          <t>✔ Solved</t>
        </is>
      </c>
      <c r="M10" s="6" t="inlineStr">
        <is>
          <t>2020-21 8(a); 2019-20 7(b)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2022-23</t>
        </is>
      </c>
      <c r="C11" s="24" t="inlineStr">
        <is>
          <t>MATH 243</t>
        </is>
      </c>
      <c r="D11" s="24" t="inlineStr">
        <is>
          <t>2(c)</t>
        </is>
      </c>
      <c r="E11" s="6" t="inlineStr">
        <is>
          <t>f = 6x(1 − x): P(μ − 2σ &lt; X &lt; μ + 2σ) compared with Chebyshev</t>
        </is>
      </c>
      <c r="F11" s="6" t="inlineStr">
        <is>
          <t>Expectation, variance, Chebyshev — Lec 9 pp. 1–5, other dist. p. 1</t>
        </is>
      </c>
      <c r="G11" s="24" t="inlineStr">
        <is>
          <t>L9</t>
        </is>
      </c>
      <c r="H11" s="24" t="n">
        <v>10</v>
      </c>
      <c r="I11" s="24" t="n">
        <v>48</v>
      </c>
      <c r="J11" s="25" t="inlineStr">
        <is>
          <t>★★★ High</t>
        </is>
      </c>
      <c r="K11" s="24" t="inlineStr">
        <is>
          <t>Numerical</t>
        </is>
      </c>
      <c r="L11" s="22" t="inlineStr">
        <is>
          <t>✔ Solved</t>
        </is>
      </c>
      <c r="M11" s="6" t="inlineStr">
        <is>
          <t>2023-24 3(a)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2020-21</t>
        </is>
      </c>
      <c r="C12" s="24" t="inlineStr">
        <is>
          <t>MATH 245</t>
        </is>
      </c>
      <c r="D12" s="24" t="inlineStr">
        <is>
          <t>8(a)</t>
        </is>
      </c>
      <c r="E12" s="6" t="inlineStr">
        <is>
          <t>Hospital stay Y = X + 4, f(x) = 32/(x + 4)³, x &gt; 0: average stay E(Y)</t>
        </is>
      </c>
      <c r="F12" s="6" t="inlineStr">
        <is>
          <t>Expectation, variance, Chebyshev — Lec 9 pp. 1–5, other dist. p. 1</t>
        </is>
      </c>
      <c r="G12" s="24" t="inlineStr">
        <is>
          <t>L9</t>
        </is>
      </c>
      <c r="H12" s="24" t="n">
        <v>10</v>
      </c>
      <c r="I12" s="24" t="n">
        <v>38</v>
      </c>
      <c r="J12" s="25" t="inlineStr">
        <is>
          <t>★★★ High</t>
        </is>
      </c>
      <c r="K12" s="24" t="inlineStr">
        <is>
          <t>Numerical</t>
        </is>
      </c>
      <c r="L12" s="22" t="inlineStr">
        <is>
          <t>✔ Solved</t>
        </is>
      </c>
      <c r="M12" s="6" t="inlineStr">
        <is>
          <t>2022-23 2(b); 2019-20 7(b)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2019-20</t>
        </is>
      </c>
      <c r="C13" s="24" t="inlineStr">
        <is>
          <t>MATH 245</t>
        </is>
      </c>
      <c r="D13" s="24" t="inlineStr">
        <is>
          <t>7(b)</t>
        </is>
      </c>
      <c r="E13" s="6" t="inlineStr">
        <is>
          <t>f(x) = e^{−x}, x &gt; 0: expected value of g(X) = e^{2X/3}</t>
        </is>
      </c>
      <c r="F13" s="6" t="inlineStr">
        <is>
          <t>Expectation, variance, Chebyshev — Lec 9 pp. 1–5, other dist. p. 1</t>
        </is>
      </c>
      <c r="G13" s="24" t="inlineStr">
        <is>
          <t>L9</t>
        </is>
      </c>
      <c r="H13" s="24" t="n">
        <v>18</v>
      </c>
      <c r="I13" s="24" t="n">
        <v>35</v>
      </c>
      <c r="J13" s="25" t="inlineStr">
        <is>
          <t>★★★ High</t>
        </is>
      </c>
      <c r="K13" s="24" t="inlineStr">
        <is>
          <t>Numerical</t>
        </is>
      </c>
      <c r="L13" s="22" t="inlineStr">
        <is>
          <t>✔ Solved</t>
        </is>
      </c>
      <c r="M13" s="6" t="inlineStr">
        <is>
          <t>2022-23 2(b); 2020-21 8(a)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2018-19</t>
        </is>
      </c>
      <c r="C14" s="24" t="inlineStr">
        <is>
          <t>MATH 245</t>
        </is>
      </c>
      <c r="D14" s="24" t="inlineStr">
        <is>
          <t>7(b)</t>
        </is>
      </c>
      <c r="E14" s="6" t="inlineStr">
        <is>
          <t>Lot of 7 (4 good, 3 defective), sample 3: expected number of good components</t>
        </is>
      </c>
      <c r="F14" s="6" t="inlineStr">
        <is>
          <t>Expectation, variance, Chebyshev — Lec 9 pp. 1–5, other dist. p. 1</t>
        </is>
      </c>
      <c r="G14" s="24" t="inlineStr">
        <is>
          <t>L9</t>
        </is>
      </c>
      <c r="H14" s="24" t="n">
        <v>15</v>
      </c>
      <c r="I14" s="24" t="n">
        <v>25</v>
      </c>
      <c r="J14" s="22" t="inlineStr">
        <is>
          <t>★ Low</t>
        </is>
      </c>
      <c r="K14" s="24" t="inlineStr">
        <is>
          <t>Numerical</t>
        </is>
      </c>
      <c r="L14" s="22" t="inlineStr">
        <is>
          <t>✔ Solved</t>
        </is>
      </c>
      <c r="M14" s="6" t="inlineStr">
        <is>
          <t>—</t>
        </is>
      </c>
      <c r="N14" s="23" t="b">
        <v>0</v>
      </c>
      <c r="O14" s="24" t="n"/>
      <c r="P14" s="24" t="n"/>
      <c r="Q14" s="6" t="n"/>
    </row>
  </sheetData>
  <autoFilter ref="A3:Q14"/>
  <conditionalFormatting sqref="A4:Q14">
    <cfRule type="expression" priority="1" dxfId="0">
      <formula>$N4=TRUE</formula>
    </cfRule>
  </conditionalFormatting>
  <conditionalFormatting sqref="O4:O1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4" showDropDown="0" showInputMessage="0" showErrorMessage="0" allowBlank="1" type="list">
      <formula1>"TRUE,FALSE"</formula1>
    </dataValidation>
    <dataValidation sqref="O4:O1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8–9 — Joint, Marginal, Conditional, Covariance</t>
        </is>
      </c>
    </row>
    <row r="2">
      <c r="A2" s="2" t="inlineStr">
        <is>
          <t>Note file: MATH243_KKS_Joint_Distributions_Notes.docx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MATH 243</t>
        </is>
      </c>
      <c r="D4" s="19" t="inlineStr">
        <is>
          <t>2(b)</t>
        </is>
      </c>
      <c r="E4" s="20" t="inlineStr">
        <is>
          <t>Pens 3 red, 2 blue, 3 black, choose 2: joint pmf plot, P(X + Y ≤ 1), marginals, Var(X), Cov(X, Y)</t>
        </is>
      </c>
      <c r="F4" s="20" t="inlineStr">
        <is>
          <t>Joint pmf/pdf, marginals — Lec 8 pp. 1–6</t>
        </is>
      </c>
      <c r="G4" s="19" t="inlineStr">
        <is>
          <t>L10</t>
        </is>
      </c>
      <c r="H4" s="19" t="n">
        <v>20</v>
      </c>
      <c r="I4" s="19" t="inlineStr">
        <is>
          <t>22 batch p.1</t>
        </is>
      </c>
      <c r="J4" s="25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2020-21</t>
        </is>
      </c>
      <c r="C5" s="19" t="inlineStr">
        <is>
          <t>MATH 245</t>
        </is>
      </c>
      <c r="D5" s="19" t="inlineStr">
        <is>
          <t>5(c)</t>
        </is>
      </c>
      <c r="E5" s="20" t="inlineStr">
        <is>
          <t>Tyre pressures f = k(x² + y²), 30 ≤ x, y &lt; 50: k; P(30 ≤ X ≤ 40, 40 ≤ Y &lt; 50); P(both underfilled)</t>
        </is>
      </c>
      <c r="F5" s="20" t="inlineStr">
        <is>
          <t>Joint pmf/pdf, marginals — Lec 8 pp. 1–6</t>
        </is>
      </c>
      <c r="G5" s="19" t="inlineStr">
        <is>
          <t>L10</t>
        </is>
      </c>
      <c r="H5" s="19" t="n">
        <v>10</v>
      </c>
      <c r="I5" s="19" t="n">
        <v>37</v>
      </c>
      <c r="J5" s="25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2022-23 2(a); 2012-13 8(a)</t>
        </is>
      </c>
      <c r="N5" s="23" t="b">
        <v>0</v>
      </c>
      <c r="O5" s="19" t="n"/>
      <c r="P5" s="19" t="n"/>
      <c r="Q5" s="20" t="n"/>
    </row>
    <row r="6">
      <c r="A6" s="24" t="n">
        <v>3</v>
      </c>
      <c r="B6" s="24" t="inlineStr">
        <is>
          <t>2022-23</t>
        </is>
      </c>
      <c r="C6" s="24" t="inlineStr">
        <is>
          <t>MATH 243</t>
        </is>
      </c>
      <c r="D6" s="24" t="inlineStr">
        <is>
          <t>2(a)</t>
        </is>
      </c>
      <c r="E6" s="6" t="inlineStr">
        <is>
          <t>f(x, y) = 10xy², 0 &lt; x &lt; y &lt; 1: g(x), h(y), f(y|x); P(Y &gt; 1/2 | X = 0.25)</t>
        </is>
      </c>
      <c r="F6" s="6" t="inlineStr">
        <is>
          <t>Conditional distributions, independence — Lec 8 pp. 7–11</t>
        </is>
      </c>
      <c r="G6" s="24" t="inlineStr">
        <is>
          <t>L11</t>
        </is>
      </c>
      <c r="H6" s="24" t="n">
        <v>15</v>
      </c>
      <c r="I6" s="24" t="n">
        <v>47</v>
      </c>
      <c r="J6" s="25" t="inlineStr">
        <is>
          <t>★★★ High</t>
        </is>
      </c>
      <c r="K6" s="24" t="inlineStr">
        <is>
          <t>Numerical</t>
        </is>
      </c>
      <c r="L6" s="22" t="inlineStr">
        <is>
          <t>✔ Solved</t>
        </is>
      </c>
      <c r="M6" s="6" t="inlineStr">
        <is>
          <t>2020-21 5(c); 2012-13 8(a)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2012-13</t>
        </is>
      </c>
      <c r="C7" s="24" t="inlineStr">
        <is>
          <t>MATH 241</t>
        </is>
      </c>
      <c r="D7" s="24" t="inlineStr">
        <is>
          <t>8(a)</t>
        </is>
      </c>
      <c r="E7" s="6" t="inlineStr">
        <is>
          <t>Joint density (6 − x − y)/k on 0&lt;x&lt;2, 2&lt;y&lt;4: find P(1 &lt; Y &lt; 3 | X = 2)</t>
        </is>
      </c>
      <c r="F7" s="6" t="inlineStr">
        <is>
          <t>Conditional distributions, independence — Lec 8 pp. 7–11</t>
        </is>
      </c>
      <c r="G7" s="24" t="inlineStr">
        <is>
          <t>L11</t>
        </is>
      </c>
      <c r="H7" s="24" t="n">
        <v>18</v>
      </c>
      <c r="I7" s="24" t="n">
        <v>5</v>
      </c>
      <c r="J7" s="21" t="inlineStr">
        <is>
          <t>★★ Medium</t>
        </is>
      </c>
      <c r="K7" s="24" t="inlineStr">
        <is>
          <t>Numerical</t>
        </is>
      </c>
      <c r="L7" s="22" t="inlineStr">
        <is>
          <t>✔ Solved</t>
        </is>
      </c>
      <c r="M7" s="6" t="inlineStr">
        <is>
          <t>2022-23 2(a); 2020-21 5(c)</t>
        </is>
      </c>
      <c r="N7" s="23" t="b">
        <v>0</v>
      </c>
      <c r="O7" s="24" t="n"/>
      <c r="P7" s="24" t="n"/>
      <c r="Q7" s="6" t="n"/>
    </row>
  </sheetData>
  <autoFilter ref="A3:Q7"/>
  <conditionalFormatting sqref="A4:Q7">
    <cfRule type="expression" priority="1" dxfId="0">
      <formula>$N4=TRUE</formula>
    </cfRule>
  </conditionalFormatting>
  <conditionalFormatting sqref="O4:O7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7" showDropDown="0" showInputMessage="0" showErrorMessage="0" allowBlank="1" type="list">
      <formula1>"TRUE,FALSE"</formula1>
    </dataValidation>
    <dataValidation sqref="O4:O7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10–11 — Binomial, Poisson, Multinomial, Hypergeometric</t>
        </is>
      </c>
    </row>
    <row r="2">
      <c r="A2" s="2" t="inlineStr">
        <is>
          <t>Note file: MATH243_KKS_Discrete_Distributions_Notes.docx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MATH 243</t>
        </is>
      </c>
      <c r="D4" s="19" t="inlineStr">
        <is>
          <t>3(c)</t>
        </is>
      </c>
      <c r="E4" s="20" t="inlineStr">
        <is>
          <t>P(recover) 0.4, 15 patients: P(at least 10 survive), P(3 to 8 survive), P(exactly 5 die)</t>
        </is>
      </c>
      <c r="F4" s="20" t="inlineStr">
        <is>
          <t>Binomial — Lec 10</t>
        </is>
      </c>
      <c r="G4" s="19" t="inlineStr">
        <is>
          <t>L13</t>
        </is>
      </c>
      <c r="H4" s="19" t="n">
        <v>12</v>
      </c>
      <c r="I4" s="19" t="inlineStr">
        <is>
          <t>22 batch p.2</t>
        </is>
      </c>
      <c r="J4" s="25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2020-21 7(a); 2014-15 8(b); 2013-14 7(b)(ii)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2020-21</t>
        </is>
      </c>
      <c r="C5" s="19" t="inlineStr">
        <is>
          <t>MATH 245</t>
        </is>
      </c>
      <c r="D5" s="19" t="inlineStr">
        <is>
          <t>7(a)</t>
        </is>
      </c>
      <c r="E5" s="20" t="inlineStr">
        <is>
          <t>Diode failure 0.03, 200 diodes: mean, variance, P(board works = no failures)</t>
        </is>
      </c>
      <c r="F5" s="20" t="inlineStr">
        <is>
          <t>Binomial — Lec 10</t>
        </is>
      </c>
      <c r="G5" s="19" t="inlineStr">
        <is>
          <t>L13</t>
        </is>
      </c>
      <c r="H5" s="19" t="n">
        <v>17</v>
      </c>
      <c r="I5" s="19" t="n">
        <v>38</v>
      </c>
      <c r="J5" s="25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2023-24 3(c); 2014-15 8(b); 2013-14 7(b)(ii)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2014-15</t>
        </is>
      </c>
      <c r="C6" s="19" t="inlineStr">
        <is>
          <t>MATH 241</t>
        </is>
      </c>
      <c r="D6" s="19" t="inlineStr">
        <is>
          <t>8(b)</t>
        </is>
      </c>
      <c r="E6" s="20" t="inlineStr">
        <is>
          <t>P(graduate) = 0.4; of 5 students: P(none), P(at least 1), P(all)</t>
        </is>
      </c>
      <c r="F6" s="20" t="inlineStr">
        <is>
          <t>Binomial — Lec 10</t>
        </is>
      </c>
      <c r="G6" s="19" t="inlineStr">
        <is>
          <t>L13</t>
        </is>
      </c>
      <c r="H6" s="19" t="n">
        <v>12</v>
      </c>
      <c r="I6" s="19" t="n">
        <v>11</v>
      </c>
      <c r="J6" s="21" t="inlineStr">
        <is>
          <t>★★ Medium</t>
        </is>
      </c>
      <c r="K6" s="19" t="inlineStr">
        <is>
          <t>Numerical</t>
        </is>
      </c>
      <c r="L6" s="22" t="inlineStr">
        <is>
          <t>✔ Solved</t>
        </is>
      </c>
      <c r="M6" s="20" t="inlineStr">
        <is>
          <t>2023-24 3(c); 2020-21 7(a); 2013-14 7(b)(ii)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2013-14</t>
        </is>
      </c>
      <c r="C7" s="19" t="inlineStr">
        <is>
          <t>MATH 241</t>
        </is>
      </c>
      <c r="D7" s="19" t="inlineStr">
        <is>
          <t>7(b)(ii)</t>
        </is>
      </c>
      <c r="E7" s="20" t="inlineStr">
        <is>
          <t>10 % defective, 12 instruments: P(at least 4 defective)</t>
        </is>
      </c>
      <c r="F7" s="20" t="inlineStr">
        <is>
          <t>Binomial — Lec 10</t>
        </is>
      </c>
      <c r="G7" s="19" t="inlineStr">
        <is>
          <t>L13</t>
        </is>
      </c>
      <c r="H7" s="19" t="n">
        <v>8</v>
      </c>
      <c r="I7" s="19" t="n">
        <v>8</v>
      </c>
      <c r="J7" s="21" t="inlineStr">
        <is>
          <t>★★ Medium</t>
        </is>
      </c>
      <c r="K7" s="19" t="inlineStr">
        <is>
          <t>Numerical</t>
        </is>
      </c>
      <c r="L7" s="22" t="inlineStr">
        <is>
          <t>✔ Solved</t>
        </is>
      </c>
      <c r="M7" s="20" t="inlineStr">
        <is>
          <t>2023-24 3(c); 2020-21 7(a); 2014-15 8(b)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2012-13</t>
        </is>
      </c>
      <c r="C8" s="19" t="inlineStr">
        <is>
          <t>MATH 241</t>
        </is>
      </c>
      <c r="D8" s="19" t="inlineStr">
        <is>
          <t>6(c)</t>
        </is>
      </c>
      <c r="E8" s="20" t="inlineStr">
        <is>
          <t>Derive the mean and variance of the binomial distribution</t>
        </is>
      </c>
      <c r="F8" s="20" t="inlineStr">
        <is>
          <t>Binomial — Lec 10</t>
        </is>
      </c>
      <c r="G8" s="19" t="inlineStr">
        <is>
          <t>L13</t>
        </is>
      </c>
      <c r="H8" s="19" t="n">
        <v>10</v>
      </c>
      <c r="I8" s="19" t="n">
        <v>5</v>
      </c>
      <c r="J8" s="22" t="inlineStr">
        <is>
          <t>★ Low</t>
        </is>
      </c>
      <c r="K8" s="19" t="inlineStr">
        <is>
          <t>Derivation</t>
        </is>
      </c>
      <c r="L8" s="22" t="inlineStr">
        <is>
          <t>✔ Solved</t>
        </is>
      </c>
      <c r="M8" s="20" t="inlineStr">
        <is>
          <t>—</t>
        </is>
      </c>
      <c r="N8" s="23" t="b">
        <v>0</v>
      </c>
      <c r="O8" s="19" t="n"/>
      <c r="P8" s="19" t="n"/>
      <c r="Q8" s="20" t="n"/>
    </row>
    <row r="9">
      <c r="A9" s="24" t="n">
        <v>6</v>
      </c>
      <c r="B9" s="24" t="inlineStr">
        <is>
          <t>2023-24</t>
        </is>
      </c>
      <c r="C9" s="24" t="inlineStr">
        <is>
          <t>MATH 243</t>
        </is>
      </c>
      <c r="D9" s="24" t="inlineStr">
        <is>
          <t>3(b)</t>
        </is>
      </c>
      <c r="E9" s="6" t="inlineStr">
        <is>
          <t>Relation between binomial and Poisson; 0.5 calls/min: P(2 calls in 5 minutes)</t>
        </is>
      </c>
      <c r="F9" s="6" t="inlineStr">
        <is>
          <t>Poisson, binomial limit — Lec 11</t>
        </is>
      </c>
      <c r="G9" s="24" t="inlineStr">
        <is>
          <t>L14</t>
        </is>
      </c>
      <c r="H9" s="24" t="n">
        <v>12</v>
      </c>
      <c r="I9" s="24" t="inlineStr">
        <is>
          <t>22 batch p.2</t>
        </is>
      </c>
      <c r="J9" s="25" t="inlineStr">
        <is>
          <t>★★★ High</t>
        </is>
      </c>
      <c r="K9" s="24" t="inlineStr">
        <is>
          <t>Derivation</t>
        </is>
      </c>
      <c r="L9" s="22" t="inlineStr">
        <is>
          <t>✔ Solved</t>
        </is>
      </c>
      <c r="M9" s="6" t="inlineStr">
        <is>
          <t>2022-23 3(a); 2016-17 8(a)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2022-23</t>
        </is>
      </c>
      <c r="C10" s="24" t="inlineStr">
        <is>
          <t>MATH 243</t>
        </is>
      </c>
      <c r="D10" s="24" t="inlineStr">
        <is>
          <t>3(a)</t>
        </is>
      </c>
      <c r="E10" s="6" t="inlineStr">
        <is>
          <t>Bernoulli and Poisson processes; derive the Poisson distribution</t>
        </is>
      </c>
      <c r="F10" s="6" t="inlineStr">
        <is>
          <t>Poisson, binomial limit — Lec 11</t>
        </is>
      </c>
      <c r="G10" s="24" t="inlineStr">
        <is>
          <t>L14</t>
        </is>
      </c>
      <c r="H10" s="24" t="n">
        <v>10</v>
      </c>
      <c r="I10" s="24" t="n">
        <v>48</v>
      </c>
      <c r="J10" s="25" t="inlineStr">
        <is>
          <t>★★★ High</t>
        </is>
      </c>
      <c r="K10" s="24" t="inlineStr">
        <is>
          <t>Derivation</t>
        </is>
      </c>
      <c r="L10" s="22" t="inlineStr">
        <is>
          <t>✔ Solved</t>
        </is>
      </c>
      <c r="M10" s="6" t="inlineStr">
        <is>
          <t>2023-24 3(b); 2016-17 8(a)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2022-23</t>
        </is>
      </c>
      <c r="C11" s="24" t="inlineStr">
        <is>
          <t>MATH 243</t>
        </is>
      </c>
      <c r="D11" s="24" t="inlineStr">
        <is>
          <t>3(b)</t>
        </is>
      </c>
      <c r="E11" s="6" t="inlineStr">
        <is>
          <t>Variance of Poisson; 1 in 1000 returns has an error, 10,000 examined: P(6, 7 or 8 errors)</t>
        </is>
      </c>
      <c r="F11" s="6" t="inlineStr">
        <is>
          <t>Poisson, binomial limit — Lec 11</t>
        </is>
      </c>
      <c r="G11" s="24" t="inlineStr">
        <is>
          <t>L14</t>
        </is>
      </c>
      <c r="H11" s="24" t="n">
        <v>12</v>
      </c>
      <c r="I11" s="24" t="n">
        <v>48</v>
      </c>
      <c r="J11" s="25" t="inlineStr">
        <is>
          <t>★★★ High</t>
        </is>
      </c>
      <c r="K11" s="24" t="inlineStr">
        <is>
          <t>Numerical</t>
        </is>
      </c>
      <c r="L11" s="22" t="inlineStr">
        <is>
          <t>✔ Solved</t>
        </is>
      </c>
      <c r="M11" s="6" t="inlineStr">
        <is>
          <t>2019-20 8(a); 2011-12 7(b)(i)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2019-20</t>
        </is>
      </c>
      <c r="C12" s="24" t="inlineStr">
        <is>
          <t>MATH 245</t>
        </is>
      </c>
      <c r="D12" s="24" t="inlineStr">
        <is>
          <t>8(a)</t>
        </is>
      </c>
      <c r="E12" s="6" t="inlineStr">
        <is>
          <t>Bubbles in glass, 1 in 1000; sample of 8000: P(fewer than 7) (Poisson approximation)</t>
        </is>
      </c>
      <c r="F12" s="6" t="inlineStr">
        <is>
          <t>Poisson, binomial limit — Lec 11</t>
        </is>
      </c>
      <c r="G12" s="24" t="inlineStr">
        <is>
          <t>L14</t>
        </is>
      </c>
      <c r="H12" s="24" t="n">
        <v>10</v>
      </c>
      <c r="I12" s="24" t="n">
        <v>35</v>
      </c>
      <c r="J12" s="25" t="inlineStr">
        <is>
          <t>★★★ High</t>
        </is>
      </c>
      <c r="K12" s="24" t="inlineStr">
        <is>
          <t>Numerical</t>
        </is>
      </c>
      <c r="L12" s="22" t="inlineStr">
        <is>
          <t>✔ Solved</t>
        </is>
      </c>
      <c r="M12" s="6" t="inlineStr">
        <is>
          <t>2022-23 3(b); 2011-12 7(b)(i)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2016-17</t>
        </is>
      </c>
      <c r="C13" s="24" t="inlineStr">
        <is>
          <t>MATH 245</t>
        </is>
      </c>
      <c r="D13" s="24" t="inlineStr">
        <is>
          <t>8(a)</t>
        </is>
      </c>
      <c r="E13" s="6" t="inlineStr">
        <is>
          <t>Prove b(x; n, p) → Poisson as n → ∞, p → 0; accidents p = 0.005 over 400 days: P(exactly 1), P(at most 3)</t>
        </is>
      </c>
      <c r="F13" s="6" t="inlineStr">
        <is>
          <t>Poisson, binomial limit — Lec 11</t>
        </is>
      </c>
      <c r="G13" s="24" t="inlineStr">
        <is>
          <t>L14</t>
        </is>
      </c>
      <c r="H13" s="24" t="n">
        <v>20</v>
      </c>
      <c r="I13" s="24" t="n">
        <v>21</v>
      </c>
      <c r="J13" s="21" t="inlineStr">
        <is>
          <t>★★ Medium</t>
        </is>
      </c>
      <c r="K13" s="24" t="inlineStr">
        <is>
          <t>Derivation</t>
        </is>
      </c>
      <c r="L13" s="22" t="inlineStr">
        <is>
          <t>✔ Solved</t>
        </is>
      </c>
      <c r="M13" s="6" t="inlineStr">
        <is>
          <t>2023-24 3(b); 2022-23 3(a)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2012-13</t>
        </is>
      </c>
      <c r="C14" s="24" t="inlineStr">
        <is>
          <t>MATH 241</t>
        </is>
      </c>
      <c r="D14" s="24" t="inlineStr">
        <is>
          <t>6(b)</t>
        </is>
      </c>
      <c r="E14" s="6" t="inlineStr">
        <is>
          <t>Truck tyres, 20 % blow out, next 18: P(4 to 7), P(fewer than 3), P(more than 5) by binomial and Poisson</t>
        </is>
      </c>
      <c r="F14" s="6" t="inlineStr">
        <is>
          <t>Poisson, binomial limit — Lec 11</t>
        </is>
      </c>
      <c r="G14" s="24" t="inlineStr">
        <is>
          <t>L14</t>
        </is>
      </c>
      <c r="H14" s="24" t="n">
        <v>10</v>
      </c>
      <c r="I14" s="24" t="n">
        <v>5</v>
      </c>
      <c r="J14" s="22" t="inlineStr">
        <is>
          <t>★ Low</t>
        </is>
      </c>
      <c r="K14" s="24" t="inlineStr">
        <is>
          <t>Numerical</t>
        </is>
      </c>
      <c r="L14" s="22" t="inlineStr">
        <is>
          <t>✔ Solved</t>
        </is>
      </c>
      <c r="M14" s="6" t="inlineStr">
        <is>
          <t>—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2011-12</t>
        </is>
      </c>
      <c r="C15" s="24" t="inlineStr">
        <is>
          <t>MATH 241</t>
        </is>
      </c>
      <c r="D15" s="24" t="inlineStr">
        <is>
          <t>7(b)(i)</t>
        </is>
      </c>
      <c r="E15" s="6" t="inlineStr">
        <is>
          <t>Insurance: P(death) = 0.0005, 1000 policies — P(5 or more claims)</t>
        </is>
      </c>
      <c r="F15" s="6" t="inlineStr">
        <is>
          <t>Poisson, binomial limit — Lec 11</t>
        </is>
      </c>
      <c r="G15" s="24" t="inlineStr">
        <is>
          <t>L14</t>
        </is>
      </c>
      <c r="H15" s="24" t="n">
        <v>7</v>
      </c>
      <c r="I15" s="24" t="n">
        <v>2</v>
      </c>
      <c r="J15" s="21" t="inlineStr">
        <is>
          <t>★★ Medium</t>
        </is>
      </c>
      <c r="K15" s="24" t="inlineStr">
        <is>
          <t>Numerical</t>
        </is>
      </c>
      <c r="L15" s="22" t="inlineStr">
        <is>
          <t>✔ Solved</t>
        </is>
      </c>
      <c r="M15" s="6" t="inlineStr">
        <is>
          <t>2022-23 3(b); 2019-20 8(a)</t>
        </is>
      </c>
      <c r="N15" s="23" t="b">
        <v>0</v>
      </c>
      <c r="O15" s="24" t="n"/>
      <c r="P15" s="24" t="n"/>
      <c r="Q15" s="6" t="n"/>
    </row>
    <row r="16">
      <c r="A16" s="19" t="n">
        <v>13</v>
      </c>
      <c r="B16" s="19" t="inlineStr">
        <is>
          <t>2021-22</t>
        </is>
      </c>
      <c r="C16" s="19" t="inlineStr">
        <is>
          <t>MATH 245</t>
        </is>
      </c>
      <c r="D16" s="19" t="inlineStr">
        <is>
          <t>6(a)</t>
        </is>
      </c>
      <c r="E16" s="20" t="inlineStr">
        <is>
          <t>500 lottery tickets, 200 pay off; buy 5: P(win back at least the cost of 3)</t>
        </is>
      </c>
      <c r="F16" s="20" t="inlineStr">
        <is>
          <t>Multinomial, hypergeometric, geometric — other dist. pp. 3–6</t>
        </is>
      </c>
      <c r="G16" s="19" t="inlineStr">
        <is>
          <t>L15</t>
        </is>
      </c>
      <c r="H16" s="19" t="n">
        <v>10</v>
      </c>
      <c r="I16" s="19" t="n">
        <v>44</v>
      </c>
      <c r="J16" s="25" t="inlineStr">
        <is>
          <t>★★★ High</t>
        </is>
      </c>
      <c r="K16" s="19" t="inlineStr">
        <is>
          <t>Numerical</t>
        </is>
      </c>
      <c r="L16" s="22" t="inlineStr">
        <is>
          <t>✔ Solved</t>
        </is>
      </c>
      <c r="M16" s="20" t="inlineStr">
        <is>
          <t>2021-22 6(c)</t>
        </is>
      </c>
      <c r="N16" s="23" t="b">
        <v>0</v>
      </c>
      <c r="O16" s="19" t="n"/>
      <c r="P16" s="19" t="n"/>
      <c r="Q16" s="20" t="n"/>
    </row>
    <row r="17">
      <c r="A17" s="19" t="n">
        <v>14</v>
      </c>
      <c r="B17" s="19" t="inlineStr">
        <is>
          <t>2021-22</t>
        </is>
      </c>
      <c r="C17" s="19" t="inlineStr">
        <is>
          <t>MATH 245</t>
        </is>
      </c>
      <c r="D17" s="19" t="inlineStr">
        <is>
          <t>6(b)</t>
        </is>
      </c>
      <c r="E17" s="20" t="inlineStr">
        <is>
          <t>Delegates by air/bus/auto/train (0.4, 0.2, 0.3, 0.1): P(3, 3, 1, 2 among 9)</t>
        </is>
      </c>
      <c r="F17" s="20" t="inlineStr">
        <is>
          <t>Multinomial, hypergeometric, geometric — other dist. pp. 3–6</t>
        </is>
      </c>
      <c r="G17" s="19" t="inlineStr">
        <is>
          <t>L15</t>
        </is>
      </c>
      <c r="H17" s="19" t="n">
        <v>10</v>
      </c>
      <c r="I17" s="19" t="n">
        <v>44</v>
      </c>
      <c r="J17" s="25" t="inlineStr">
        <is>
          <t>★★★ High</t>
        </is>
      </c>
      <c r="K17" s="19" t="inlineStr">
        <is>
          <t>Numerical</t>
        </is>
      </c>
      <c r="L17" s="22" t="inlineStr">
        <is>
          <t>✔ Solved</t>
        </is>
      </c>
      <c r="M17" s="20" t="inlineStr">
        <is>
          <t>—</t>
        </is>
      </c>
      <c r="N17" s="23" t="b">
        <v>0</v>
      </c>
      <c r="O17" s="19" t="n"/>
      <c r="P17" s="19" t="n"/>
      <c r="Q17" s="20" t="n"/>
    </row>
    <row r="18">
      <c r="A18" s="19" t="n">
        <v>15</v>
      </c>
      <c r="B18" s="19" t="inlineStr">
        <is>
          <t>2021-22</t>
        </is>
      </c>
      <c r="C18" s="19" t="inlineStr">
        <is>
          <t>MATH 245</t>
        </is>
      </c>
      <c r="D18" s="19" t="inlineStr">
        <is>
          <t>6(c)</t>
        </is>
      </c>
      <c r="E18" s="20" t="inlineStr">
        <is>
          <t>5 cars, 2 blemished; agency receives 3: probability distribution and F(x) of the number blemished</t>
        </is>
      </c>
      <c r="F18" s="20" t="inlineStr">
        <is>
          <t>Multinomial, hypergeometric, geometric — other dist. pp. 3–6</t>
        </is>
      </c>
      <c r="G18" s="19" t="inlineStr">
        <is>
          <t>L15</t>
        </is>
      </c>
      <c r="H18" s="19" t="n">
        <v>15</v>
      </c>
      <c r="I18" s="19" t="n">
        <v>44</v>
      </c>
      <c r="J18" s="25" t="inlineStr">
        <is>
          <t>★★★ High</t>
        </is>
      </c>
      <c r="K18" s="19" t="inlineStr">
        <is>
          <t>Numerical</t>
        </is>
      </c>
      <c r="L18" s="22" t="inlineStr">
        <is>
          <t>✔ Solved</t>
        </is>
      </c>
      <c r="M18" s="20" t="inlineStr">
        <is>
          <t>2021-22 6(a)</t>
        </is>
      </c>
      <c r="N18" s="23" t="b">
        <v>0</v>
      </c>
      <c r="O18" s="19" t="n"/>
      <c r="P18" s="19" t="n"/>
      <c r="Q18" s="20" t="n"/>
    </row>
    <row r="19">
      <c r="A19" s="19" t="n">
        <v>16</v>
      </c>
      <c r="B19" s="19" t="inlineStr">
        <is>
          <t>2020-21</t>
        </is>
      </c>
      <c r="C19" s="19" t="inlineStr">
        <is>
          <t>MATH 245</t>
        </is>
      </c>
      <c r="D19" s="19" t="inlineStr">
        <is>
          <t>6(c)</t>
        </is>
      </c>
      <c r="E19" s="20" t="inlineStr">
        <is>
          <t>Valium, 2/3 of users women: 5th prescription is the first / the third for a woman</t>
        </is>
      </c>
      <c r="F19" s="20" t="inlineStr">
        <is>
          <t>Multinomial, hypergeometric, geometric — other dist. pp. 3–6</t>
        </is>
      </c>
      <c r="G19" s="19" t="inlineStr">
        <is>
          <t>L15</t>
        </is>
      </c>
      <c r="H19" s="19" t="n">
        <v>10</v>
      </c>
      <c r="I19" s="19" t="n">
        <v>38</v>
      </c>
      <c r="J19" s="25" t="inlineStr">
        <is>
          <t>★★★ High</t>
        </is>
      </c>
      <c r="K19" s="19" t="inlineStr">
        <is>
          <t>Numerical</t>
        </is>
      </c>
      <c r="L19" s="22" t="inlineStr">
        <is>
          <t>✔ Solved</t>
        </is>
      </c>
      <c r="M19" s="20" t="inlineStr">
        <is>
          <t>—</t>
        </is>
      </c>
      <c r="N19" s="23" t="b">
        <v>0</v>
      </c>
      <c r="O19" s="19" t="n"/>
      <c r="P19" s="19" t="n"/>
      <c r="Q19" s="20" t="n"/>
    </row>
  </sheetData>
  <autoFilter ref="A3:Q19"/>
  <conditionalFormatting sqref="A4:Q19">
    <cfRule type="expression" priority="1" dxfId="0">
      <formula>$N4=TRUE</formula>
    </cfRule>
  </conditionalFormatting>
  <conditionalFormatting sqref="O4:O19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9" showDropDown="0" showInputMessage="0" showErrorMessage="0" allowBlank="1" type="list">
      <formula1>"TRUE,FALSE"</formula1>
    </dataValidation>
    <dataValidation sqref="O4:O19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12 — Normal Distribution and Approximations</t>
        </is>
      </c>
    </row>
    <row r="2">
      <c r="A2" s="2" t="inlineStr">
        <is>
          <t>Note file: MATH243_KKS_Normal_Distribution_Notes.docx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MATH 243</t>
        </is>
      </c>
      <c r="D4" s="19" t="inlineStr">
        <is>
          <t>4(a)</t>
        </is>
      </c>
      <c r="E4" s="20" t="inlineStr">
        <is>
          <t>Show mode of normal = μ; bulbs N(800, 40²): P(778 &lt; X &lt; 834)</t>
        </is>
      </c>
      <c r="F4" s="20" t="inlineStr">
        <is>
          <t>Normal, z table — Lec 12 pp. 1–8</t>
        </is>
      </c>
      <c r="G4" s="19" t="inlineStr">
        <is>
          <t>L16</t>
        </is>
      </c>
      <c r="H4" s="19" t="n">
        <v>11</v>
      </c>
      <c r="I4" s="19" t="inlineStr">
        <is>
          <t>22 batch p.2</t>
        </is>
      </c>
      <c r="J4" s="25" t="inlineStr">
        <is>
          <t>★★★ High</t>
        </is>
      </c>
      <c r="K4" s="19" t="inlineStr">
        <is>
          <t>Numerical</t>
        </is>
      </c>
      <c r="L4" s="26" t="inlineStr">
        <is>
          <t>◐ Method</t>
        </is>
      </c>
      <c r="M4" s="20" t="inlineStr">
        <is>
          <t>2022-23 4(a)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MATH 243</t>
        </is>
      </c>
      <c r="D5" s="19" t="inlineStr">
        <is>
          <t>3(c)</t>
        </is>
      </c>
      <c r="E5" s="20" t="inlineStr">
        <is>
          <t>Lawyer's trip N(24, 3.8²): P(≥ 30 min), % late, slowest 15 %, P(2 of next 3 trips ≥ 30 min)</t>
        </is>
      </c>
      <c r="F5" s="20" t="inlineStr">
        <is>
          <t>Normal, z table — Lec 12 pp. 1–8</t>
        </is>
      </c>
      <c r="G5" s="19" t="inlineStr">
        <is>
          <t>L16</t>
        </is>
      </c>
      <c r="H5" s="19" t="n">
        <v>13</v>
      </c>
      <c r="I5" s="19" t="n">
        <v>48</v>
      </c>
      <c r="J5" s="25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2021-22 7(b); 2020-21 7(b); 2018-19 8(a); 2015-16 8(b); 2014-15 8(c)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2022-23</t>
        </is>
      </c>
      <c r="C6" s="19" t="inlineStr">
        <is>
          <t>MATH 243</t>
        </is>
      </c>
      <c r="D6" s="19" t="inlineStr">
        <is>
          <t>4(a)</t>
        </is>
      </c>
      <c r="E6" s="20" t="inlineStr">
        <is>
          <t>Properties of the normal curve; mean, mode and SD of the normal; mean and variance of the standard normal</t>
        </is>
      </c>
      <c r="F6" s="20" t="inlineStr">
        <is>
          <t>Normal, z table — Lec 12 pp. 1–8</t>
        </is>
      </c>
      <c r="G6" s="19" t="inlineStr">
        <is>
          <t>L16</t>
        </is>
      </c>
      <c r="H6" s="19" t="n">
        <v>10</v>
      </c>
      <c r="I6" s="19" t="n">
        <v>48</v>
      </c>
      <c r="J6" s="25" t="inlineStr">
        <is>
          <t>★★★ High</t>
        </is>
      </c>
      <c r="K6" s="19" t="inlineStr">
        <is>
          <t>Derivation</t>
        </is>
      </c>
      <c r="L6" s="26" t="inlineStr">
        <is>
          <t>◐ Method</t>
        </is>
      </c>
      <c r="M6" s="20" t="inlineStr">
        <is>
          <t>2023-24 4(a)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2021-22</t>
        </is>
      </c>
      <c r="C7" s="19" t="inlineStr">
        <is>
          <t>MATH 245</t>
        </is>
      </c>
      <c r="D7" s="19" t="inlineStr">
        <is>
          <t>7(b)</t>
        </is>
      </c>
      <c r="E7" s="20" t="inlineStr">
        <is>
          <t>Ball bearings 3.0 ± 0.01 cm, N(3.0, 0.005²): how many are scrapped</t>
        </is>
      </c>
      <c r="F7" s="20" t="inlineStr">
        <is>
          <t>Normal, z table — Lec 12 pp. 1–8</t>
        </is>
      </c>
      <c r="G7" s="19" t="inlineStr">
        <is>
          <t>L16</t>
        </is>
      </c>
      <c r="H7" s="19" t="n">
        <v>15</v>
      </c>
      <c r="I7" s="19" t="n">
        <v>45</v>
      </c>
      <c r="J7" s="25" t="inlineStr">
        <is>
          <t>★★★ High</t>
        </is>
      </c>
      <c r="K7" s="19" t="inlineStr">
        <is>
          <t>Numerical</t>
        </is>
      </c>
      <c r="L7" s="22" t="inlineStr">
        <is>
          <t>✔ Solved</t>
        </is>
      </c>
      <c r="M7" s="20" t="inlineStr">
        <is>
          <t>2022-23 3(c); 2020-21 7(b); 2018-19 8(a); 2015-16 8(b); 2014-15 8(c)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2020-21</t>
        </is>
      </c>
      <c r="C8" s="19" t="inlineStr">
        <is>
          <t>MATH 245</t>
        </is>
      </c>
      <c r="D8" s="19" t="inlineStr">
        <is>
          <t>7(b)</t>
        </is>
      </c>
      <c r="E8" s="20" t="inlineStr">
        <is>
          <t>Mice lifetimes N(40, 6.3²): P(&gt; 32 months), P(37 to 49 months)</t>
        </is>
      </c>
      <c r="F8" s="20" t="inlineStr">
        <is>
          <t>Normal, z table — Lec 12 pp. 1–8</t>
        </is>
      </c>
      <c r="G8" s="19" t="inlineStr">
        <is>
          <t>L16</t>
        </is>
      </c>
      <c r="H8" s="19" t="n">
        <v>18</v>
      </c>
      <c r="I8" s="19" t="n">
        <v>38</v>
      </c>
      <c r="J8" s="25" t="inlineStr">
        <is>
          <t>★★★ High</t>
        </is>
      </c>
      <c r="K8" s="19" t="inlineStr">
        <is>
          <t>Numerical</t>
        </is>
      </c>
      <c r="L8" s="22" t="inlineStr">
        <is>
          <t>✔ Solved</t>
        </is>
      </c>
      <c r="M8" s="20" t="inlineStr">
        <is>
          <t>2022-23 3(c); 2021-22 7(b); 2018-19 8(a); 2015-16 8(b); 2014-15 8(c)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2018-19</t>
        </is>
      </c>
      <c r="C9" s="19" t="inlineStr">
        <is>
          <t>MATH 245</t>
        </is>
      </c>
      <c r="D9" s="19" t="inlineStr">
        <is>
          <t>8(a)</t>
        </is>
      </c>
      <c r="E9" s="20" t="inlineStr">
        <is>
          <t>1000 tube lights N(120, 20²): how many fail before 90 days; replacement interval so that ≤ 10 % fail</t>
        </is>
      </c>
      <c r="F9" s="20" t="inlineStr">
        <is>
          <t>Normal, z table — Lec 12 pp. 1–8</t>
        </is>
      </c>
      <c r="G9" s="19" t="inlineStr">
        <is>
          <t>L16</t>
        </is>
      </c>
      <c r="H9" s="19" t="n">
        <v>18</v>
      </c>
      <c r="I9" s="19" t="n">
        <v>25</v>
      </c>
      <c r="J9" s="21" t="inlineStr">
        <is>
          <t>★★ Medium</t>
        </is>
      </c>
      <c r="K9" s="19" t="inlineStr">
        <is>
          <t>Numerical</t>
        </is>
      </c>
      <c r="L9" s="22" t="inlineStr">
        <is>
          <t>✔ Solved</t>
        </is>
      </c>
      <c r="M9" s="20" t="inlineStr">
        <is>
          <t>2022-23 3(c); 2021-22 7(b); 2020-21 7(b); 2015-16 8(b); 2014-15 8(c)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2015-16</t>
        </is>
      </c>
      <c r="C10" s="19" t="inlineStr">
        <is>
          <t>MATH 241</t>
        </is>
      </c>
      <c r="D10" s="19" t="inlineStr">
        <is>
          <t>8(b)</t>
        </is>
      </c>
      <c r="E10" s="20" t="inlineStr">
        <is>
          <t>Normal marks: 10 % under 65, 25 % above 75 — what % lie between 60 and 74</t>
        </is>
      </c>
      <c r="F10" s="20" t="inlineStr">
        <is>
          <t>Normal, z table — Lec 12 pp. 1–8</t>
        </is>
      </c>
      <c r="G10" s="19" t="inlineStr">
        <is>
          <t>L16</t>
        </is>
      </c>
      <c r="H10" s="19" t="n">
        <v>12</v>
      </c>
      <c r="I10" s="19" t="n">
        <v>16</v>
      </c>
      <c r="J10" s="21" t="inlineStr">
        <is>
          <t>★★ Medium</t>
        </is>
      </c>
      <c r="K10" s="19" t="inlineStr">
        <is>
          <t>Numerical</t>
        </is>
      </c>
      <c r="L10" s="22" t="inlineStr">
        <is>
          <t>✔ Solved</t>
        </is>
      </c>
      <c r="M10" s="20" t="inlineStr">
        <is>
          <t>2022-23 3(c); 2021-22 7(b); 2020-21 7(b); 2018-19 8(a); 2014-15 8(c)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2014-15</t>
        </is>
      </c>
      <c r="C11" s="19" t="inlineStr">
        <is>
          <t>MATH 241</t>
        </is>
      </c>
      <c r="D11" s="19" t="inlineStr">
        <is>
          <t>8(c)</t>
        </is>
      </c>
      <c r="E11" s="20" t="inlineStr">
        <is>
          <t>2000 units/day, weight N(130, 10²): how many weigh less than 142 kg</t>
        </is>
      </c>
      <c r="F11" s="20" t="inlineStr">
        <is>
          <t>Normal, z table — Lec 12 pp. 1–8</t>
        </is>
      </c>
      <c r="G11" s="19" t="inlineStr">
        <is>
          <t>L16</t>
        </is>
      </c>
      <c r="H11" s="19" t="n">
        <v>11</v>
      </c>
      <c r="I11" s="19" t="n">
        <v>11</v>
      </c>
      <c r="J11" s="21" t="inlineStr">
        <is>
          <t>★★ Medium</t>
        </is>
      </c>
      <c r="K11" s="19" t="inlineStr">
        <is>
          <t>Numerical</t>
        </is>
      </c>
      <c r="L11" s="22" t="inlineStr">
        <is>
          <t>✔ Solved</t>
        </is>
      </c>
      <c r="M11" s="20" t="inlineStr">
        <is>
          <t>2022-23 3(c); 2021-22 7(b); 2020-21 7(b); 2018-19 8(a); 2015-16 8(b)</t>
        </is>
      </c>
      <c r="N11" s="23" t="b">
        <v>0</v>
      </c>
      <c r="O11" s="19" t="n"/>
      <c r="P11" s="19" t="n"/>
      <c r="Q11" s="20" t="n"/>
    </row>
    <row r="12">
      <c r="A12" s="24" t="n">
        <v>9</v>
      </c>
      <c r="B12" s="24" t="inlineStr">
        <is>
          <t>2016-17</t>
        </is>
      </c>
      <c r="C12" s="24" t="inlineStr">
        <is>
          <t>MATH 245</t>
        </is>
      </c>
      <c r="D12" s="24" t="inlineStr">
        <is>
          <t>7(b)</t>
        </is>
      </c>
      <c r="E12" s="6" t="inlineStr">
        <is>
          <t>U-shaped part: A ~ N(10, 0.1²), B, C ~ N(2, 0.05²); gap D = A − B − C: mean, sd, P(D &lt; 5.9)</t>
        </is>
      </c>
      <c r="F12" s="6" t="inlineStr">
        <is>
          <t>Sums of normals, x̄, normal approx. — Lec 12 pp. 6–11 (+ textbook)</t>
        </is>
      </c>
      <c r="G12" s="24" t="inlineStr">
        <is>
          <t>L17</t>
        </is>
      </c>
      <c r="H12" s="24" t="n">
        <v>10</v>
      </c>
      <c r="I12" s="24" t="n">
        <v>21</v>
      </c>
      <c r="J12" s="21" t="inlineStr">
        <is>
          <t>★★ Medium</t>
        </is>
      </c>
      <c r="K12" s="24" t="inlineStr">
        <is>
          <t>Numerical</t>
        </is>
      </c>
      <c r="L12" s="22" t="inlineStr">
        <is>
          <t>✔ Solved</t>
        </is>
      </c>
      <c r="M12" s="6" t="inlineStr">
        <is>
          <t>2016-17 7(c)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2016-17</t>
        </is>
      </c>
      <c r="C13" s="24" t="inlineStr">
        <is>
          <t>MATH 245</t>
        </is>
      </c>
      <c r="D13" s="24" t="inlineStr">
        <is>
          <t>7(c)</t>
        </is>
      </c>
      <c r="E13" s="6" t="inlineStr">
        <is>
          <t>1500 bearings, mean 22.40 g, sd 0.048 g; 300 samples of 36: mean and sd of x̄ (with/without replacement); counts in ranges</t>
        </is>
      </c>
      <c r="F13" s="6" t="inlineStr">
        <is>
          <t>Sums of normals, x̄, normal approx. — Lec 12 pp. 6–11 (+ textbook)</t>
        </is>
      </c>
      <c r="G13" s="24" t="inlineStr">
        <is>
          <t>L17</t>
        </is>
      </c>
      <c r="H13" s="24" t="n">
        <v>15</v>
      </c>
      <c r="I13" s="24" t="n">
        <v>21</v>
      </c>
      <c r="J13" s="21" t="inlineStr">
        <is>
          <t>★★ Medium</t>
        </is>
      </c>
      <c r="K13" s="24" t="inlineStr">
        <is>
          <t>Numerical</t>
        </is>
      </c>
      <c r="L13" s="22" t="inlineStr">
        <is>
          <t>✔ Solved</t>
        </is>
      </c>
      <c r="M13" s="6" t="inlineStr">
        <is>
          <t>2016-17 7(b)</t>
        </is>
      </c>
      <c r="N13" s="23" t="b">
        <v>0</v>
      </c>
      <c r="O13" s="24" t="n"/>
      <c r="P13" s="24" t="n"/>
      <c r="Q13" s="6" t="n"/>
    </row>
  </sheetData>
  <autoFilter ref="A3:Q13"/>
  <conditionalFormatting sqref="A4:Q13">
    <cfRule type="expression" priority="1" dxfId="0">
      <formula>$N4=TRUE</formula>
    </cfRule>
  </conditionalFormatting>
  <conditionalFormatting sqref="O4:O13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3" showDropDown="0" showInputMessage="0" showErrorMessage="0" allowBlank="1" type="list">
      <formula1>"TRUE,FALSE"</formula1>
    </dataValidation>
    <dataValidation sqref="O4:O13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ANOVA (KKS Sir's part) — F-test, One-way and Two-way</t>
        </is>
      </c>
    </row>
    <row r="2">
      <c r="A2" s="2" t="inlineStr">
        <is>
          <t>Note file: MATH243_KKS_ANOVA_Notes.docx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MATH 243</t>
        </is>
      </c>
      <c r="D4" s="19" t="inlineStr">
        <is>
          <t>8(b)</t>
        </is>
      </c>
      <c r="E4" s="20" t="inlineStr">
        <is>
          <t>Retail prices in 3 cities (4 shops each): one-way ANOVA (F0.05(2, 9) = 4.26)</t>
        </is>
      </c>
      <c r="F4" s="20" t="inlineStr">
        <is>
          <t>F-test, one-way ANOVA — ANOVA pp. 1–10</t>
        </is>
      </c>
      <c r="G4" s="19" t="inlineStr">
        <is>
          <t>L18</t>
        </is>
      </c>
      <c r="H4" s="19" t="n">
        <v>20</v>
      </c>
      <c r="I4" s="19" t="inlineStr">
        <is>
          <t>22 batch p.4</t>
        </is>
      </c>
      <c r="J4" s="25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2022-23 8(b); 2021-22 8(b)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MATH 243</t>
        </is>
      </c>
      <c r="D5" s="19" t="inlineStr">
        <is>
          <t>8(b)</t>
        </is>
      </c>
      <c r="E5" s="20" t="inlineStr">
        <is>
          <t>Lifetimes of 4 brands of bulbs (3 each): one-way ANOVA at 5 % and 1 %</t>
        </is>
      </c>
      <c r="F5" s="20" t="inlineStr">
        <is>
          <t>F-test, one-way ANOVA — ANOVA pp. 1–10</t>
        </is>
      </c>
      <c r="G5" s="19" t="inlineStr">
        <is>
          <t>L18</t>
        </is>
      </c>
      <c r="H5" s="19" t="n">
        <v>10</v>
      </c>
      <c r="I5" s="19" t="n">
        <v>51</v>
      </c>
      <c r="J5" s="25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2023-24 8(b); 2021-22 8(b)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2021-22</t>
        </is>
      </c>
      <c r="C6" s="19" t="inlineStr">
        <is>
          <t>MATH 245</t>
        </is>
      </c>
      <c r="D6" s="19" t="inlineStr">
        <is>
          <t>8(b)</t>
        </is>
      </c>
      <c r="E6" s="20" t="inlineStr">
        <is>
          <t>Salesmen A, B, C weekly sales: one-way ANOVA (F(2,11) = 3.98)</t>
        </is>
      </c>
      <c r="F6" s="20" t="inlineStr">
        <is>
          <t>F-test, one-way ANOVA — ANOVA pp. 1–10</t>
        </is>
      </c>
      <c r="G6" s="19" t="inlineStr">
        <is>
          <t>L18</t>
        </is>
      </c>
      <c r="H6" s="19" t="n">
        <v>18</v>
      </c>
      <c r="I6" s="19" t="n">
        <v>45</v>
      </c>
      <c r="J6" s="25" t="inlineStr">
        <is>
          <t>★★★ High</t>
        </is>
      </c>
      <c r="K6" s="19" t="inlineStr">
        <is>
          <t>Numerical</t>
        </is>
      </c>
      <c r="L6" s="22" t="inlineStr">
        <is>
          <t>✔ Solved</t>
        </is>
      </c>
      <c r="M6" s="20" t="inlineStr">
        <is>
          <t>2023-24 8(b); 2022-23 8(b)</t>
        </is>
      </c>
      <c r="N6" s="23" t="b">
        <v>0</v>
      </c>
      <c r="O6" s="19" t="n"/>
      <c r="P6" s="19" t="n"/>
      <c r="Q6" s="20" t="n"/>
    </row>
    <row r="7">
      <c r="A7" s="24" t="n">
        <v>4</v>
      </c>
      <c r="B7" s="24" t="inlineStr">
        <is>
          <t>2022-23</t>
        </is>
      </c>
      <c r="C7" s="24" t="inlineStr">
        <is>
          <t>MATH 243</t>
        </is>
      </c>
      <c r="D7" s="24" t="inlineStr">
        <is>
          <t>8(c)</t>
        </is>
      </c>
      <c r="E7" s="6" t="inlineStr">
        <is>
          <t>Four corn types in five blocks: two-way ANOVA for blocks and corn types (5 %)</t>
        </is>
      </c>
      <c r="F7" s="6" t="inlineStr">
        <is>
          <t>Two-way ANOVA — textbook</t>
        </is>
      </c>
      <c r="G7" s="24" t="inlineStr">
        <is>
          <t>L19</t>
        </is>
      </c>
      <c r="H7" s="24" t="n">
        <v>15</v>
      </c>
      <c r="I7" s="24" t="n">
        <v>51</v>
      </c>
      <c r="J7" s="25" t="inlineStr">
        <is>
          <t>★★★ High</t>
        </is>
      </c>
      <c r="K7" s="24" t="inlineStr">
        <is>
          <t>Numerical</t>
        </is>
      </c>
      <c r="L7" s="22" t="inlineStr">
        <is>
          <t>✔ Solved</t>
        </is>
      </c>
      <c r="M7" s="6" t="inlineStr">
        <is>
          <t>—</t>
        </is>
      </c>
      <c r="N7" s="23" t="b">
        <v>0</v>
      </c>
      <c r="O7" s="24" t="n"/>
      <c r="P7" s="24" t="n"/>
      <c r="Q7" s="6" t="n"/>
    </row>
  </sheetData>
  <autoFilter ref="A3:Q7"/>
  <conditionalFormatting sqref="A4:Q7">
    <cfRule type="expression" priority="1" dxfId="0">
      <formula>$N4=TRUE</formula>
    </cfRule>
  </conditionalFormatting>
  <conditionalFormatting sqref="O4:O7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7" showDropDown="0" showInputMessage="0" showErrorMessage="0" allowBlank="1" type="list">
      <formula1>"TRUE,FALSE"</formula1>
    </dataValidation>
    <dataValidation sqref="O4:O7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Lecture 13–20 — z, t, Two-sample, Proportion, χ² Tests</t>
        </is>
      </c>
    </row>
    <row r="2">
      <c r="A2" s="2" t="inlineStr">
        <is>
          <t>Note file: MATH243_KKS_Hypothesis_Testing_Notes.docx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MATH 243</t>
        </is>
      </c>
      <c r="D4" s="19" t="inlineStr">
        <is>
          <t>7(a)</t>
        </is>
      </c>
      <c r="E4" s="20" t="inlineStr">
        <is>
          <t>Short notes: goodness of fit, one-/two-tailed tests, degrees of freedom, null/alternative hypothesis</t>
        </is>
      </c>
      <c r="F4" s="20" t="inlineStr">
        <is>
          <t>Hypotheses, errors, p-value — Hyp pp. 1–6, 11–12</t>
        </is>
      </c>
      <c r="G4" s="19" t="inlineStr">
        <is>
          <t>L20</t>
        </is>
      </c>
      <c r="H4" s="19" t="n">
        <v>10</v>
      </c>
      <c r="I4" s="19" t="inlineStr">
        <is>
          <t>22 batch p.3</t>
        </is>
      </c>
      <c r="J4" s="25" t="inlineStr">
        <is>
          <t>★★★ High</t>
        </is>
      </c>
      <c r="K4" s="19" t="inlineStr">
        <is>
          <t>Theory</t>
        </is>
      </c>
      <c r="L4" s="26" t="inlineStr">
        <is>
          <t>◐ Method</t>
        </is>
      </c>
      <c r="M4" s="20" t="inlineStr">
        <is>
          <t>2022-23 7(a)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MATH 243</t>
        </is>
      </c>
      <c r="D5" s="19" t="inlineStr">
        <is>
          <t>7(a)</t>
        </is>
      </c>
      <c r="E5" s="20" t="inlineStr">
        <is>
          <t>Differentiate: statistic/parameter, critical/acceptance region, exact/inexact hypothesis, uni/non-directional test, level of significance/p-value</t>
        </is>
      </c>
      <c r="F5" s="20" t="inlineStr">
        <is>
          <t>Hypotheses, errors, p-value — Hyp pp. 1–6, 11–12</t>
        </is>
      </c>
      <c r="G5" s="19" t="inlineStr">
        <is>
          <t>L20</t>
        </is>
      </c>
      <c r="H5" s="19" t="n">
        <v>10</v>
      </c>
      <c r="I5" s="19" t="n">
        <v>50</v>
      </c>
      <c r="J5" s="25" t="inlineStr">
        <is>
          <t>★★★ High</t>
        </is>
      </c>
      <c r="K5" s="19" t="inlineStr">
        <is>
          <t>Theory</t>
        </is>
      </c>
      <c r="L5" s="26" t="inlineStr">
        <is>
          <t>◐ Method</t>
        </is>
      </c>
      <c r="M5" s="20" t="inlineStr">
        <is>
          <t>2023-24 7(a)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2020-21</t>
        </is>
      </c>
      <c r="C6" s="19" t="inlineStr">
        <is>
          <t>MATH 245</t>
        </is>
      </c>
      <c r="D6" s="19" t="inlineStr">
        <is>
          <t>8(c)</t>
        </is>
      </c>
      <c r="E6" s="20" t="inlineStr">
        <is>
          <t>DNA paternity testing: describe Type I and Type II errors</t>
        </is>
      </c>
      <c r="F6" s="20" t="inlineStr">
        <is>
          <t>Hypotheses, errors, p-value — Hyp pp. 1–6, 11–12</t>
        </is>
      </c>
      <c r="G6" s="19" t="inlineStr">
        <is>
          <t>L20</t>
        </is>
      </c>
      <c r="H6" s="19" t="n">
        <v>10</v>
      </c>
      <c r="I6" s="19" t="n">
        <v>39</v>
      </c>
      <c r="J6" s="25" t="inlineStr">
        <is>
          <t>★★★ High</t>
        </is>
      </c>
      <c r="K6" s="19" t="inlineStr">
        <is>
          <t>Theory</t>
        </is>
      </c>
      <c r="L6" s="26" t="inlineStr">
        <is>
          <t>◐ Method</t>
        </is>
      </c>
      <c r="M6" s="20" t="inlineStr">
        <is>
          <t>—</t>
        </is>
      </c>
      <c r="N6" s="23" t="b">
        <v>0</v>
      </c>
      <c r="O6" s="19" t="n"/>
      <c r="P6" s="19" t="n"/>
      <c r="Q6" s="20" t="n"/>
    </row>
    <row r="7">
      <c r="A7" s="24" t="n">
        <v>4</v>
      </c>
      <c r="B7" s="24" t="inlineStr">
        <is>
          <t>2023-24</t>
        </is>
      </c>
      <c r="C7" s="24" t="inlineStr">
        <is>
          <t>MATH 243</t>
        </is>
      </c>
      <c r="D7" s="24" t="inlineStr">
        <is>
          <t>6(c)</t>
        </is>
      </c>
      <c r="E7" s="6" t="inlineStr">
        <is>
          <t>Stratified random sampling (example); delivery time claim &lt; 120 min, σ 30, n 49, mean 100 (z = −1.645)</t>
        </is>
      </c>
      <c r="F7" s="6" t="inlineStr">
        <is>
          <t>One-sample z and t tests, CI — Hyp pp. 7–16</t>
        </is>
      </c>
      <c r="G7" s="24" t="inlineStr">
        <is>
          <t>L21</t>
        </is>
      </c>
      <c r="H7" s="24" t="n">
        <v>12</v>
      </c>
      <c r="I7" s="24" t="inlineStr">
        <is>
          <t>22 batch p.3</t>
        </is>
      </c>
      <c r="J7" s="25" t="inlineStr">
        <is>
          <t>★★★ High</t>
        </is>
      </c>
      <c r="K7" s="24" t="inlineStr">
        <is>
          <t>Numerical</t>
        </is>
      </c>
      <c r="L7" s="22" t="inlineStr">
        <is>
          <t>✔ Solved</t>
        </is>
      </c>
      <c r="M7" s="6" t="inlineStr">
        <is>
          <t>2022-23 7(b); 2019-20 6(b); 2018-19 8(b); 2016-17 8(b); 2014-15 7(b)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2022-23</t>
        </is>
      </c>
      <c r="C8" s="24" t="inlineStr">
        <is>
          <t>MATH 243</t>
        </is>
      </c>
      <c r="D8" s="24" t="inlineStr">
        <is>
          <t>7(b)</t>
        </is>
      </c>
      <c r="E8" s="6" t="inlineStr">
        <is>
          <t>GPA: n = 40, mean 2.8, sd 0.35 vs 2.4; 99 % CI</t>
        </is>
      </c>
      <c r="F8" s="6" t="inlineStr">
        <is>
          <t>One-sample z and t tests, CI — Hyp pp. 7–16</t>
        </is>
      </c>
      <c r="G8" s="24" t="inlineStr">
        <is>
          <t>L21</t>
        </is>
      </c>
      <c r="H8" s="24" t="n">
        <v>12</v>
      </c>
      <c r="I8" s="24" t="n">
        <v>50</v>
      </c>
      <c r="J8" s="25" t="inlineStr">
        <is>
          <t>★★★ High</t>
        </is>
      </c>
      <c r="K8" s="24" t="inlineStr">
        <is>
          <t>Numerical</t>
        </is>
      </c>
      <c r="L8" s="22" t="inlineStr">
        <is>
          <t>✔ Solved</t>
        </is>
      </c>
      <c r="M8" s="6" t="inlineStr">
        <is>
          <t>2023-24 6(c); 2019-20 6(b); 2018-19 8(b); 2016-17 8(b); 2014-15 7(b)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2022-23</t>
        </is>
      </c>
      <c r="C9" s="24" t="inlineStr">
        <is>
          <t>MATH 243</t>
        </is>
      </c>
      <c r="D9" s="24" t="inlineStr">
        <is>
          <t>7(c)</t>
        </is>
      </c>
      <c r="E9" s="6" t="inlineStr">
        <is>
          <t>Bank waiting time: n = 12, mean 42, sd 11.9 — is μ &lt; 50? (t11 = 1.796)</t>
        </is>
      </c>
      <c r="F9" s="6" t="inlineStr">
        <is>
          <t>One-sample z and t tests, CI — Hyp pp. 7–16</t>
        </is>
      </c>
      <c r="G9" s="24" t="inlineStr">
        <is>
          <t>L21</t>
        </is>
      </c>
      <c r="H9" s="24" t="n">
        <v>13</v>
      </c>
      <c r="I9" s="24" t="n">
        <v>50</v>
      </c>
      <c r="J9" s="25" t="inlineStr">
        <is>
          <t>★★★ High</t>
        </is>
      </c>
      <c r="K9" s="24" t="inlineStr">
        <is>
          <t>Numerical</t>
        </is>
      </c>
      <c r="L9" s="22" t="inlineStr">
        <is>
          <t>✔ Solved</t>
        </is>
      </c>
      <c r="M9" s="6" t="inlineStr">
        <is>
          <t>2021-22 8(a); 2020-21 8(b); 2015-16 8(c); 2013-14 8(a); 2011-12 8(a)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2021-22</t>
        </is>
      </c>
      <c r="C10" s="24" t="inlineStr">
        <is>
          <t>MATH 245</t>
        </is>
      </c>
      <c r="D10" s="24" t="inlineStr">
        <is>
          <t>8(a)</t>
        </is>
      </c>
      <c r="E10" s="6" t="inlineStr">
        <is>
          <t>Heights of 10 individuals: is the mean height 65? (t9 = 2.262)</t>
        </is>
      </c>
      <c r="F10" s="6" t="inlineStr">
        <is>
          <t>One-sample z and t tests, CI — Hyp pp. 7–16</t>
        </is>
      </c>
      <c r="G10" s="24" t="inlineStr">
        <is>
          <t>L21</t>
        </is>
      </c>
      <c r="H10" s="24" t="n">
        <v>17</v>
      </c>
      <c r="I10" s="24" t="n">
        <v>45</v>
      </c>
      <c r="J10" s="25" t="inlineStr">
        <is>
          <t>★★★ High</t>
        </is>
      </c>
      <c r="K10" s="24" t="inlineStr">
        <is>
          <t>Numerical</t>
        </is>
      </c>
      <c r="L10" s="22" t="inlineStr">
        <is>
          <t>✔ Solved</t>
        </is>
      </c>
      <c r="M10" s="6" t="inlineStr">
        <is>
          <t>2022-23 7(c); 2020-21 8(b); 2015-16 8(c); 2013-14 8(a); 2011-12 8(a)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2020-21</t>
        </is>
      </c>
      <c r="C11" s="24" t="inlineStr">
        <is>
          <t>MATH 245</t>
        </is>
      </c>
      <c r="D11" s="24" t="inlineStr">
        <is>
          <t>8(b)</t>
        </is>
      </c>
      <c r="E11" s="6" t="inlineStr">
        <is>
          <t>Cereal sodium: n = 20, mean 244, sd 24.5 — is μ &gt; 220? (5 %)</t>
        </is>
      </c>
      <c r="F11" s="6" t="inlineStr">
        <is>
          <t>One-sample z and t tests, CI — Hyp pp. 7–16</t>
        </is>
      </c>
      <c r="G11" s="24" t="inlineStr">
        <is>
          <t>L21</t>
        </is>
      </c>
      <c r="H11" s="24" t="n">
        <v>15</v>
      </c>
      <c r="I11" s="24" t="n">
        <v>39</v>
      </c>
      <c r="J11" s="25" t="inlineStr">
        <is>
          <t>★★★ High</t>
        </is>
      </c>
      <c r="K11" s="24" t="inlineStr">
        <is>
          <t>Numerical</t>
        </is>
      </c>
      <c r="L11" s="22" t="inlineStr">
        <is>
          <t>✔ Solved</t>
        </is>
      </c>
      <c r="M11" s="6" t="inlineStr">
        <is>
          <t>2022-23 7(c); 2021-22 8(a); 2015-16 8(c); 2013-14 8(a); 2011-12 8(a)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2019-20</t>
        </is>
      </c>
      <c r="C12" s="24" t="inlineStr">
        <is>
          <t>MATH 245</t>
        </is>
      </c>
      <c r="D12" s="24" t="inlineStr">
        <is>
          <t>6(b)</t>
        </is>
      </c>
      <c r="E12" s="6" t="inlineStr">
        <is>
          <t>Mice diet: 64 mice, mean 38, sd 5.8 — is μ &lt; 40? (P-value)</t>
        </is>
      </c>
      <c r="F12" s="6" t="inlineStr">
        <is>
          <t>One-sample z and t tests, CI — Hyp pp. 7–16</t>
        </is>
      </c>
      <c r="G12" s="24" t="inlineStr">
        <is>
          <t>L21</t>
        </is>
      </c>
      <c r="H12" s="24" t="n">
        <v>18</v>
      </c>
      <c r="I12" s="24" t="n">
        <v>34</v>
      </c>
      <c r="J12" s="25" t="inlineStr">
        <is>
          <t>★★★ High</t>
        </is>
      </c>
      <c r="K12" s="24" t="inlineStr">
        <is>
          <t>Numerical</t>
        </is>
      </c>
      <c r="L12" s="22" t="inlineStr">
        <is>
          <t>✔ Solved</t>
        </is>
      </c>
      <c r="M12" s="6" t="inlineStr">
        <is>
          <t>2023-24 6(c); 2022-23 7(b); 2018-19 8(b); 2016-17 8(b); 2014-15 7(b)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2018-19</t>
        </is>
      </c>
      <c r="C13" s="24" t="inlineStr">
        <is>
          <t>MATH 245</t>
        </is>
      </c>
      <c r="D13" s="24" t="inlineStr">
        <is>
          <t>8(b)</t>
        </is>
      </c>
      <c r="E13" s="6" t="inlineStr">
        <is>
          <t>GPA: n = 40, mean 2.8, sd 0.35 vs population 2.4 (1 %); 99 % confidence interval</t>
        </is>
      </c>
      <c r="F13" s="6" t="inlineStr">
        <is>
          <t>One-sample z and t tests, CI — Hyp pp. 7–16</t>
        </is>
      </c>
      <c r="G13" s="24" t="inlineStr">
        <is>
          <t>L21</t>
        </is>
      </c>
      <c r="H13" s="24" t="n">
        <v>17</v>
      </c>
      <c r="I13" s="24" t="n">
        <v>25</v>
      </c>
      <c r="J13" s="21" t="inlineStr">
        <is>
          <t>★★ Medium</t>
        </is>
      </c>
      <c r="K13" s="24" t="inlineStr">
        <is>
          <t>Numerical</t>
        </is>
      </c>
      <c r="L13" s="22" t="inlineStr">
        <is>
          <t>✔ Solved</t>
        </is>
      </c>
      <c r="M13" s="6" t="inlineStr">
        <is>
          <t>2023-24 6(c); 2022-23 7(b); 2019-20 6(b); 2016-17 8(b); 2014-15 7(b)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2016-17</t>
        </is>
      </c>
      <c r="C14" s="24" t="inlineStr">
        <is>
          <t>MATH 245</t>
        </is>
      </c>
      <c r="D14" s="24" t="inlineStr">
        <is>
          <t>8(b)</t>
        </is>
      </c>
      <c r="E14" s="6" t="inlineStr">
        <is>
          <t>100 deaths, mean life 61.8, σ 4.9: is the mean life span greater than 60? (5 %)</t>
        </is>
      </c>
      <c r="F14" s="6" t="inlineStr">
        <is>
          <t>One-sample z and t tests, CI — Hyp pp. 7–16</t>
        </is>
      </c>
      <c r="G14" s="24" t="inlineStr">
        <is>
          <t>L21</t>
        </is>
      </c>
      <c r="H14" s="24" t="n">
        <v>15</v>
      </c>
      <c r="I14" s="24" t="n">
        <v>21</v>
      </c>
      <c r="J14" s="21" t="inlineStr">
        <is>
          <t>★★ Medium</t>
        </is>
      </c>
      <c r="K14" s="24" t="inlineStr">
        <is>
          <t>Numerical</t>
        </is>
      </c>
      <c r="L14" s="22" t="inlineStr">
        <is>
          <t>✔ Solved</t>
        </is>
      </c>
      <c r="M14" s="6" t="inlineStr">
        <is>
          <t>2023-24 6(c); 2022-23 7(b); 2019-20 6(b); 2018-19 8(b); 2014-15 7(b)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2015-16</t>
        </is>
      </c>
      <c r="C15" s="24" t="inlineStr">
        <is>
          <t>MATH 241</t>
        </is>
      </c>
      <c r="D15" s="24" t="inlineStr">
        <is>
          <t>8(c)</t>
        </is>
      </c>
      <c r="E15" s="6" t="inlineStr">
        <is>
          <t>Chocolate sales: 153.7 before; 29 stores after, mean 169.4, sd 19.7 — was advertising successful? (5 %)</t>
        </is>
      </c>
      <c r="F15" s="6" t="inlineStr">
        <is>
          <t>One-sample z and t tests, CI — Hyp pp. 7–16</t>
        </is>
      </c>
      <c r="G15" s="24" t="inlineStr">
        <is>
          <t>L21</t>
        </is>
      </c>
      <c r="H15" s="24" t="n">
        <v>10</v>
      </c>
      <c r="I15" s="24" t="n">
        <v>16</v>
      </c>
      <c r="J15" s="21" t="inlineStr">
        <is>
          <t>★★ Medium</t>
        </is>
      </c>
      <c r="K15" s="24" t="inlineStr">
        <is>
          <t>Numerical</t>
        </is>
      </c>
      <c r="L15" s="22" t="inlineStr">
        <is>
          <t>✔ Solved</t>
        </is>
      </c>
      <c r="M15" s="6" t="inlineStr">
        <is>
          <t>2022-23 7(c); 2021-22 8(a); 2020-21 8(b); 2013-14 8(a); 2011-12 8(a)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2014-15</t>
        </is>
      </c>
      <c r="C16" s="24" t="inlineStr">
        <is>
          <t>MATH 241</t>
        </is>
      </c>
      <c r="D16" s="24" t="inlineStr">
        <is>
          <t>7(b)</t>
        </is>
      </c>
      <c r="E16" s="6" t="inlineStr">
        <is>
          <t>Bulbs: claimed mean 4 years, σ 0.16; sample of 10 has mean 3.45 — is the claim justified? (5 %)</t>
        </is>
      </c>
      <c r="F16" s="6" t="inlineStr">
        <is>
          <t>One-sample z and t tests, CI — Hyp pp. 7–16</t>
        </is>
      </c>
      <c r="G16" s="24" t="inlineStr">
        <is>
          <t>L21</t>
        </is>
      </c>
      <c r="H16" s="24" t="n">
        <v>15</v>
      </c>
      <c r="I16" s="24" t="n">
        <v>11</v>
      </c>
      <c r="J16" s="21" t="inlineStr">
        <is>
          <t>★★ Medium</t>
        </is>
      </c>
      <c r="K16" s="24" t="inlineStr">
        <is>
          <t>Numerical</t>
        </is>
      </c>
      <c r="L16" s="22" t="inlineStr">
        <is>
          <t>✔ Solved</t>
        </is>
      </c>
      <c r="M16" s="6" t="inlineStr">
        <is>
          <t>2023-24 6(c); 2022-23 7(b); 2019-20 6(b); 2018-19 8(b); 2016-17 8(b)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2013-14</t>
        </is>
      </c>
      <c r="C17" s="24" t="inlineStr">
        <is>
          <t>MATH 241</t>
        </is>
      </c>
      <c r="D17" s="24" t="inlineStr">
        <is>
          <t>8(a)</t>
        </is>
      </c>
      <c r="E17" s="6" t="inlineStr">
        <is>
          <t>11 tins of talcum powder: can the average packing be 0.5 lb? (t-test, 5 %)</t>
        </is>
      </c>
      <c r="F17" s="6" t="inlineStr">
        <is>
          <t>One-sample z and t tests, CI — Hyp pp. 7–16</t>
        </is>
      </c>
      <c r="G17" s="24" t="inlineStr">
        <is>
          <t>L21</t>
        </is>
      </c>
      <c r="H17" s="24" t="n">
        <v>20</v>
      </c>
      <c r="I17" s="24" t="n">
        <v>8</v>
      </c>
      <c r="J17" s="21" t="inlineStr">
        <is>
          <t>★★ Medium</t>
        </is>
      </c>
      <c r="K17" s="24" t="inlineStr">
        <is>
          <t>Numerical</t>
        </is>
      </c>
      <c r="L17" s="22" t="inlineStr">
        <is>
          <t>✔ Solved</t>
        </is>
      </c>
      <c r="M17" s="6" t="inlineStr">
        <is>
          <t>2022-23 7(c); 2021-22 8(a); 2020-21 8(b); 2015-16 8(c); 2011-12 8(a)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2011-12</t>
        </is>
      </c>
      <c r="C18" s="24" t="inlineStr">
        <is>
          <t>MATH 241</t>
        </is>
      </c>
      <c r="D18" s="24" t="inlineStr">
        <is>
          <t>8(a)</t>
        </is>
      </c>
      <c r="E18" s="6" t="inlineStr">
        <is>
          <t>Type I / Type II errors; t-test: 9 items, can the population mean be 47? (5%)</t>
        </is>
      </c>
      <c r="F18" s="6" t="inlineStr">
        <is>
          <t>One-sample z and t tests, CI — Hyp pp. 7–16</t>
        </is>
      </c>
      <c r="G18" s="24" t="inlineStr">
        <is>
          <t>L21</t>
        </is>
      </c>
      <c r="H18" s="24" t="n">
        <v>17</v>
      </c>
      <c r="I18" s="24" t="n">
        <v>3</v>
      </c>
      <c r="J18" s="21" t="inlineStr">
        <is>
          <t>★★ Medium</t>
        </is>
      </c>
      <c r="K18" s="24" t="inlineStr">
        <is>
          <t>Numerical</t>
        </is>
      </c>
      <c r="L18" s="22" t="inlineStr">
        <is>
          <t>✔ Solved</t>
        </is>
      </c>
      <c r="M18" s="6" t="inlineStr">
        <is>
          <t>2022-23 7(c); 2021-22 8(a); 2020-21 8(b); 2015-16 8(c); 2013-14 8(a)</t>
        </is>
      </c>
      <c r="N18" s="23" t="b">
        <v>0</v>
      </c>
      <c r="O18" s="24" t="n"/>
      <c r="P18" s="24" t="n"/>
      <c r="Q18" s="6" t="n"/>
    </row>
    <row r="19">
      <c r="A19" s="19" t="n">
        <v>16</v>
      </c>
      <c r="B19" s="19" t="inlineStr">
        <is>
          <t>2023-24</t>
        </is>
      </c>
      <c r="C19" s="19" t="inlineStr">
        <is>
          <t>MATH 243</t>
        </is>
      </c>
      <c r="D19" s="19" t="inlineStr">
        <is>
          <t>7(c)</t>
        </is>
      </c>
      <c r="E19" s="20" t="inlineStr">
        <is>
          <t>Two samples of 8 and 7 weights: is the difference of means significant? (t13 = 2.16)</t>
        </is>
      </c>
      <c r="F19" s="20" t="inlineStr">
        <is>
          <t>Two-sample and paired tests — Hyp pp. 16–31</t>
        </is>
      </c>
      <c r="G19" s="19" t="inlineStr">
        <is>
          <t>L22</t>
        </is>
      </c>
      <c r="H19" s="19" t="n">
        <v>13</v>
      </c>
      <c r="I19" s="19" t="inlineStr">
        <is>
          <t>22 batch p.4</t>
        </is>
      </c>
      <c r="J19" s="25" t="inlineStr">
        <is>
          <t>★★★ High</t>
        </is>
      </c>
      <c r="K19" s="19" t="inlineStr">
        <is>
          <t>Numerical</t>
        </is>
      </c>
      <c r="L19" s="22" t="inlineStr">
        <is>
          <t>✔ Solved</t>
        </is>
      </c>
      <c r="M19" s="20" t="inlineStr">
        <is>
          <t>—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2012-13</t>
        </is>
      </c>
      <c r="C20" s="19" t="inlineStr">
        <is>
          <t>MATH 241</t>
        </is>
      </c>
      <c r="D20" s="19" t="inlineStr">
        <is>
          <t>8(b)</t>
        </is>
      </c>
      <c r="E20" s="20" t="inlineStr">
        <is>
          <t>Two supermarkets, 500 shoppers each (Tk 500, sd 80 vs Tk 440, sd 90): are mean expenditures equal? (10 %)</t>
        </is>
      </c>
      <c r="F20" s="20" t="inlineStr">
        <is>
          <t>Two-sample and paired tests — Hyp pp. 16–31</t>
        </is>
      </c>
      <c r="G20" s="19" t="inlineStr">
        <is>
          <t>L22</t>
        </is>
      </c>
      <c r="H20" s="19" t="n">
        <v>17</v>
      </c>
      <c r="I20" s="19" t="n">
        <v>5</v>
      </c>
      <c r="J20" s="22" t="inlineStr">
        <is>
          <t>★ Low</t>
        </is>
      </c>
      <c r="K20" s="19" t="inlineStr">
        <is>
          <t>Numerical</t>
        </is>
      </c>
      <c r="L20" s="22" t="inlineStr">
        <is>
          <t>✔ Solved</t>
        </is>
      </c>
      <c r="M20" s="20" t="inlineStr">
        <is>
          <t>—</t>
        </is>
      </c>
      <c r="N20" s="23" t="b">
        <v>0</v>
      </c>
      <c r="O20" s="19" t="n"/>
      <c r="P20" s="19" t="n"/>
      <c r="Q20" s="20" t="n"/>
    </row>
    <row r="21">
      <c r="A21" s="24" t="n">
        <v>18</v>
      </c>
      <c r="B21" s="24" t="inlineStr">
        <is>
          <t>2023-24</t>
        </is>
      </c>
      <c r="C21" s="24" t="inlineStr">
        <is>
          <t>MATH 243</t>
        </is>
      </c>
      <c r="D21" s="24" t="inlineStr">
        <is>
          <t>7(b)</t>
        </is>
      </c>
      <c r="E21" s="6" t="inlineStr">
        <is>
          <t>Machine: 16/500 imperfect before, 3/100 after overhaul — improved? (1 %)</t>
        </is>
      </c>
      <c r="F21" s="6" t="inlineStr">
        <is>
          <t>Tests for r and proportions — Hyp pp. 32–37</t>
        </is>
      </c>
      <c r="G21" s="24" t="inlineStr">
        <is>
          <t>L23</t>
        </is>
      </c>
      <c r="H21" s="24" t="n">
        <v>12</v>
      </c>
      <c r="I21" s="24" t="inlineStr">
        <is>
          <t>22 batch p.3</t>
        </is>
      </c>
      <c r="J21" s="25" t="inlineStr">
        <is>
          <t>★★★ High</t>
        </is>
      </c>
      <c r="K21" s="24" t="inlineStr">
        <is>
          <t>Numerical</t>
        </is>
      </c>
      <c r="L21" s="22" t="inlineStr">
        <is>
          <t>✔ Solved</t>
        </is>
      </c>
      <c r="M21" s="6" t="inlineStr">
        <is>
          <t>—</t>
        </is>
      </c>
      <c r="N21" s="23" t="b">
        <v>0</v>
      </c>
      <c r="O21" s="24" t="n"/>
      <c r="P21" s="24" t="n"/>
      <c r="Q21" s="6" t="n"/>
    </row>
    <row r="22">
      <c r="A22" s="19" t="n">
        <v>19</v>
      </c>
      <c r="B22" s="19" t="inlineStr">
        <is>
          <t>2023-24</t>
        </is>
      </c>
      <c r="C22" s="19" t="inlineStr">
        <is>
          <t>MATH 243</t>
        </is>
      </c>
      <c r="D22" s="19" t="inlineStr">
        <is>
          <t>8(a)</t>
        </is>
      </c>
      <c r="E22" s="20" t="inlineStr">
        <is>
          <t>Education vs job performance 3×3 table, 200 employees: χ² test (χ²0.05,4 = 9.49)</t>
        </is>
      </c>
      <c r="F22" s="20" t="inlineStr">
        <is>
          <t>χ² contingency / goodness of fit — Hyp pp. 38–44</t>
        </is>
      </c>
      <c r="G22" s="19" t="inlineStr">
        <is>
          <t>L24</t>
        </is>
      </c>
      <c r="H22" s="19" t="n">
        <v>15</v>
      </c>
      <c r="I22" s="19" t="inlineStr">
        <is>
          <t>22 batch p.4</t>
        </is>
      </c>
      <c r="J22" s="25" t="inlineStr">
        <is>
          <t>★★★ High</t>
        </is>
      </c>
      <c r="K22" s="19" t="inlineStr">
        <is>
          <t>Numerical</t>
        </is>
      </c>
      <c r="L22" s="22" t="inlineStr">
        <is>
          <t>✔ Solved</t>
        </is>
      </c>
      <c r="M22" s="20" t="inlineStr">
        <is>
          <t>2022-23 8(a)</t>
        </is>
      </c>
      <c r="N22" s="23" t="b">
        <v>0</v>
      </c>
      <c r="O22" s="19" t="n"/>
      <c r="P22" s="19" t="n"/>
      <c r="Q22" s="20" t="n"/>
    </row>
    <row r="23">
      <c r="A23" s="19" t="n">
        <v>20</v>
      </c>
      <c r="B23" s="19" t="inlineStr">
        <is>
          <t>2022-23</t>
        </is>
      </c>
      <c r="C23" s="19" t="inlineStr">
        <is>
          <t>MATH 243</t>
        </is>
      </c>
      <c r="D23" s="19" t="inlineStr">
        <is>
          <t>8(a)</t>
        </is>
      </c>
      <c r="E23" s="20" t="inlineStr">
        <is>
          <t>Drug vs typhoid 2×2 table: χ² test of effectiveness (χ²1 = 3.84)</t>
        </is>
      </c>
      <c r="F23" s="20" t="inlineStr">
        <is>
          <t>χ² contingency / goodness of fit — Hyp pp. 38–44</t>
        </is>
      </c>
      <c r="G23" s="19" t="inlineStr">
        <is>
          <t>L24</t>
        </is>
      </c>
      <c r="H23" s="19" t="n">
        <v>10</v>
      </c>
      <c r="I23" s="19" t="n">
        <v>50</v>
      </c>
      <c r="J23" s="25" t="inlineStr">
        <is>
          <t>★★★ High</t>
        </is>
      </c>
      <c r="K23" s="19" t="inlineStr">
        <is>
          <t>Numerical</t>
        </is>
      </c>
      <c r="L23" s="22" t="inlineStr">
        <is>
          <t>✔ Solved</t>
        </is>
      </c>
      <c r="M23" s="20" t="inlineStr">
        <is>
          <t>2023-24 8(a)</t>
        </is>
      </c>
      <c r="N23" s="23" t="b">
        <v>0</v>
      </c>
      <c r="O23" s="19" t="n"/>
      <c r="P23" s="19" t="n"/>
      <c r="Q23" s="20" t="n"/>
    </row>
    <row r="24">
      <c r="A24" s="19" t="n">
        <v>21</v>
      </c>
      <c r="B24" s="19" t="inlineStr">
        <is>
          <t>2013-14</t>
        </is>
      </c>
      <c r="C24" s="19" t="inlineStr">
        <is>
          <t>MATH 241</t>
        </is>
      </c>
      <c r="D24" s="19" t="inlineStr">
        <is>
          <t>8(b)</t>
        </is>
      </c>
      <c r="E24" s="20" t="inlineStr">
        <is>
          <t>320 families with 5 children: χ² test of equal male/female births</t>
        </is>
      </c>
      <c r="F24" s="20" t="inlineStr">
        <is>
          <t>χ² contingency / goodness of fit — Hyp pp. 38–44</t>
        </is>
      </c>
      <c r="G24" s="19" t="inlineStr">
        <is>
          <t>L24</t>
        </is>
      </c>
      <c r="H24" s="19" t="n">
        <v>15</v>
      </c>
      <c r="I24" s="19" t="n">
        <v>8</v>
      </c>
      <c r="J24" s="21" t="inlineStr">
        <is>
          <t>★★ Medium</t>
        </is>
      </c>
      <c r="K24" s="19" t="inlineStr">
        <is>
          <t>Numerical</t>
        </is>
      </c>
      <c r="L24" s="22" t="inlineStr">
        <is>
          <t>✔ Solved</t>
        </is>
      </c>
      <c r="M24" s="20" t="inlineStr">
        <is>
          <t>2012-13 7(b); 2011-12 8(b)</t>
        </is>
      </c>
      <c r="N24" s="23" t="b">
        <v>0</v>
      </c>
      <c r="O24" s="19" t="n"/>
      <c r="P24" s="19" t="n"/>
      <c r="Q24" s="20" t="n"/>
    </row>
    <row r="25">
      <c r="A25" s="19" t="n">
        <v>22</v>
      </c>
      <c r="B25" s="19" t="inlineStr">
        <is>
          <t>2012-13</t>
        </is>
      </c>
      <c r="C25" s="19" t="inlineStr">
        <is>
          <t>MATH 241</t>
        </is>
      </c>
      <c r="D25" s="19" t="inlineStr">
        <is>
          <t>7(b)</t>
        </is>
      </c>
      <c r="E25" s="20" t="inlineStr">
        <is>
          <t>640 families with 5 children: χ² test that male and female births are equally probable</t>
        </is>
      </c>
      <c r="F25" s="20" t="inlineStr">
        <is>
          <t>χ² contingency / goodness of fit — Hyp pp. 38–44</t>
        </is>
      </c>
      <c r="G25" s="19" t="inlineStr">
        <is>
          <t>L24</t>
        </is>
      </c>
      <c r="H25" s="19" t="n">
        <v>17</v>
      </c>
      <c r="I25" s="19" t="n">
        <v>5</v>
      </c>
      <c r="J25" s="21" t="inlineStr">
        <is>
          <t>★★ Medium</t>
        </is>
      </c>
      <c r="K25" s="19" t="inlineStr">
        <is>
          <t>Numerical</t>
        </is>
      </c>
      <c r="L25" s="22" t="inlineStr">
        <is>
          <t>✔ Solved</t>
        </is>
      </c>
      <c r="M25" s="20" t="inlineStr">
        <is>
          <t>2013-14 8(b); 2011-12 8(b)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2011-12</t>
        </is>
      </c>
      <c r="C26" s="19" t="inlineStr">
        <is>
          <t>MATH 241</t>
        </is>
      </c>
      <c r="D26" s="19" t="inlineStr">
        <is>
          <t>8(b)</t>
        </is>
      </c>
      <c r="E26" s="20" t="inlineStr">
        <is>
          <t>5 coins tossed 3200 times (heads 0…5): χ² test that the coins are unbiased</t>
        </is>
      </c>
      <c r="F26" s="20" t="inlineStr">
        <is>
          <t>χ² contingency / goodness of fit — Hyp pp. 38–44</t>
        </is>
      </c>
      <c r="G26" s="19" t="inlineStr">
        <is>
          <t>L24</t>
        </is>
      </c>
      <c r="H26" s="19" t="n">
        <v>18</v>
      </c>
      <c r="I26" s="19" t="n">
        <v>3</v>
      </c>
      <c r="J26" s="21" t="inlineStr">
        <is>
          <t>★★ Medium</t>
        </is>
      </c>
      <c r="K26" s="19" t="inlineStr">
        <is>
          <t>Numerical</t>
        </is>
      </c>
      <c r="L26" s="22" t="inlineStr">
        <is>
          <t>✔ Solved</t>
        </is>
      </c>
      <c r="M26" s="20" t="inlineStr">
        <is>
          <t>2013-14 8(b); 2012-13 7(b)</t>
        </is>
      </c>
      <c r="N26" s="23" t="b">
        <v>0</v>
      </c>
      <c r="O26" s="19" t="n"/>
      <c r="P26" s="19" t="n"/>
      <c r="Q26" s="20" t="n"/>
    </row>
  </sheetData>
  <autoFilter ref="A3:Q26"/>
  <conditionalFormatting sqref="A4:Q26">
    <cfRule type="expression" priority="1" dxfId="0">
      <formula>$N4=TRUE</formula>
    </cfRule>
  </conditionalFormatting>
  <conditionalFormatting sqref="O4:O26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6" showDropDown="0" showInputMessage="0" showErrorMessage="0" allowBlank="1" type="list">
      <formula1>"TRUE,FALSE"</formula1>
    </dataValidation>
    <dataValidation sqref="O4:O26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34" customWidth="1" min="6" max="6"/>
    <col width="7" customWidth="1" min="7" max="7"/>
    <col width="8" customWidth="1" min="8" max="8"/>
    <col width="7" customWidth="1" min="9" max="9"/>
    <col width="32" customWidth="1" min="10" max="10"/>
  </cols>
  <sheetData>
    <row r="1">
      <c r="A1" s="18" t="inlineStr">
        <is>
          <t>KKS-section questions on topics NOT in the current slides</t>
        </is>
      </c>
    </row>
    <row r="2">
      <c r="A2" s="2" t="inlineStr">
        <is>
          <t>Mostly older papers. Ask sir/ma'am whether these topics are in this term's syllabus before practising them.</t>
        </is>
      </c>
    </row>
    <row r="3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Area</t>
        </is>
      </c>
      <c r="G3" s="7" t="inlineStr">
        <is>
          <t>Marks</t>
        </is>
      </c>
      <c r="H3" s="7" t="inlineStr">
        <is>
          <t>TF Page</t>
        </is>
      </c>
      <c r="I3" s="7" t="inlineStr">
        <is>
          <t>Done</t>
        </is>
      </c>
      <c r="J3" s="7" t="inlineStr">
        <is>
          <t>My Notes</t>
        </is>
      </c>
    </row>
    <row r="4">
      <c r="A4" s="24" t="n">
        <v>1</v>
      </c>
      <c r="B4" s="24" t="inlineStr">
        <is>
          <t>2023-24</t>
        </is>
      </c>
      <c r="C4" s="24" t="inlineStr">
        <is>
          <t>MATH 243</t>
        </is>
      </c>
      <c r="D4" s="24" t="inlineStr">
        <is>
          <t>6(b)</t>
        </is>
      </c>
      <c r="E4" s="6" t="inlineStr">
        <is>
          <t>Central limit theorem: meaning, algorithm, applications in computer science</t>
        </is>
      </c>
      <c r="F4" s="6" t="inlineStr">
        <is>
          <t>central limit theorem</t>
        </is>
      </c>
      <c r="G4" s="24" t="n">
        <v>10</v>
      </c>
      <c r="H4" s="24" t="inlineStr">
        <is>
          <t>22 batch p.3</t>
        </is>
      </c>
      <c r="I4" s="23" t="b">
        <v>0</v>
      </c>
      <c r="J4" s="6" t="n"/>
    </row>
  </sheetData>
  <autoFilter ref="A3:J4"/>
  <conditionalFormatting sqref="A4:J4">
    <cfRule type="expression" priority="1" dxfId="3">
      <formula>$I4=TRUE</formula>
    </cfRule>
  </conditionalFormatting>
  <dataValidations count="1">
    <dataValidation sqref="I4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2026-10-23T14:13:08Z</dcterms:created>
  <dcterms:modified xmlns:dcterms="http://purl.org/dc/terms/" xmlns:xsi="http://www.w3.org/2001/XMLSchema-instance" xsi:type="dcterms:W3CDTF">2026-10-23T14:13:09Z</dcterms:modified>
</cp:coreProperties>
</file>