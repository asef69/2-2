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Intro + Graphs" sheetId="3" state="visible" r:id="rId3"/>
    <sheet xmlns:r="http://schemas.openxmlformats.org/officeDocument/2006/relationships" name="2 Central Tendency" sheetId="4" state="visible" r:id="rId4"/>
    <sheet xmlns:r="http://schemas.openxmlformats.org/officeDocument/2006/relationships" name="3 Dispersion" sheetId="5" state="visible" r:id="rId5"/>
    <sheet xmlns:r="http://schemas.openxmlformats.org/officeDocument/2006/relationships" name="4 Skewness + Moments" sheetId="6" state="visible" r:id="rId6"/>
    <sheet xmlns:r="http://schemas.openxmlformats.org/officeDocument/2006/relationships" name="5 Correlation + Regression" sheetId="7" state="visible" r:id="rId7"/>
  </sheets>
  <definedNames>
    <definedName name="_xlnm._FilterDatabase" localSheetId="2" hidden="1">'1 Intro + Graphs'!$A$3:$Q$8</definedName>
    <definedName name="_xlnm._FilterDatabase" localSheetId="3" hidden="1">'2 Central Tendency'!$A$3:$Q$6</definedName>
    <definedName name="_xlnm._FilterDatabase" localSheetId="4" hidden="1">'3 Dispersion'!$A$3:$Q$11</definedName>
    <definedName name="_xlnm._FilterDatabase" localSheetId="5" hidden="1">'4 Skewness + Moments'!$A$3:$Q$15</definedName>
    <definedName name="_xlnm._FilterDatabase" localSheetId="6" hidden="1">'5 Correlation + Regression'!$A$3:$Q$18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9" fontId="5" fillId="9" borderId="1" applyAlignment="1" pivotButton="0" quotePrefix="0" xfId="0">
      <alignment horizontal="center"/>
    </xf>
    <xf numFmtId="0" fontId="6" fillId="0" borderId="0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MATH 243 (Statistics (descriptive) part part) — TF Practice Tracker</t>
        </is>
      </c>
    </row>
    <row r="3">
      <c r="B3" s="2" t="inlineStr">
        <is>
          <t>Every Stat-part question in MATH 243 All Merged Questions.pdf (22 batch = MATH 243 (22 batch).pdf),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1–5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MATH 243 All Merged Questions.pdf (22 batch = MATH 243 (22 batch).pdf)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MATH 243 = current code; MATH 245 (2016-17 to 2021-22) and MATH 241 (2011-12 to 2015-16) = old Complex Variables &amp; Statistics papers — only their statistics/probability parts are listed.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1–5.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Intro + Graphs</t>
        </is>
      </c>
      <c r="C5" s="8">
        <f>COUNTA('1 Intro + Graphs'!$E$4:$E$8)</f>
        <v/>
      </c>
      <c r="D5" s="8">
        <f>COUNTIF('1 Intro + Graphs'!$N$4:$N$8,TRUE())</f>
        <v/>
      </c>
      <c r="E5" s="10">
        <f>IF(C5=0,0,D5/C5)</f>
        <v/>
      </c>
      <c r="F5" s="8">
        <f>SUM('1 Intro + Graphs'!$H$4:$H$8)</f>
        <v/>
      </c>
      <c r="G5" s="8">
        <f>SUMIF('1 Intro + Graphs'!$N$4:$N$8,TRUE(),'1 Intro + Graphs'!$H$4:$H$8)</f>
        <v/>
      </c>
      <c r="H5" s="8">
        <f>COUNTIFS('1 Intro + Graphs'!$J$4:$J$8,"★★★ High",'1 Intro + Graphs'!$N$4:$N$8,FALSE())</f>
        <v/>
      </c>
      <c r="I5" s="8">
        <f>COUNTIF('1 Intro + Graphs'!$O$4:$O$8,"Weak")</f>
        <v/>
      </c>
      <c r="J5" s="9">
        <f>IFERROR("Q"&amp;INDEX('1 Intro + Graphs'!$A$4:$A$8,MATCH(FALSE(),'1 Intro + Graphs'!$N$4:$N$8,0))&amp;" · "&amp;INDEX('1 Intro + Graphs'!$B$4:$B$8,MATCH(FALSE(),'1 Intro + Graphs'!$N$4:$N$8,0))&amp;" "&amp;INDEX('1 Intro + Graphs'!$D$4:$D$8,MATCH(FALSE(),'1 Intro + Graphs'!$N$4:$N$8,0))&amp;" · TF p."&amp;INDEX('1 Intro + Graphs'!$I$4:$I$8,MATCH(FALSE(),'1 Intro + Graphs'!$N$4:$N$8,0)),"All done ✔")</f>
        <v/>
      </c>
    </row>
    <row r="6">
      <c r="A6" s="8" t="n">
        <v>2</v>
      </c>
      <c r="B6" s="9" t="inlineStr">
        <is>
          <t>2 Central Tendency</t>
        </is>
      </c>
      <c r="C6" s="8">
        <f>COUNTA('2 Central Tendency'!$E$4:$E$6)</f>
        <v/>
      </c>
      <c r="D6" s="8">
        <f>COUNTIF('2 Central Tendency'!$N$4:$N$6,TRUE())</f>
        <v/>
      </c>
      <c r="E6" s="10">
        <f>IF(C6=0,0,D6/C6)</f>
        <v/>
      </c>
      <c r="F6" s="8">
        <f>SUM('2 Central Tendency'!$H$4:$H$6)</f>
        <v/>
      </c>
      <c r="G6" s="8">
        <f>SUMIF('2 Central Tendency'!$N$4:$N$6,TRUE(),'2 Central Tendency'!$H$4:$H$6)</f>
        <v/>
      </c>
      <c r="H6" s="8">
        <f>COUNTIFS('2 Central Tendency'!$J$4:$J$6,"★★★ High",'2 Central Tendency'!$N$4:$N$6,FALSE())</f>
        <v/>
      </c>
      <c r="I6" s="8">
        <f>COUNTIF('2 Central Tendency'!$O$4:$O$6,"Weak")</f>
        <v/>
      </c>
      <c r="J6" s="9">
        <f>IFERROR("Q"&amp;INDEX('2 Central Tendency'!$A$4:$A$6,MATCH(FALSE(),'2 Central Tendency'!$N$4:$N$6,0))&amp;" · "&amp;INDEX('2 Central Tendency'!$B$4:$B$6,MATCH(FALSE(),'2 Central Tendency'!$N$4:$N$6,0))&amp;" "&amp;INDEX('2 Central Tendency'!$D$4:$D$6,MATCH(FALSE(),'2 Central Tendency'!$N$4:$N$6,0))&amp;" · TF p."&amp;INDEX('2 Central Tendency'!$I$4:$I$6,MATCH(FALSE(),'2 Central Tendency'!$N$4:$N$6,0)),"All done ✔")</f>
        <v/>
      </c>
    </row>
    <row r="7">
      <c r="A7" s="8" t="n">
        <v>3</v>
      </c>
      <c r="B7" s="9" t="inlineStr">
        <is>
          <t>3 Dispersion</t>
        </is>
      </c>
      <c r="C7" s="8">
        <f>COUNTA('3 Dispersion'!$E$4:$E$11)</f>
        <v/>
      </c>
      <c r="D7" s="8">
        <f>COUNTIF('3 Dispersion'!$N$4:$N$11,TRUE())</f>
        <v/>
      </c>
      <c r="E7" s="10">
        <f>IF(C7=0,0,D7/C7)</f>
        <v/>
      </c>
      <c r="F7" s="8">
        <f>SUM('3 Dispersion'!$H$4:$H$11)</f>
        <v/>
      </c>
      <c r="G7" s="8">
        <f>SUMIF('3 Dispersion'!$N$4:$N$11,TRUE(),'3 Dispersion'!$H$4:$H$11)</f>
        <v/>
      </c>
      <c r="H7" s="8">
        <f>COUNTIFS('3 Dispersion'!$J$4:$J$11,"★★★ High",'3 Dispersion'!$N$4:$N$11,FALSE())</f>
        <v/>
      </c>
      <c r="I7" s="8">
        <f>COUNTIF('3 Dispersion'!$O$4:$O$11,"Weak")</f>
        <v/>
      </c>
      <c r="J7" s="9">
        <f>IFERROR("Q"&amp;INDEX('3 Dispersion'!$A$4:$A$11,MATCH(FALSE(),'3 Dispersion'!$N$4:$N$11,0))&amp;" · "&amp;INDEX('3 Dispersion'!$B$4:$B$11,MATCH(FALSE(),'3 Dispersion'!$N$4:$N$11,0))&amp;" "&amp;INDEX('3 Dispersion'!$D$4:$D$11,MATCH(FALSE(),'3 Dispersion'!$N$4:$N$11,0))&amp;" · TF p."&amp;INDEX('3 Dispersion'!$I$4:$I$11,MATCH(FALSE(),'3 Dispersion'!$N$4:$N$11,0)),"All done ✔")</f>
        <v/>
      </c>
    </row>
    <row r="8">
      <c r="A8" s="8" t="n">
        <v>4</v>
      </c>
      <c r="B8" s="9" t="inlineStr">
        <is>
          <t>4 Skewness + Moments</t>
        </is>
      </c>
      <c r="C8" s="8">
        <f>COUNTA('4 Skewness + Moments'!$E$4:$E$15)</f>
        <v/>
      </c>
      <c r="D8" s="8">
        <f>COUNTIF('4 Skewness + Moments'!$N$4:$N$15,TRUE())</f>
        <v/>
      </c>
      <c r="E8" s="10">
        <f>IF(C8=0,0,D8/C8)</f>
        <v/>
      </c>
      <c r="F8" s="8">
        <f>SUM('4 Skewness + Moments'!$H$4:$H$15)</f>
        <v/>
      </c>
      <c r="G8" s="8">
        <f>SUMIF('4 Skewness + Moments'!$N$4:$N$15,TRUE(),'4 Skewness + Moments'!$H$4:$H$15)</f>
        <v/>
      </c>
      <c r="H8" s="8">
        <f>COUNTIFS('4 Skewness + Moments'!$J$4:$J$15,"★★★ High",'4 Skewness + Moments'!$N$4:$N$15,FALSE())</f>
        <v/>
      </c>
      <c r="I8" s="8">
        <f>COUNTIF('4 Skewness + Moments'!$O$4:$O$15,"Weak")</f>
        <v/>
      </c>
      <c r="J8" s="9">
        <f>IFERROR("Q"&amp;INDEX('4 Skewness + Moments'!$A$4:$A$15,MATCH(FALSE(),'4 Skewness + Moments'!$N$4:$N$15,0))&amp;" · "&amp;INDEX('4 Skewness + Moments'!$B$4:$B$15,MATCH(FALSE(),'4 Skewness + Moments'!$N$4:$N$15,0))&amp;" "&amp;INDEX('4 Skewness + Moments'!$D$4:$D$15,MATCH(FALSE(),'4 Skewness + Moments'!$N$4:$N$15,0))&amp;" · TF p."&amp;INDEX('4 Skewness + Moments'!$I$4:$I$15,MATCH(FALSE(),'4 Skewness + Moments'!$N$4:$N$15,0)),"All done ✔")</f>
        <v/>
      </c>
    </row>
    <row r="9">
      <c r="A9" s="8" t="n">
        <v>5</v>
      </c>
      <c r="B9" s="9" t="inlineStr">
        <is>
          <t>5 Correlation + Regression</t>
        </is>
      </c>
      <c r="C9" s="8">
        <f>COUNTA('5 Correlation + Regression'!$E$4:$E$18)</f>
        <v/>
      </c>
      <c r="D9" s="8">
        <f>COUNTIF('5 Correlation + Regression'!$N$4:$N$18,TRUE())</f>
        <v/>
      </c>
      <c r="E9" s="10">
        <f>IF(C9=0,0,D9/C9)</f>
        <v/>
      </c>
      <c r="F9" s="8">
        <f>SUM('5 Correlation + Regression'!$H$4:$H$18)</f>
        <v/>
      </c>
      <c r="G9" s="8">
        <f>SUMIF('5 Correlation + Regression'!$N$4:$N$18,TRUE(),'5 Correlation + Regression'!$H$4:$H$18)</f>
        <v/>
      </c>
      <c r="H9" s="8">
        <f>COUNTIFS('5 Correlation + Regression'!$J$4:$J$18,"★★★ High",'5 Correlation + Regression'!$N$4:$N$18,FALSE())</f>
        <v/>
      </c>
      <c r="I9" s="8">
        <f>COUNTIF('5 Correlation + Regression'!$O$4:$O$18,"Weak")</f>
        <v/>
      </c>
      <c r="J9" s="9">
        <f>IFERROR("Q"&amp;INDEX('5 Correlation + Regression'!$A$4:$A$18,MATCH(FALSE(),'5 Correlation + Regression'!$N$4:$N$18,0))&amp;" · "&amp;INDEX('5 Correlation + Regression'!$B$4:$B$18,MATCH(FALSE(),'5 Correlation + Regression'!$N$4:$N$18,0))&amp;" "&amp;INDEX('5 Correlation + Regression'!$D$4:$D$18,MATCH(FALSE(),'5 Correlation + Regression'!$N$4:$N$18,0))&amp;" · TF p."&amp;INDEX('5 Correlation + Regression'!$I$4:$I$18,MATCH(FALSE(),'5 Correlation + Regression'!$N$4:$N$18,0)),"All done ✔")</f>
        <v/>
      </c>
    </row>
    <row r="10">
      <c r="B10" s="11" t="inlineStr">
        <is>
          <t>TOTAL</t>
        </is>
      </c>
      <c r="C10" s="11">
        <f>SUM(C5:C9)</f>
        <v/>
      </c>
      <c r="D10" s="11">
        <f>SUM(D5:D9)</f>
        <v/>
      </c>
      <c r="E10" s="12">
        <f>IF(C10=0,0,D10/C10)</f>
        <v/>
      </c>
      <c r="F10" s="11">
        <f>SUM(F5:F9)</f>
        <v/>
      </c>
      <c r="G10" s="11">
        <f>SUM(G5:G9)</f>
        <v/>
      </c>
      <c r="H10" s="11">
        <f>SUM(H5:H9)</f>
        <v/>
      </c>
      <c r="I10" s="11">
        <f>SUM(I5:I9)</f>
        <v/>
      </c>
    </row>
    <row r="12">
      <c r="A12" s="13" t="inlineStr">
        <is>
          <t>Questions by year (tabs 1–5)</t>
        </is>
      </c>
    </row>
    <row r="13">
      <c r="A13" s="7" t="inlineStr">
        <is>
          <t>#</t>
        </is>
      </c>
      <c r="B13" s="7" t="inlineStr">
        <is>
          <t>Year</t>
        </is>
      </c>
      <c r="C13" s="7" t="inlineStr">
        <is>
          <t>Questions</t>
        </is>
      </c>
      <c r="D13" s="7" t="inlineStr">
        <is>
          <t>Done</t>
        </is>
      </c>
      <c r="E13" s="7" t="inlineStr">
        <is>
          <t>% Done</t>
        </is>
      </c>
      <c r="F13" s="7" t="inlineStr">
        <is>
          <t>Marks (total)</t>
        </is>
      </c>
    </row>
    <row r="14">
      <c r="A14" s="14" t="n">
        <v>1</v>
      </c>
      <c r="B14" s="14" t="inlineStr">
        <is>
          <t>2023-24</t>
        </is>
      </c>
      <c r="C14" s="14">
        <f>COUNTIF('1 Intro + Graphs'!$B$4:$B$8,$B14)+COUNTIF('2 Central Tendency'!$B$4:$B$6,$B14)+COUNTIF('3 Dispersion'!$B$4:$B$11,$B14)+COUNTIF('4 Skewness + Moments'!$B$4:$B$15,$B14)+COUNTIF('5 Correlation + Regression'!$B$4:$B$18,$B14)</f>
        <v/>
      </c>
      <c r="D14" s="14">
        <f>COUNTIFS('1 Intro + Graphs'!$B$4:$B$8,$B14,'1 Intro + Graphs'!$N$4:$N$8,TRUE())+COUNTIFS('2 Central Tendency'!$B$4:$B$6,$B14,'2 Central Tendency'!$N$4:$N$6,TRUE())+COUNTIFS('3 Dispersion'!$B$4:$B$11,$B14,'3 Dispersion'!$N$4:$N$11,TRUE())+COUNTIFS('4 Skewness + Moments'!$B$4:$B$15,$B14,'4 Skewness + Moments'!$N$4:$N$15,TRUE())+COUNTIFS('5 Correlation + Regression'!$B$4:$B$18,$B14,'5 Correlation + Regression'!$N$4:$N$18,TRUE())</f>
        <v/>
      </c>
      <c r="E14" s="15">
        <f>IF(C14=0,0,D14/C14)</f>
        <v/>
      </c>
      <c r="F14" s="14">
        <f>SUMIF('1 Intro + Graphs'!$B$4:$B$8,$B14,'1 Intro + Graphs'!$H$4:$H$8)+SUMIF('2 Central Tendency'!$B$4:$B$6,$B14,'2 Central Tendency'!$H$4:$H$6)+SUMIF('3 Dispersion'!$B$4:$B$11,$B14,'3 Dispersion'!$H$4:$H$11)+SUMIF('4 Skewness + Moments'!$B$4:$B$15,$B14,'4 Skewness + Moments'!$H$4:$H$15)+SUMIF('5 Correlation + Regression'!$B$4:$B$18,$B14,'5 Correlation + Regression'!$H$4:$H$18)</f>
        <v/>
      </c>
    </row>
    <row r="15">
      <c r="A15" s="14" t="n">
        <v>2</v>
      </c>
      <c r="B15" s="14" t="inlineStr">
        <is>
          <t>2022-23</t>
        </is>
      </c>
      <c r="C15" s="14">
        <f>COUNTIF('1 Intro + Graphs'!$B$4:$B$8,$B15)+COUNTIF('2 Central Tendency'!$B$4:$B$6,$B15)+COUNTIF('3 Dispersion'!$B$4:$B$11,$B15)+COUNTIF('4 Skewness + Moments'!$B$4:$B$15,$B15)+COUNTIF('5 Correlation + Regression'!$B$4:$B$18,$B15)</f>
        <v/>
      </c>
      <c r="D15" s="14">
        <f>COUNTIFS('1 Intro + Graphs'!$B$4:$B$8,$B15,'1 Intro + Graphs'!$N$4:$N$8,TRUE())+COUNTIFS('2 Central Tendency'!$B$4:$B$6,$B15,'2 Central Tendency'!$N$4:$N$6,TRUE())+COUNTIFS('3 Dispersion'!$B$4:$B$11,$B15,'3 Dispersion'!$N$4:$N$11,TRUE())+COUNTIFS('4 Skewness + Moments'!$B$4:$B$15,$B15,'4 Skewness + Moments'!$N$4:$N$15,TRUE())+COUNTIFS('5 Correlation + Regression'!$B$4:$B$18,$B15,'5 Correlation + Regression'!$N$4:$N$18,TRUE())</f>
        <v/>
      </c>
      <c r="E15" s="15">
        <f>IF(C15=0,0,D15/C15)</f>
        <v/>
      </c>
      <c r="F15" s="14">
        <f>SUMIF('1 Intro + Graphs'!$B$4:$B$8,$B15,'1 Intro + Graphs'!$H$4:$H$8)+SUMIF('2 Central Tendency'!$B$4:$B$6,$B15,'2 Central Tendency'!$H$4:$H$6)+SUMIF('3 Dispersion'!$B$4:$B$11,$B15,'3 Dispersion'!$H$4:$H$11)+SUMIF('4 Skewness + Moments'!$B$4:$B$15,$B15,'4 Skewness + Moments'!$H$4:$H$15)+SUMIF('5 Correlation + Regression'!$B$4:$B$18,$B15,'5 Correlation + Regression'!$H$4:$H$18)</f>
        <v/>
      </c>
    </row>
    <row r="16">
      <c r="A16" s="14" t="n">
        <v>3</v>
      </c>
      <c r="B16" s="14" t="inlineStr">
        <is>
          <t>2021-22</t>
        </is>
      </c>
      <c r="C16" s="14">
        <f>COUNTIF('1 Intro + Graphs'!$B$4:$B$8,$B16)+COUNTIF('2 Central Tendency'!$B$4:$B$6,$B16)+COUNTIF('3 Dispersion'!$B$4:$B$11,$B16)+COUNTIF('4 Skewness + Moments'!$B$4:$B$15,$B16)+COUNTIF('5 Correlation + Regression'!$B$4:$B$18,$B16)</f>
        <v/>
      </c>
      <c r="D16" s="14">
        <f>COUNTIFS('1 Intro + Graphs'!$B$4:$B$8,$B16,'1 Intro + Graphs'!$N$4:$N$8,TRUE())+COUNTIFS('2 Central Tendency'!$B$4:$B$6,$B16,'2 Central Tendency'!$N$4:$N$6,TRUE())+COUNTIFS('3 Dispersion'!$B$4:$B$11,$B16,'3 Dispersion'!$N$4:$N$11,TRUE())+COUNTIFS('4 Skewness + Moments'!$B$4:$B$15,$B16,'4 Skewness + Moments'!$N$4:$N$15,TRUE())+COUNTIFS('5 Correlation + Regression'!$B$4:$B$18,$B16,'5 Correlation + Regression'!$N$4:$N$18,TRUE())</f>
        <v/>
      </c>
      <c r="E16" s="15">
        <f>IF(C16=0,0,D16/C16)</f>
        <v/>
      </c>
      <c r="F16" s="14">
        <f>SUMIF('1 Intro + Graphs'!$B$4:$B$8,$B16,'1 Intro + Graphs'!$H$4:$H$8)+SUMIF('2 Central Tendency'!$B$4:$B$6,$B16,'2 Central Tendency'!$H$4:$H$6)+SUMIF('3 Dispersion'!$B$4:$B$11,$B16,'3 Dispersion'!$H$4:$H$11)+SUMIF('4 Skewness + Moments'!$B$4:$B$15,$B16,'4 Skewness + Moments'!$H$4:$H$15)+SUMIF('5 Correlation + Regression'!$B$4:$B$18,$B16,'5 Correlation + Regression'!$H$4:$H$18)</f>
        <v/>
      </c>
    </row>
    <row r="17">
      <c r="A17" s="14" t="n">
        <v>4</v>
      </c>
      <c r="B17" s="14" t="inlineStr">
        <is>
          <t>2020-21</t>
        </is>
      </c>
      <c r="C17" s="14">
        <f>COUNTIF('1 Intro + Graphs'!$B$4:$B$8,$B17)+COUNTIF('2 Central Tendency'!$B$4:$B$6,$B17)+COUNTIF('3 Dispersion'!$B$4:$B$11,$B17)+COUNTIF('4 Skewness + Moments'!$B$4:$B$15,$B17)+COUNTIF('5 Correlation + Regression'!$B$4:$B$18,$B17)</f>
        <v/>
      </c>
      <c r="D17" s="14">
        <f>COUNTIFS('1 Intro + Graphs'!$B$4:$B$8,$B17,'1 Intro + Graphs'!$N$4:$N$8,TRUE())+COUNTIFS('2 Central Tendency'!$B$4:$B$6,$B17,'2 Central Tendency'!$N$4:$N$6,TRUE())+COUNTIFS('3 Dispersion'!$B$4:$B$11,$B17,'3 Dispersion'!$N$4:$N$11,TRUE())+COUNTIFS('4 Skewness + Moments'!$B$4:$B$15,$B17,'4 Skewness + Moments'!$N$4:$N$15,TRUE())+COUNTIFS('5 Correlation + Regression'!$B$4:$B$18,$B17,'5 Correlation + Regression'!$N$4:$N$18,TRUE())</f>
        <v/>
      </c>
      <c r="E17" s="15">
        <f>IF(C17=0,0,D17/C17)</f>
        <v/>
      </c>
      <c r="F17" s="14">
        <f>SUMIF('1 Intro + Graphs'!$B$4:$B$8,$B17,'1 Intro + Graphs'!$H$4:$H$8)+SUMIF('2 Central Tendency'!$B$4:$B$6,$B17,'2 Central Tendency'!$H$4:$H$6)+SUMIF('3 Dispersion'!$B$4:$B$11,$B17,'3 Dispersion'!$H$4:$H$11)+SUMIF('4 Skewness + Moments'!$B$4:$B$15,$B17,'4 Skewness + Moments'!$H$4:$H$15)+SUMIF('5 Correlation + Regression'!$B$4:$B$18,$B17,'5 Correlation + Regression'!$H$4:$H$18)</f>
        <v/>
      </c>
    </row>
    <row r="18">
      <c r="A18" s="14" t="n">
        <v>5</v>
      </c>
      <c r="B18" s="14" t="inlineStr">
        <is>
          <t>2019-20</t>
        </is>
      </c>
      <c r="C18" s="14">
        <f>COUNTIF('1 Intro + Graphs'!$B$4:$B$8,$B18)+COUNTIF('2 Central Tendency'!$B$4:$B$6,$B18)+COUNTIF('3 Dispersion'!$B$4:$B$11,$B18)+COUNTIF('4 Skewness + Moments'!$B$4:$B$15,$B18)+COUNTIF('5 Correlation + Regression'!$B$4:$B$18,$B18)</f>
        <v/>
      </c>
      <c r="D18" s="14">
        <f>COUNTIFS('1 Intro + Graphs'!$B$4:$B$8,$B18,'1 Intro + Graphs'!$N$4:$N$8,TRUE())+COUNTIFS('2 Central Tendency'!$B$4:$B$6,$B18,'2 Central Tendency'!$N$4:$N$6,TRUE())+COUNTIFS('3 Dispersion'!$B$4:$B$11,$B18,'3 Dispersion'!$N$4:$N$11,TRUE())+COUNTIFS('4 Skewness + Moments'!$B$4:$B$15,$B18,'4 Skewness + Moments'!$N$4:$N$15,TRUE())+COUNTIFS('5 Correlation + Regression'!$B$4:$B$18,$B18,'5 Correlation + Regression'!$N$4:$N$18,TRUE())</f>
        <v/>
      </c>
      <c r="E18" s="15">
        <f>IF(C18=0,0,D18/C18)</f>
        <v/>
      </c>
      <c r="F18" s="14">
        <f>SUMIF('1 Intro + Graphs'!$B$4:$B$8,$B18,'1 Intro + Graphs'!$H$4:$H$8)+SUMIF('2 Central Tendency'!$B$4:$B$6,$B18,'2 Central Tendency'!$H$4:$H$6)+SUMIF('3 Dispersion'!$B$4:$B$11,$B18,'3 Dispersion'!$H$4:$H$11)+SUMIF('4 Skewness + Moments'!$B$4:$B$15,$B18,'4 Skewness + Moments'!$H$4:$H$15)+SUMIF('5 Correlation + Regression'!$B$4:$B$18,$B18,'5 Correlation + Regression'!$H$4:$H$18)</f>
        <v/>
      </c>
    </row>
    <row r="19">
      <c r="A19" s="16" t="n">
        <v>6</v>
      </c>
      <c r="B19" s="16" t="inlineStr">
        <is>
          <t>2018-19</t>
        </is>
      </c>
      <c r="C19" s="16">
        <f>COUNTIF('1 Intro + Graphs'!$B$4:$B$8,$B19)+COUNTIF('2 Central Tendency'!$B$4:$B$6,$B19)+COUNTIF('3 Dispersion'!$B$4:$B$11,$B19)+COUNTIF('4 Skewness + Moments'!$B$4:$B$15,$B19)+COUNTIF('5 Correlation + Regression'!$B$4:$B$18,$B19)</f>
        <v/>
      </c>
      <c r="D19" s="16">
        <f>COUNTIFS('1 Intro + Graphs'!$B$4:$B$8,$B19,'1 Intro + Graphs'!$N$4:$N$8,TRUE())+COUNTIFS('2 Central Tendency'!$B$4:$B$6,$B19,'2 Central Tendency'!$N$4:$N$6,TRUE())+COUNTIFS('3 Dispersion'!$B$4:$B$11,$B19,'3 Dispersion'!$N$4:$N$11,TRUE())+COUNTIFS('4 Skewness + Moments'!$B$4:$B$15,$B19,'4 Skewness + Moments'!$N$4:$N$15,TRUE())+COUNTIFS('5 Correlation + Regression'!$B$4:$B$18,$B19,'5 Correlation + Regression'!$N$4:$N$18,TRUE())</f>
        <v/>
      </c>
      <c r="E19" s="17">
        <f>IF(C19=0,0,D19/C19)</f>
        <v/>
      </c>
      <c r="F19" s="16">
        <f>SUMIF('1 Intro + Graphs'!$B$4:$B$8,$B19,'1 Intro + Graphs'!$H$4:$H$8)+SUMIF('2 Central Tendency'!$B$4:$B$6,$B19,'2 Central Tendency'!$H$4:$H$6)+SUMIF('3 Dispersion'!$B$4:$B$11,$B19,'3 Dispersion'!$H$4:$H$11)+SUMIF('4 Skewness + Moments'!$B$4:$B$15,$B19,'4 Skewness + Moments'!$H$4:$H$15)+SUMIF('5 Correlation + Regression'!$B$4:$B$18,$B19,'5 Correlation + Regression'!$H$4:$H$18)</f>
        <v/>
      </c>
    </row>
    <row r="20">
      <c r="A20" s="16" t="n">
        <v>7</v>
      </c>
      <c r="B20" s="16" t="inlineStr">
        <is>
          <t>2016-17</t>
        </is>
      </c>
      <c r="C20" s="16">
        <f>COUNTIF('1 Intro + Graphs'!$B$4:$B$8,$B20)+COUNTIF('2 Central Tendency'!$B$4:$B$6,$B20)+COUNTIF('3 Dispersion'!$B$4:$B$11,$B20)+COUNTIF('4 Skewness + Moments'!$B$4:$B$15,$B20)+COUNTIF('5 Correlation + Regression'!$B$4:$B$18,$B20)</f>
        <v/>
      </c>
      <c r="D20" s="16">
        <f>COUNTIFS('1 Intro + Graphs'!$B$4:$B$8,$B20,'1 Intro + Graphs'!$N$4:$N$8,TRUE())+COUNTIFS('2 Central Tendency'!$B$4:$B$6,$B20,'2 Central Tendency'!$N$4:$N$6,TRUE())+COUNTIFS('3 Dispersion'!$B$4:$B$11,$B20,'3 Dispersion'!$N$4:$N$11,TRUE())+COUNTIFS('4 Skewness + Moments'!$B$4:$B$15,$B20,'4 Skewness + Moments'!$N$4:$N$15,TRUE())+COUNTIFS('5 Correlation + Regression'!$B$4:$B$18,$B20,'5 Correlation + Regression'!$N$4:$N$18,TRUE())</f>
        <v/>
      </c>
      <c r="E20" s="17">
        <f>IF(C20=0,0,D20/C20)</f>
        <v/>
      </c>
      <c r="F20" s="16">
        <f>SUMIF('1 Intro + Graphs'!$B$4:$B$8,$B20,'1 Intro + Graphs'!$H$4:$H$8)+SUMIF('2 Central Tendency'!$B$4:$B$6,$B20,'2 Central Tendency'!$H$4:$H$6)+SUMIF('3 Dispersion'!$B$4:$B$11,$B20,'3 Dispersion'!$H$4:$H$11)+SUMIF('4 Skewness + Moments'!$B$4:$B$15,$B20,'4 Skewness + Moments'!$H$4:$H$15)+SUMIF('5 Correlation + Regression'!$B$4:$B$18,$B20,'5 Correlation + Regression'!$H$4:$H$18)</f>
        <v/>
      </c>
    </row>
    <row r="21">
      <c r="A21" s="16" t="n">
        <v>8</v>
      </c>
      <c r="B21" s="16" t="inlineStr">
        <is>
          <t>2015-16</t>
        </is>
      </c>
      <c r="C21" s="16">
        <f>COUNTIF('1 Intro + Graphs'!$B$4:$B$8,$B21)+COUNTIF('2 Central Tendency'!$B$4:$B$6,$B21)+COUNTIF('3 Dispersion'!$B$4:$B$11,$B21)+COUNTIF('4 Skewness + Moments'!$B$4:$B$15,$B21)+COUNTIF('5 Correlation + Regression'!$B$4:$B$18,$B21)</f>
        <v/>
      </c>
      <c r="D21" s="16">
        <f>COUNTIFS('1 Intro + Graphs'!$B$4:$B$8,$B21,'1 Intro + Graphs'!$N$4:$N$8,TRUE())+COUNTIFS('2 Central Tendency'!$B$4:$B$6,$B21,'2 Central Tendency'!$N$4:$N$6,TRUE())+COUNTIFS('3 Dispersion'!$B$4:$B$11,$B21,'3 Dispersion'!$N$4:$N$11,TRUE())+COUNTIFS('4 Skewness + Moments'!$B$4:$B$15,$B21,'4 Skewness + Moments'!$N$4:$N$15,TRUE())+COUNTIFS('5 Correlation + Regression'!$B$4:$B$18,$B21,'5 Correlation + Regression'!$N$4:$N$18,TRUE())</f>
        <v/>
      </c>
      <c r="E21" s="17">
        <f>IF(C21=0,0,D21/C21)</f>
        <v/>
      </c>
      <c r="F21" s="16">
        <f>SUMIF('1 Intro + Graphs'!$B$4:$B$8,$B21,'1 Intro + Graphs'!$H$4:$H$8)+SUMIF('2 Central Tendency'!$B$4:$B$6,$B21,'2 Central Tendency'!$H$4:$H$6)+SUMIF('3 Dispersion'!$B$4:$B$11,$B21,'3 Dispersion'!$H$4:$H$11)+SUMIF('4 Skewness + Moments'!$B$4:$B$15,$B21,'4 Skewness + Moments'!$H$4:$H$15)+SUMIF('5 Correlation + Regression'!$B$4:$B$18,$B21,'5 Correlation + Regression'!$H$4:$H$18)</f>
        <v/>
      </c>
    </row>
    <row r="22">
      <c r="A22" s="16" t="n">
        <v>9</v>
      </c>
      <c r="B22" s="16" t="inlineStr">
        <is>
          <t>2014-15</t>
        </is>
      </c>
      <c r="C22" s="16">
        <f>COUNTIF('1 Intro + Graphs'!$B$4:$B$8,$B22)+COUNTIF('2 Central Tendency'!$B$4:$B$6,$B22)+COUNTIF('3 Dispersion'!$B$4:$B$11,$B22)+COUNTIF('4 Skewness + Moments'!$B$4:$B$15,$B22)+COUNTIF('5 Correlation + Regression'!$B$4:$B$18,$B22)</f>
        <v/>
      </c>
      <c r="D22" s="16">
        <f>COUNTIFS('1 Intro + Graphs'!$B$4:$B$8,$B22,'1 Intro + Graphs'!$N$4:$N$8,TRUE())+COUNTIFS('2 Central Tendency'!$B$4:$B$6,$B22,'2 Central Tendency'!$N$4:$N$6,TRUE())+COUNTIFS('3 Dispersion'!$B$4:$B$11,$B22,'3 Dispersion'!$N$4:$N$11,TRUE())+COUNTIFS('4 Skewness + Moments'!$B$4:$B$15,$B22,'4 Skewness + Moments'!$N$4:$N$15,TRUE())+COUNTIFS('5 Correlation + Regression'!$B$4:$B$18,$B22,'5 Correlation + Regression'!$N$4:$N$18,TRUE())</f>
        <v/>
      </c>
      <c r="E22" s="17">
        <f>IF(C22=0,0,D22/C22)</f>
        <v/>
      </c>
      <c r="F22" s="16">
        <f>SUMIF('1 Intro + Graphs'!$B$4:$B$8,$B22,'1 Intro + Graphs'!$H$4:$H$8)+SUMIF('2 Central Tendency'!$B$4:$B$6,$B22,'2 Central Tendency'!$H$4:$H$6)+SUMIF('3 Dispersion'!$B$4:$B$11,$B22,'3 Dispersion'!$H$4:$H$11)+SUMIF('4 Skewness + Moments'!$B$4:$B$15,$B22,'4 Skewness + Moments'!$H$4:$H$15)+SUMIF('5 Correlation + Regression'!$B$4:$B$18,$B22,'5 Correlation + Regression'!$H$4:$H$18)</f>
        <v/>
      </c>
    </row>
    <row r="23">
      <c r="A23" s="16" t="n">
        <v>10</v>
      </c>
      <c r="B23" s="16" t="inlineStr">
        <is>
          <t>2013-14</t>
        </is>
      </c>
      <c r="C23" s="16">
        <f>COUNTIF('1 Intro + Graphs'!$B$4:$B$8,$B23)+COUNTIF('2 Central Tendency'!$B$4:$B$6,$B23)+COUNTIF('3 Dispersion'!$B$4:$B$11,$B23)+COUNTIF('4 Skewness + Moments'!$B$4:$B$15,$B23)+COUNTIF('5 Correlation + Regression'!$B$4:$B$18,$B23)</f>
        <v/>
      </c>
      <c r="D23" s="16">
        <f>COUNTIFS('1 Intro + Graphs'!$B$4:$B$8,$B23,'1 Intro + Graphs'!$N$4:$N$8,TRUE())+COUNTIFS('2 Central Tendency'!$B$4:$B$6,$B23,'2 Central Tendency'!$N$4:$N$6,TRUE())+COUNTIFS('3 Dispersion'!$B$4:$B$11,$B23,'3 Dispersion'!$N$4:$N$11,TRUE())+COUNTIFS('4 Skewness + Moments'!$B$4:$B$15,$B23,'4 Skewness + Moments'!$N$4:$N$15,TRUE())+COUNTIFS('5 Correlation + Regression'!$B$4:$B$18,$B23,'5 Correlation + Regression'!$N$4:$N$18,TRUE())</f>
        <v/>
      </c>
      <c r="E23" s="17">
        <f>IF(C23=0,0,D23/C23)</f>
        <v/>
      </c>
      <c r="F23" s="16">
        <f>SUMIF('1 Intro + Graphs'!$B$4:$B$8,$B23,'1 Intro + Graphs'!$H$4:$H$8)+SUMIF('2 Central Tendency'!$B$4:$B$6,$B23,'2 Central Tendency'!$H$4:$H$6)+SUMIF('3 Dispersion'!$B$4:$B$11,$B23,'3 Dispersion'!$H$4:$H$11)+SUMIF('4 Skewness + Moments'!$B$4:$B$15,$B23,'4 Skewness + Moments'!$H$4:$H$15)+SUMIF('5 Correlation + Regression'!$B$4:$B$18,$B23,'5 Correlation + Regression'!$H$4:$H$18)</f>
        <v/>
      </c>
    </row>
    <row r="24">
      <c r="A24" s="16" t="n">
        <v>11</v>
      </c>
      <c r="B24" s="16" t="inlineStr">
        <is>
          <t>2012-13</t>
        </is>
      </c>
      <c r="C24" s="16">
        <f>COUNTIF('1 Intro + Graphs'!$B$4:$B$8,$B24)+COUNTIF('2 Central Tendency'!$B$4:$B$6,$B24)+COUNTIF('3 Dispersion'!$B$4:$B$11,$B24)+COUNTIF('4 Skewness + Moments'!$B$4:$B$15,$B24)+COUNTIF('5 Correlation + Regression'!$B$4:$B$18,$B24)</f>
        <v/>
      </c>
      <c r="D24" s="16">
        <f>COUNTIFS('1 Intro + Graphs'!$B$4:$B$8,$B24,'1 Intro + Graphs'!$N$4:$N$8,TRUE())+COUNTIFS('2 Central Tendency'!$B$4:$B$6,$B24,'2 Central Tendency'!$N$4:$N$6,TRUE())+COUNTIFS('3 Dispersion'!$B$4:$B$11,$B24,'3 Dispersion'!$N$4:$N$11,TRUE())+COUNTIFS('4 Skewness + Moments'!$B$4:$B$15,$B24,'4 Skewness + Moments'!$N$4:$N$15,TRUE())+COUNTIFS('5 Correlation + Regression'!$B$4:$B$18,$B24,'5 Correlation + Regression'!$N$4:$N$18,TRUE())</f>
        <v/>
      </c>
      <c r="E24" s="17">
        <f>IF(C24=0,0,D24/C24)</f>
        <v/>
      </c>
      <c r="F24" s="16">
        <f>SUMIF('1 Intro + Graphs'!$B$4:$B$8,$B24,'1 Intro + Graphs'!$H$4:$H$8)+SUMIF('2 Central Tendency'!$B$4:$B$6,$B24,'2 Central Tendency'!$H$4:$H$6)+SUMIF('3 Dispersion'!$B$4:$B$11,$B24,'3 Dispersion'!$H$4:$H$11)+SUMIF('4 Skewness + Moments'!$B$4:$B$15,$B24,'4 Skewness + Moments'!$H$4:$H$15)+SUMIF('5 Correlation + Regression'!$B$4:$B$18,$B24,'5 Correlation + Regression'!$H$4:$H$18)</f>
        <v/>
      </c>
    </row>
    <row r="25">
      <c r="A25" s="16" t="n">
        <v>12</v>
      </c>
      <c r="B25" s="16" t="inlineStr">
        <is>
          <t>2011-12</t>
        </is>
      </c>
      <c r="C25" s="16">
        <f>COUNTIF('1 Intro + Graphs'!$B$4:$B$8,$B25)+COUNTIF('2 Central Tendency'!$B$4:$B$6,$B25)+COUNTIF('3 Dispersion'!$B$4:$B$11,$B25)+COUNTIF('4 Skewness + Moments'!$B$4:$B$15,$B25)+COUNTIF('5 Correlation + Regression'!$B$4:$B$18,$B25)</f>
        <v/>
      </c>
      <c r="D25" s="16">
        <f>COUNTIFS('1 Intro + Graphs'!$B$4:$B$8,$B25,'1 Intro + Graphs'!$N$4:$N$8,TRUE())+COUNTIFS('2 Central Tendency'!$B$4:$B$6,$B25,'2 Central Tendency'!$N$4:$N$6,TRUE())+COUNTIFS('3 Dispersion'!$B$4:$B$11,$B25,'3 Dispersion'!$N$4:$N$11,TRUE())+COUNTIFS('4 Skewness + Moments'!$B$4:$B$15,$B25,'4 Skewness + Moments'!$N$4:$N$15,TRUE())+COUNTIFS('5 Correlation + Regression'!$B$4:$B$18,$B25,'5 Correlation + Regression'!$N$4:$N$18,TRUE())</f>
        <v/>
      </c>
      <c r="E25" s="17">
        <f>IF(C25=0,0,D25/C25)</f>
        <v/>
      </c>
      <c r="F25" s="16">
        <f>SUMIF('1 Intro + Graphs'!$B$4:$B$8,$B25,'1 Intro + Graphs'!$H$4:$H$8)+SUMIF('2 Central Tendency'!$B$4:$B$6,$B25,'2 Central Tendency'!$H$4:$H$6)+SUMIF('3 Dispersion'!$B$4:$B$11,$B25,'3 Dispersion'!$H$4:$H$11)+SUMIF('4 Skewness + Moments'!$B$4:$B$15,$B25,'4 Skewness + Moments'!$H$4:$H$15)+SUMIF('5 Correlation + Regression'!$B$4:$B$18,$B25,'5 Correlation + Regression'!$H$4:$H$18)</f>
        <v/>
      </c>
    </row>
    <row r="26">
      <c r="B26" s="2" t="inlineStr">
        <is>
          <t>Shaded years = ★★★ High priority (2019-20 onward).</t>
        </is>
      </c>
    </row>
    <row r="27">
      <c r="B27" s="2" t="inlineStr">
        <is>
          <t>Inference questions (tests, χ², CI) are in the KKS tracker, tab 8.</t>
        </is>
      </c>
    </row>
  </sheetData>
  <conditionalFormatting sqref="E5:E10">
    <cfRule type="dataBar" priority="1">
      <dataBar>
        <cfvo type="num" val="0"/>
        <cfvo type="num" val="1"/>
        <color rgb="0063BE7B"/>
      </dataBar>
    </cfRule>
  </conditionalFormatting>
  <conditionalFormatting sqref="E14:E25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Decks 1.1, 1.2, 5, 6 — Data, Frequency Tables, Graphs</t>
        </is>
      </c>
    </row>
    <row r="2">
      <c r="A2" s="2" t="inlineStr">
        <is>
          <t>Note file: MATH243_Stat_Intro_Graphs_Notes.docx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2022-23</t>
        </is>
      </c>
      <c r="C4" s="19" t="inlineStr">
        <is>
          <t>MATH 243</t>
        </is>
      </c>
      <c r="D4" s="19" t="inlineStr">
        <is>
          <t>5(a)</t>
        </is>
      </c>
      <c r="E4" s="20" t="inlineStr">
        <is>
          <t>Statistical data: meaning, how produced, why needed, sources in Bangladesh</t>
        </is>
      </c>
      <c r="F4" s="20" t="inlineStr">
        <is>
          <t>Statistics, data, sampling — 1.1 Stat L1</t>
        </is>
      </c>
      <c r="G4" s="19" t="inlineStr">
        <is>
          <t>L1</t>
        </is>
      </c>
      <c r="H4" s="19" t="n">
        <v>10</v>
      </c>
      <c r="I4" s="19" t="n">
        <v>49</v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◐ Method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2022-23</t>
        </is>
      </c>
      <c r="C5" s="24" t="inlineStr">
        <is>
          <t>MATH 243</t>
        </is>
      </c>
      <c r="D5" s="24" t="inlineStr">
        <is>
          <t>5(b)</t>
        </is>
      </c>
      <c r="E5" s="6" t="inlineStr">
        <is>
          <t>Insulation thickness (60 values): frequency table by Sturges' rule; histogram and cumulative frequency graph</t>
        </is>
      </c>
      <c r="F5" s="6" t="inlineStr">
        <is>
          <t>Frequency distributions, Sturges — 1.2 Stat L2</t>
        </is>
      </c>
      <c r="G5" s="24" t="inlineStr">
        <is>
          <t>L2</t>
        </is>
      </c>
      <c r="H5" s="24" t="n">
        <v>15</v>
      </c>
      <c r="I5" s="24" t="n">
        <v>49</v>
      </c>
      <c r="J5" s="21" t="inlineStr">
        <is>
          <t>★★★ High</t>
        </is>
      </c>
      <c r="K5" s="24" t="inlineStr">
        <is>
          <t>Design</t>
        </is>
      </c>
      <c r="L5" s="25" t="inlineStr">
        <is>
          <t>✔ Solved</t>
        </is>
      </c>
      <c r="M5" s="6" t="inlineStr">
        <is>
          <t>2021-22 5(b)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2021-22</t>
        </is>
      </c>
      <c r="C6" s="24" t="inlineStr">
        <is>
          <t>MATH 245</t>
        </is>
      </c>
      <c r="D6" s="24" t="inlineStr">
        <is>
          <t>5(b)</t>
        </is>
      </c>
      <c r="E6" s="6" t="inlineStr">
        <is>
          <t>(i) 34 observations 201–337, 7 classes of width 20 from 199.5: class limits and marks; (ii) same mean, SD, skewness — kurtosis</t>
        </is>
      </c>
      <c r="F6" s="6" t="inlineStr">
        <is>
          <t>Frequency distributions, Sturges — 1.2 Stat L2</t>
        </is>
      </c>
      <c r="G6" s="24" t="inlineStr">
        <is>
          <t>L2</t>
        </is>
      </c>
      <c r="H6" s="24" t="n">
        <v>17</v>
      </c>
      <c r="I6" s="24" t="n">
        <v>44</v>
      </c>
      <c r="J6" s="21" t="inlineStr">
        <is>
          <t>★★★ High</t>
        </is>
      </c>
      <c r="K6" s="24" t="inlineStr">
        <is>
          <t>Theory</t>
        </is>
      </c>
      <c r="L6" s="25" t="inlineStr">
        <is>
          <t>✔ Solved</t>
        </is>
      </c>
      <c r="M6" s="6" t="inlineStr">
        <is>
          <t>2022-23 5(b)</t>
        </is>
      </c>
      <c r="N6" s="23" t="b">
        <v>0</v>
      </c>
      <c r="O6" s="24" t="n"/>
      <c r="P6" s="24" t="n"/>
      <c r="Q6" s="6" t="n"/>
    </row>
    <row r="7">
      <c r="A7" s="19" t="n">
        <v>4</v>
      </c>
      <c r="B7" s="19" t="inlineStr">
        <is>
          <t>2023-24</t>
        </is>
      </c>
      <c r="C7" s="19" t="inlineStr">
        <is>
          <t>MATH 243</t>
        </is>
      </c>
      <c r="D7" s="19" t="inlineStr">
        <is>
          <t>5(a)</t>
        </is>
      </c>
      <c r="E7" s="20" t="inlineStr">
        <is>
          <t>What is a stem-and-leaf plot; how to create one, with an example</t>
        </is>
      </c>
      <c r="F7" s="20" t="inlineStr">
        <is>
          <t>Stem-and-leaf, boxplot — Graphical 2 pp. 8–18</t>
        </is>
      </c>
      <c r="G7" s="19" t="inlineStr">
        <is>
          <t>L4</t>
        </is>
      </c>
      <c r="H7" s="19" t="n">
        <v>10</v>
      </c>
      <c r="I7" s="19" t="inlineStr">
        <is>
          <t>22 batch p.3</t>
        </is>
      </c>
      <c r="J7" s="21" t="inlineStr">
        <is>
          <t>★★★ High</t>
        </is>
      </c>
      <c r="K7" s="19" t="inlineStr">
        <is>
          <t>Design</t>
        </is>
      </c>
      <c r="L7" s="25" t="inlineStr">
        <is>
          <t>✔ Solved</t>
        </is>
      </c>
      <c r="M7" s="20" t="inlineStr">
        <is>
          <t>2022-23 6(b)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2022-23</t>
        </is>
      </c>
      <c r="C8" s="19" t="inlineStr">
        <is>
          <t>MATH 243</t>
        </is>
      </c>
      <c r="D8" s="19" t="inlineStr">
        <is>
          <t>6(b)</t>
        </is>
      </c>
      <c r="E8" s="20" t="inlineStr">
        <is>
          <t>Lengths of 12 pencils: stem-and-leaf plot; median, mode, range</t>
        </is>
      </c>
      <c r="F8" s="20" t="inlineStr">
        <is>
          <t>Stem-and-leaf, boxplot — Graphical 2 pp. 8–18</t>
        </is>
      </c>
      <c r="G8" s="19" t="inlineStr">
        <is>
          <t>L4</t>
        </is>
      </c>
      <c r="H8" s="19" t="n">
        <v>10</v>
      </c>
      <c r="I8" s="19" t="n">
        <v>50</v>
      </c>
      <c r="J8" s="21" t="inlineStr">
        <is>
          <t>★★★ High</t>
        </is>
      </c>
      <c r="K8" s="19" t="inlineStr">
        <is>
          <t>Design</t>
        </is>
      </c>
      <c r="L8" s="25" t="inlineStr">
        <is>
          <t>✔ Solved</t>
        </is>
      </c>
      <c r="M8" s="20" t="inlineStr">
        <is>
          <t>2023-24 5(a)</t>
        </is>
      </c>
      <c r="N8" s="23" t="b">
        <v>0</v>
      </c>
      <c r="O8" s="19" t="n"/>
      <c r="P8" s="19" t="n"/>
      <c r="Q8" s="20" t="n"/>
    </row>
  </sheetData>
  <autoFilter ref="A3:Q8"/>
  <conditionalFormatting sqref="A4:Q8">
    <cfRule type="expression" priority="1" dxfId="0">
      <formula>$N4=TRUE</formula>
    </cfRule>
  </conditionalFormatting>
  <conditionalFormatting sqref="O4:O8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8" showDropDown="0" showInputMessage="0" showErrorMessage="0" allowBlank="1" type="list">
      <formula1>"TRUE,FALSE"</formula1>
    </dataValidation>
    <dataValidation sqref="O4:O8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Deck 2 — Mean, Median, Quartiles, Mode</t>
        </is>
      </c>
    </row>
    <row r="2">
      <c r="A2" s="2" t="inlineStr">
        <is>
          <t>Note file: MATH243_Stat_Central_Tendency_Notes.docx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2021-22</t>
        </is>
      </c>
      <c r="C4" s="19" t="inlineStr">
        <is>
          <t>MATH 245</t>
        </is>
      </c>
      <c r="D4" s="19" t="inlineStr">
        <is>
          <t>5(a)</t>
        </is>
      </c>
      <c r="E4" s="20" t="inlineStr">
        <is>
          <t>Monthly wages 1900-2400 (7 classes): suitable diagram, median from graph and formula; workers earning 2000–2170</t>
        </is>
      </c>
      <c r="F4" s="20" t="inlineStr">
        <is>
          <t>Median, quartiles, ogive — Central Tendency pp. 7–18</t>
        </is>
      </c>
      <c r="G4" s="19" t="inlineStr">
        <is>
          <t>L6</t>
        </is>
      </c>
      <c r="H4" s="19" t="n">
        <v>18</v>
      </c>
      <c r="I4" s="19" t="n">
        <v>44</v>
      </c>
      <c r="J4" s="21" t="inlineStr">
        <is>
          <t>★★★ High</t>
        </is>
      </c>
      <c r="K4" s="19" t="inlineStr">
        <is>
          <t>Numerical</t>
        </is>
      </c>
      <c r="L4" s="25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2015-16</t>
        </is>
      </c>
      <c r="C5" s="24" t="inlineStr">
        <is>
          <t>MATH 241</t>
        </is>
      </c>
      <c r="D5" s="24" t="inlineStr">
        <is>
          <t>6(a)</t>
        </is>
      </c>
      <c r="E5" s="6" t="inlineStr">
        <is>
          <t>Incomplete distribution, N = 1000, median 415: missing frequencies, modal value, shape</t>
        </is>
      </c>
      <c r="F5" s="6" t="inlineStr">
        <is>
          <t>Mode, missing frequencies — Central Tendency pp. 19–26</t>
        </is>
      </c>
      <c r="G5" s="24" t="inlineStr">
        <is>
          <t>L7</t>
        </is>
      </c>
      <c r="H5" s="24" t="n">
        <v>18</v>
      </c>
      <c r="I5" s="24" t="n">
        <v>15</v>
      </c>
      <c r="J5" s="26" t="inlineStr">
        <is>
          <t>★★ Medium</t>
        </is>
      </c>
      <c r="K5" s="24" t="inlineStr">
        <is>
          <t>Numerical</t>
        </is>
      </c>
      <c r="L5" s="25" t="inlineStr">
        <is>
          <t>✔ Solved</t>
        </is>
      </c>
      <c r="M5" s="6" t="inlineStr">
        <is>
          <t>2014-15 6(a)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2014-15</t>
        </is>
      </c>
      <c r="C6" s="24" t="inlineStr">
        <is>
          <t>MATH 241</t>
        </is>
      </c>
      <c r="D6" s="24" t="inlineStr">
        <is>
          <t>6(a)</t>
        </is>
      </c>
      <c r="E6" s="6" t="inlineStr">
        <is>
          <t>Incomplete distribution, N = 1000, median 413.11: find the two missing frequencies and the mode</t>
        </is>
      </c>
      <c r="F6" s="6" t="inlineStr">
        <is>
          <t>Mode, missing frequencies — Central Tendency pp. 19–26</t>
        </is>
      </c>
      <c r="G6" s="24" t="inlineStr">
        <is>
          <t>L7</t>
        </is>
      </c>
      <c r="H6" s="24" t="n">
        <v>17</v>
      </c>
      <c r="I6" s="24" t="n">
        <v>10</v>
      </c>
      <c r="J6" s="26" t="inlineStr">
        <is>
          <t>★★ Medium</t>
        </is>
      </c>
      <c r="K6" s="24" t="inlineStr">
        <is>
          <t>Numerical</t>
        </is>
      </c>
      <c r="L6" s="25" t="inlineStr">
        <is>
          <t>✔ Solved</t>
        </is>
      </c>
      <c r="M6" s="6" t="inlineStr">
        <is>
          <t>2015-16 6(a)</t>
        </is>
      </c>
      <c r="N6" s="23" t="b">
        <v>0</v>
      </c>
      <c r="O6" s="24" t="n"/>
      <c r="P6" s="24" t="n"/>
      <c r="Q6" s="6" t="n"/>
    </row>
  </sheetData>
  <autoFilter ref="A3:Q6"/>
  <conditionalFormatting sqref="A4:Q6">
    <cfRule type="expression" priority="1" dxfId="0">
      <formula>$N4=TRUE</formula>
    </cfRule>
  </conditionalFormatting>
  <conditionalFormatting sqref="O4:O6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6" showDropDown="0" showInputMessage="0" showErrorMessage="0" allowBlank="1" type="list">
      <formula1>"TRUE,FALSE"</formula1>
    </dataValidation>
    <dataValidation sqref="O4:O6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Deck 3 — Range, QD, MD, SD, CV</t>
        </is>
      </c>
    </row>
    <row r="2">
      <c r="A2" s="2" t="inlineStr">
        <is>
          <t>Note file: MATH243_Stat_Dispersion_Notes.docx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5(c)</t>
        </is>
      </c>
      <c r="E4" s="20" t="inlineStr">
        <is>
          <t>Mean 60, SD 20 of 200 items; 3 and 67 taken instead of 13 and 17: corrected mean, SD, CV</t>
        </is>
      </c>
      <c r="F4" s="20" t="inlineStr">
        <is>
          <t>SD, CV, consistency — Dispersion pp. 9–23</t>
        </is>
      </c>
      <c r="G4" s="19" t="inlineStr">
        <is>
          <t>L9</t>
        </is>
      </c>
      <c r="H4" s="19" t="n">
        <v>12</v>
      </c>
      <c r="I4" s="19" t="inlineStr">
        <is>
          <t>22 batch p.3</t>
        </is>
      </c>
      <c r="J4" s="21" t="inlineStr">
        <is>
          <t>★★★ High</t>
        </is>
      </c>
      <c r="K4" s="19" t="inlineStr">
        <is>
          <t>Numerical</t>
        </is>
      </c>
      <c r="L4" s="25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2022-23</t>
        </is>
      </c>
      <c r="C5" s="19" t="inlineStr">
        <is>
          <t>MATH 243</t>
        </is>
      </c>
      <c r="D5" s="19" t="inlineStr">
        <is>
          <t>5(c)</t>
        </is>
      </c>
      <c r="E5" s="20" t="inlineStr">
        <is>
          <t>Bulb lives, companies A and B (grouped): which company's bulbs to prefer</t>
        </is>
      </c>
      <c r="F5" s="20" t="inlineStr">
        <is>
          <t>SD, CV, consistency — Dispersion pp. 9–23</t>
        </is>
      </c>
      <c r="G5" s="19" t="inlineStr">
        <is>
          <t>L9</t>
        </is>
      </c>
      <c r="H5" s="19" t="n">
        <v>10</v>
      </c>
      <c r="I5" s="19" t="n">
        <v>49</v>
      </c>
      <c r="J5" s="21" t="inlineStr">
        <is>
          <t>★★★ High</t>
        </is>
      </c>
      <c r="K5" s="19" t="inlineStr">
        <is>
          <t>Numerical</t>
        </is>
      </c>
      <c r="L5" s="25" t="inlineStr">
        <is>
          <t>✔ Solved</t>
        </is>
      </c>
      <c r="M5" s="20" t="inlineStr">
        <is>
          <t>2020-21 5(a); 2019-20 5(a); 2018-19 5(a); 2015-16 6(b); 2013-14 6(a); 2011-12 6(b)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2020-21</t>
        </is>
      </c>
      <c r="C6" s="19" t="inlineStr">
        <is>
          <t>MATH 245</t>
        </is>
      </c>
      <c r="D6" s="19" t="inlineStr">
        <is>
          <t>5(a)</t>
        </is>
      </c>
      <c r="E6" s="20" t="inlineStr">
        <is>
          <t>Daily wages of factories A and B (grouped): higher average wage; greater variability</t>
        </is>
      </c>
      <c r="F6" s="20" t="inlineStr">
        <is>
          <t>SD, CV, consistency — Dispersion pp. 9–23</t>
        </is>
      </c>
      <c r="G6" s="19" t="inlineStr">
        <is>
          <t>L9</t>
        </is>
      </c>
      <c r="H6" s="19" t="n">
        <v>10</v>
      </c>
      <c r="I6" s="19" t="n">
        <v>37</v>
      </c>
      <c r="J6" s="21" t="inlineStr">
        <is>
          <t>★★★ High</t>
        </is>
      </c>
      <c r="K6" s="19" t="inlineStr">
        <is>
          <t>Numerical</t>
        </is>
      </c>
      <c r="L6" s="25" t="inlineStr">
        <is>
          <t>✔ Solved</t>
        </is>
      </c>
      <c r="M6" s="20" t="inlineStr">
        <is>
          <t>2022-23 5(c); 2019-20 5(a); 2018-19 5(a); 2015-16 6(b); 2013-14 6(a); 2011-12 6(b)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2019-20</t>
        </is>
      </c>
      <c r="C7" s="19" t="inlineStr">
        <is>
          <t>MATH 245</t>
        </is>
      </c>
      <c r="D7" s="19" t="inlineStr">
        <is>
          <t>5(a)</t>
        </is>
      </c>
      <c r="E7" s="20" t="inlineStr">
        <is>
          <t>Coefficient of variation, profits 20-30…90-100 (f 4, 8, 18, 30, 15, 10, 8, 7)</t>
        </is>
      </c>
      <c r="F7" s="20" t="inlineStr">
        <is>
          <t>SD, CV, consistency — Dispersion pp. 9–23</t>
        </is>
      </c>
      <c r="G7" s="19" t="inlineStr">
        <is>
          <t>L9</t>
        </is>
      </c>
      <c r="H7" s="19" t="n">
        <v>10</v>
      </c>
      <c r="I7" s="19" t="n">
        <v>34</v>
      </c>
      <c r="J7" s="21" t="inlineStr">
        <is>
          <t>★★★ High</t>
        </is>
      </c>
      <c r="K7" s="19" t="inlineStr">
        <is>
          <t>Numerical</t>
        </is>
      </c>
      <c r="L7" s="25" t="inlineStr">
        <is>
          <t>✔ Solved</t>
        </is>
      </c>
      <c r="M7" s="20" t="inlineStr">
        <is>
          <t>2022-23 5(c); 2020-21 5(a); 2018-19 5(a); 2015-16 6(b); 2013-14 6(a); 2011-12 6(b)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2018-19</t>
        </is>
      </c>
      <c r="C8" s="19" t="inlineStr">
        <is>
          <t>MATH 245</t>
        </is>
      </c>
      <c r="D8" s="19" t="inlineStr">
        <is>
          <t>5(a)</t>
        </is>
      </c>
      <c r="E8" s="20" t="inlineStr">
        <is>
          <t>Shares A, B, C (average price, SD, current price): which is more stable; which to dispose of</t>
        </is>
      </c>
      <c r="F8" s="20" t="inlineStr">
        <is>
          <t>SD, CV, consistency — Dispersion pp. 9–23</t>
        </is>
      </c>
      <c r="G8" s="19" t="inlineStr">
        <is>
          <t>L9</t>
        </is>
      </c>
      <c r="H8" s="19" t="n">
        <v>15</v>
      </c>
      <c r="I8" s="19" t="n">
        <v>24</v>
      </c>
      <c r="J8" s="26" t="inlineStr">
        <is>
          <t>★★ Medium</t>
        </is>
      </c>
      <c r="K8" s="19" t="inlineStr">
        <is>
          <t>Numerical</t>
        </is>
      </c>
      <c r="L8" s="25" t="inlineStr">
        <is>
          <t>✔ Solved</t>
        </is>
      </c>
      <c r="M8" s="20" t="inlineStr">
        <is>
          <t>2022-23 5(c); 2020-21 5(a); 2019-20 5(a); 2015-16 6(b); 2013-14 6(a); 2011-12 6(b)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2015-16</t>
        </is>
      </c>
      <c r="C9" s="19" t="inlineStr">
        <is>
          <t>MATH 241</t>
        </is>
      </c>
      <c r="D9" s="19" t="inlineStr">
        <is>
          <t>6(b)</t>
        </is>
      </c>
      <c r="E9" s="20" t="inlineStr">
        <is>
          <t>Marks of students X and Y in 10 weeks: who is the better scorer, who is more consistent</t>
        </is>
      </c>
      <c r="F9" s="20" t="inlineStr">
        <is>
          <t>SD, CV, consistency — Dispersion pp. 9–23</t>
        </is>
      </c>
      <c r="G9" s="19" t="inlineStr">
        <is>
          <t>L9</t>
        </is>
      </c>
      <c r="H9" s="19" t="n">
        <v>17</v>
      </c>
      <c r="I9" s="19" t="n">
        <v>15</v>
      </c>
      <c r="J9" s="26" t="inlineStr">
        <is>
          <t>★★ Medium</t>
        </is>
      </c>
      <c r="K9" s="19" t="inlineStr">
        <is>
          <t>Numerical</t>
        </is>
      </c>
      <c r="L9" s="25" t="inlineStr">
        <is>
          <t>✔ Solved</t>
        </is>
      </c>
      <c r="M9" s="20" t="inlineStr">
        <is>
          <t>2022-23 5(c); 2020-21 5(a); 2019-20 5(a); 2018-19 5(a); 2013-14 6(a); 2011-12 6(b)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2013-14</t>
        </is>
      </c>
      <c r="C10" s="19" t="inlineStr">
        <is>
          <t>MATH 241</t>
        </is>
      </c>
      <c r="D10" s="19" t="inlineStr">
        <is>
          <t>6(a)</t>
        </is>
      </c>
      <c r="E10" s="20" t="inlineStr">
        <is>
          <t>Lives of refrigerator models A and B (grouped): which model has greater uniformity</t>
        </is>
      </c>
      <c r="F10" s="20" t="inlineStr">
        <is>
          <t>SD, CV, consistency — Dispersion pp. 9–23</t>
        </is>
      </c>
      <c r="G10" s="19" t="inlineStr">
        <is>
          <t>L9</t>
        </is>
      </c>
      <c r="H10" s="19" t="n">
        <v>15</v>
      </c>
      <c r="I10" s="19" t="n">
        <v>7</v>
      </c>
      <c r="J10" s="26" t="inlineStr">
        <is>
          <t>★★ Medium</t>
        </is>
      </c>
      <c r="K10" s="19" t="inlineStr">
        <is>
          <t>Numerical</t>
        </is>
      </c>
      <c r="L10" s="25" t="inlineStr">
        <is>
          <t>✔ Solved</t>
        </is>
      </c>
      <c r="M10" s="20" t="inlineStr">
        <is>
          <t>2022-23 5(c); 2020-21 5(a); 2019-20 5(a); 2018-19 5(a); 2015-16 6(b); 2011-12 6(b)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2011-12</t>
        </is>
      </c>
      <c r="C11" s="19" t="inlineStr">
        <is>
          <t>MATH 241</t>
        </is>
      </c>
      <c r="D11" s="19" t="inlineStr">
        <is>
          <t>6(b)</t>
        </is>
      </c>
      <c r="E11" s="20" t="inlineStr">
        <is>
          <t>Time study, samples A and B of 7 workers: which is more variable, which takes less time on average</t>
        </is>
      </c>
      <c r="F11" s="20" t="inlineStr">
        <is>
          <t>SD, CV, consistency — Dispersion pp. 9–23</t>
        </is>
      </c>
      <c r="G11" s="19" t="inlineStr">
        <is>
          <t>L9</t>
        </is>
      </c>
      <c r="H11" s="19" t="n">
        <v>15</v>
      </c>
      <c r="I11" s="19" t="n">
        <v>2</v>
      </c>
      <c r="J11" s="26" t="inlineStr">
        <is>
          <t>★★ Medium</t>
        </is>
      </c>
      <c r="K11" s="19" t="inlineStr">
        <is>
          <t>Numerical</t>
        </is>
      </c>
      <c r="L11" s="25" t="inlineStr">
        <is>
          <t>✔ Solved</t>
        </is>
      </c>
      <c r="M11" s="20" t="inlineStr">
        <is>
          <t>2022-23 5(c); 2020-21 5(a); 2019-20 5(a); 2018-19 5(a); 2015-16 6(b); 2013-14 6(a)</t>
        </is>
      </c>
      <c r="N11" s="23" t="b">
        <v>0</v>
      </c>
      <c r="O11" s="19" t="n"/>
      <c r="P11" s="19" t="n"/>
      <c r="Q11" s="20" t="n"/>
    </row>
  </sheetData>
  <autoFilter ref="A3:Q11"/>
  <conditionalFormatting sqref="A4:Q11">
    <cfRule type="expression" priority="1" dxfId="0">
      <formula>$N4=TRUE</formula>
    </cfRule>
  </conditionalFormatting>
  <conditionalFormatting sqref="O4:O11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1" showDropDown="0" showInputMessage="0" showErrorMessage="0" allowBlank="1" type="list">
      <formula1>"TRUE,FALSE"</formula1>
    </dataValidation>
    <dataValidation sqref="O4:O11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Deck 4 — Skewness, Moments and Kurtosis</t>
        </is>
      </c>
    </row>
    <row r="2">
      <c r="A2" s="2" t="inlineStr">
        <is>
          <t>Note file: MATH243_Stat_Skewness_Moments_Kurtosis_Notes.docx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2020-21</t>
        </is>
      </c>
      <c r="C4" s="19" t="inlineStr">
        <is>
          <t>MATH 245</t>
        </is>
      </c>
      <c r="D4" s="19" t="inlineStr">
        <is>
          <t>5(b)</t>
        </is>
      </c>
      <c r="E4" s="20" t="inlineStr">
        <is>
          <t>Weights 30-40…80-90 (f 18, 37, 45, 27, 15, 8): Bowley's and Kelly's skewness; merits and drawbacks</t>
        </is>
      </c>
      <c r="F4" s="20" t="inlineStr">
        <is>
          <t>Pearson/Bowley/Kelly skewness — Skewness pp. 1–7</t>
        </is>
      </c>
      <c r="G4" s="19" t="inlineStr">
        <is>
          <t>L10</t>
        </is>
      </c>
      <c r="H4" s="19" t="n">
        <v>15</v>
      </c>
      <c r="I4" s="19" t="n">
        <v>37</v>
      </c>
      <c r="J4" s="21" t="inlineStr">
        <is>
          <t>★★★ High</t>
        </is>
      </c>
      <c r="K4" s="19" t="inlineStr">
        <is>
          <t>Numerical</t>
        </is>
      </c>
      <c r="L4" s="25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2012-13</t>
        </is>
      </c>
      <c r="C5" s="19" t="inlineStr">
        <is>
          <t>MATH 241</t>
        </is>
      </c>
      <c r="D5" s="19" t="inlineStr">
        <is>
          <t>6(a)</t>
        </is>
      </c>
      <c r="E5" s="20" t="inlineStr">
        <is>
          <t>Runs of players A and B in 10 matches: Pearson's skewness, kurtosis and Bowley's skewness for B; who is more consistent</t>
        </is>
      </c>
      <c r="F5" s="20" t="inlineStr">
        <is>
          <t>Pearson/Bowley/Kelly skewness — Skewness pp. 1–7</t>
        </is>
      </c>
      <c r="G5" s="19" t="inlineStr">
        <is>
          <t>L10</t>
        </is>
      </c>
      <c r="H5" s="19" t="n">
        <v>15</v>
      </c>
      <c r="I5" s="19" t="n">
        <v>5</v>
      </c>
      <c r="J5" s="25" t="inlineStr">
        <is>
          <t>★ Low</t>
        </is>
      </c>
      <c r="K5" s="19" t="inlineStr">
        <is>
          <t>Numerical</t>
        </is>
      </c>
      <c r="L5" s="25" t="inlineStr">
        <is>
          <t>✔ Solved</t>
        </is>
      </c>
      <c r="M5" s="20" t="inlineStr">
        <is>
          <t>—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2023-24</t>
        </is>
      </c>
      <c r="C6" s="24" t="inlineStr">
        <is>
          <t>MATH 243</t>
        </is>
      </c>
      <c r="D6" s="24" t="inlineStr">
        <is>
          <t>6(a)</t>
        </is>
      </c>
      <c r="E6" s="6" t="inlineStr">
        <is>
          <t>Marks 0-10…60-70 (f 8, 12, 20, 30, 15, 10, 5): four central moments, β1, β2; comment</t>
        </is>
      </c>
      <c r="F6" s="6" t="inlineStr">
        <is>
          <t>Moments, β1, β2, kurtosis — Skewness pp. 8–15</t>
        </is>
      </c>
      <c r="G6" s="24" t="inlineStr">
        <is>
          <t>L11</t>
        </is>
      </c>
      <c r="H6" s="24" t="n">
        <v>13</v>
      </c>
      <c r="I6" s="24" t="inlineStr">
        <is>
          <t>22 batch p.3</t>
        </is>
      </c>
      <c r="J6" s="21" t="inlineStr">
        <is>
          <t>★★★ High</t>
        </is>
      </c>
      <c r="K6" s="24" t="inlineStr">
        <is>
          <t>Numerical</t>
        </is>
      </c>
      <c r="L6" s="25" t="inlineStr">
        <is>
          <t>✔ Solved</t>
        </is>
      </c>
      <c r="M6" s="6" t="inlineStr">
        <is>
          <t>2022-23 6(c); 2019-20 5(b); 2018-19 5(b); 2016-17 6(a); 2015-16 7(a); 2014-15 6(b); 2013-14 6(b); 2011-12 6(a)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2022-23</t>
        </is>
      </c>
      <c r="C7" s="24" t="inlineStr">
        <is>
          <t>MATH 243</t>
        </is>
      </c>
      <c r="D7" s="24" t="inlineStr">
        <is>
          <t>6(a)</t>
        </is>
      </c>
      <c r="E7" s="6" t="inlineStr">
        <is>
          <t>Define and illustrate SD, variance, skewness, kurtosis, moments</t>
        </is>
      </c>
      <c r="F7" s="6" t="inlineStr">
        <is>
          <t>Moments, β1, β2, kurtosis — Skewness pp. 8–15</t>
        </is>
      </c>
      <c r="G7" s="24" t="inlineStr">
        <is>
          <t>L11</t>
        </is>
      </c>
      <c r="H7" s="24" t="n">
        <v>10</v>
      </c>
      <c r="I7" s="24" t="n">
        <v>50</v>
      </c>
      <c r="J7" s="21" t="inlineStr">
        <is>
          <t>★★★ High</t>
        </is>
      </c>
      <c r="K7" s="24" t="inlineStr">
        <is>
          <t>Theory</t>
        </is>
      </c>
      <c r="L7" s="22" t="inlineStr">
        <is>
          <t>◐ Method</t>
        </is>
      </c>
      <c r="M7" s="6" t="inlineStr">
        <is>
          <t>—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2022-23</t>
        </is>
      </c>
      <c r="C8" s="24" t="inlineStr">
        <is>
          <t>MATH 243</t>
        </is>
      </c>
      <c r="D8" s="24" t="inlineStr">
        <is>
          <t>6(c)</t>
        </is>
      </c>
      <c r="E8" s="6" t="inlineStr">
        <is>
          <t>Profits 10-20…50-60 (f 18, 20, 30, 22, 10): four moments about assumed mean → about mean; γ1, γ2</t>
        </is>
      </c>
      <c r="F8" s="6" t="inlineStr">
        <is>
          <t>Moments, β1, β2, kurtosis — Skewness pp. 8–15</t>
        </is>
      </c>
      <c r="G8" s="24" t="inlineStr">
        <is>
          <t>L11</t>
        </is>
      </c>
      <c r="H8" s="24" t="n">
        <v>15</v>
      </c>
      <c r="I8" s="24" t="n">
        <v>50</v>
      </c>
      <c r="J8" s="21" t="inlineStr">
        <is>
          <t>★★★ High</t>
        </is>
      </c>
      <c r="K8" s="24" t="inlineStr">
        <is>
          <t>Numerical</t>
        </is>
      </c>
      <c r="L8" s="25" t="inlineStr">
        <is>
          <t>✔ Solved</t>
        </is>
      </c>
      <c r="M8" s="6" t="inlineStr">
        <is>
          <t>2023-24 6(a); 2019-20 5(b); 2018-19 5(b); 2016-17 6(a); 2015-16 7(a); 2014-15 6(b); 2013-14 6(b); 2011-12 6(a)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2019-20</t>
        </is>
      </c>
      <c r="C9" s="24" t="inlineStr">
        <is>
          <t>MATH 245</t>
        </is>
      </c>
      <c r="D9" s="24" t="inlineStr">
        <is>
          <t>5(b)</t>
        </is>
      </c>
      <c r="E9" s="6" t="inlineStr">
        <is>
          <t>Earnings 50-70…170-190 (f 4, 8, 12, 20, 6, 7, 3): four moments about assumed mean → about mean; γ1, γ2</t>
        </is>
      </c>
      <c r="F9" s="6" t="inlineStr">
        <is>
          <t>Moments, β1, β2, kurtosis — Skewness pp. 8–15</t>
        </is>
      </c>
      <c r="G9" s="24" t="inlineStr">
        <is>
          <t>L11</t>
        </is>
      </c>
      <c r="H9" s="24" t="n">
        <v>25</v>
      </c>
      <c r="I9" s="24" t="n">
        <v>34</v>
      </c>
      <c r="J9" s="21" t="inlineStr">
        <is>
          <t>★★★ High</t>
        </is>
      </c>
      <c r="K9" s="24" t="inlineStr">
        <is>
          <t>Numerical</t>
        </is>
      </c>
      <c r="L9" s="25" t="inlineStr">
        <is>
          <t>✔ Solved</t>
        </is>
      </c>
      <c r="M9" s="6" t="inlineStr">
        <is>
          <t>2023-24 6(a); 2022-23 6(c); 2018-19 5(b); 2016-17 6(a); 2015-16 7(a); 2014-15 6(b); 2013-14 6(b); 2011-12 6(a)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2018-19</t>
        </is>
      </c>
      <c r="C10" s="24" t="inlineStr">
        <is>
          <t>MATH 245</t>
        </is>
      </c>
      <c r="D10" s="24" t="inlineStr">
        <is>
          <t>5(b)</t>
        </is>
      </c>
      <c r="E10" s="6" t="inlineStr">
        <is>
          <t>What are skewness and kurtosis? γ1 and γ2, classes 10-20…50-60 (f 18, 20, 30, 22, 10)</t>
        </is>
      </c>
      <c r="F10" s="6" t="inlineStr">
        <is>
          <t>Moments, β1, β2, kurtosis — Skewness pp. 8–15</t>
        </is>
      </c>
      <c r="G10" s="24" t="inlineStr">
        <is>
          <t>L11</t>
        </is>
      </c>
      <c r="H10" s="24" t="n">
        <v>20</v>
      </c>
      <c r="I10" s="24" t="n">
        <v>24</v>
      </c>
      <c r="J10" s="26" t="inlineStr">
        <is>
          <t>★★ Medium</t>
        </is>
      </c>
      <c r="K10" s="24" t="inlineStr">
        <is>
          <t>Numerical</t>
        </is>
      </c>
      <c r="L10" s="25" t="inlineStr">
        <is>
          <t>✔ Solved</t>
        </is>
      </c>
      <c r="M10" s="6" t="inlineStr">
        <is>
          <t>2023-24 6(a); 2022-23 6(c); 2019-20 5(b); 2016-17 6(a); 2015-16 7(a); 2014-15 6(b); 2013-14 6(b); 2011-12 6(a)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2016-17</t>
        </is>
      </c>
      <c r="C11" s="24" t="inlineStr">
        <is>
          <t>MATH 245</t>
        </is>
      </c>
      <c r="D11" s="24" t="inlineStr">
        <is>
          <t>6(a)</t>
        </is>
      </c>
      <c r="E11" s="6" t="inlineStr">
        <is>
          <t>Define skewness and kurtosis; coefficients by moments, profits 10-20…50-60 (f 18, 20, 30, 22, 10)</t>
        </is>
      </c>
      <c r="F11" s="6" t="inlineStr">
        <is>
          <t>Moments, β1, β2, kurtosis — Skewness pp. 8–15</t>
        </is>
      </c>
      <c r="G11" s="24" t="inlineStr">
        <is>
          <t>L11</t>
        </is>
      </c>
      <c r="H11" s="24" t="n">
        <v>17</v>
      </c>
      <c r="I11" s="24" t="n">
        <v>20</v>
      </c>
      <c r="J11" s="26" t="inlineStr">
        <is>
          <t>★★ Medium</t>
        </is>
      </c>
      <c r="K11" s="24" t="inlineStr">
        <is>
          <t>Numerical</t>
        </is>
      </c>
      <c r="L11" s="25" t="inlineStr">
        <is>
          <t>✔ Solved</t>
        </is>
      </c>
      <c r="M11" s="6" t="inlineStr">
        <is>
          <t>2023-24 6(a); 2022-23 6(c); 2019-20 5(b); 2018-19 5(b); 2015-16 7(a); 2014-15 6(b); 2013-14 6(b); 2011-12 6(a)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2015-16</t>
        </is>
      </c>
      <c r="C12" s="24" t="inlineStr">
        <is>
          <t>MATH 241</t>
        </is>
      </c>
      <c r="D12" s="24" t="inlineStr">
        <is>
          <t>7(a)</t>
        </is>
      </c>
      <c r="E12" s="6" t="inlineStr">
        <is>
          <t>Coefficients of skewness and kurtosis, classes 10-20…50-60 (f 174, 86, 32, 181, 27); comment</t>
        </is>
      </c>
      <c r="F12" s="6" t="inlineStr">
        <is>
          <t>Moments, β1, β2, kurtosis — Skewness pp. 8–15</t>
        </is>
      </c>
      <c r="G12" s="24" t="inlineStr">
        <is>
          <t>L11</t>
        </is>
      </c>
      <c r="H12" s="24" t="n">
        <v>18</v>
      </c>
      <c r="I12" s="24" t="n">
        <v>15</v>
      </c>
      <c r="J12" s="26" t="inlineStr">
        <is>
          <t>★★ Medium</t>
        </is>
      </c>
      <c r="K12" s="24" t="inlineStr">
        <is>
          <t>Numerical</t>
        </is>
      </c>
      <c r="L12" s="25" t="inlineStr">
        <is>
          <t>✔ Solved</t>
        </is>
      </c>
      <c r="M12" s="6" t="inlineStr">
        <is>
          <t>2023-24 6(a); 2022-23 6(c); 2019-20 5(b); 2018-19 5(b); 2016-17 6(a); 2014-15 6(b); 2013-14 6(b); 2011-12 6(a)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2014-15</t>
        </is>
      </c>
      <c r="C13" s="24" t="inlineStr">
        <is>
          <t>MATH 241</t>
        </is>
      </c>
      <c r="D13" s="24" t="inlineStr">
        <is>
          <t>6(b)</t>
        </is>
      </c>
      <c r="E13" s="6" t="inlineStr">
        <is>
          <t>Karl Pearson's skewness and β1, β2, classes 10-20…50-60 (f 18, 20, 30, 22, 10)</t>
        </is>
      </c>
      <c r="F13" s="6" t="inlineStr">
        <is>
          <t>Moments, β1, β2, kurtosis — Skewness pp. 8–15</t>
        </is>
      </c>
      <c r="G13" s="24" t="inlineStr">
        <is>
          <t>L11</t>
        </is>
      </c>
      <c r="H13" s="24" t="n">
        <v>18</v>
      </c>
      <c r="I13" s="24" t="n">
        <v>10</v>
      </c>
      <c r="J13" s="26" t="inlineStr">
        <is>
          <t>★★ Medium</t>
        </is>
      </c>
      <c r="K13" s="24" t="inlineStr">
        <is>
          <t>Numerical</t>
        </is>
      </c>
      <c r="L13" s="25" t="inlineStr">
        <is>
          <t>✔ Solved</t>
        </is>
      </c>
      <c r="M13" s="6" t="inlineStr">
        <is>
          <t>2023-24 6(a); 2022-23 6(c); 2019-20 5(b); 2018-19 5(b); 2016-17 6(a); 2015-16 7(a); 2013-14 6(b); 2011-12 6(a)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2013-14</t>
        </is>
      </c>
      <c r="C14" s="24" t="inlineStr">
        <is>
          <t>MATH 241</t>
        </is>
      </c>
      <c r="D14" s="24" t="inlineStr">
        <is>
          <t>6(b)</t>
        </is>
      </c>
      <c r="E14" s="6" t="inlineStr">
        <is>
          <t>Coefficients of skewness and kurtosis, classes 10-20…50-60 (f 174, 86, 32, 181, 27); comment</t>
        </is>
      </c>
      <c r="F14" s="6" t="inlineStr">
        <is>
          <t>Moments, β1, β2, kurtosis — Skewness pp. 8–15</t>
        </is>
      </c>
      <c r="G14" s="24" t="inlineStr">
        <is>
          <t>L11</t>
        </is>
      </c>
      <c r="H14" s="24" t="n">
        <v>20</v>
      </c>
      <c r="I14" s="24" t="n">
        <v>7</v>
      </c>
      <c r="J14" s="26" t="inlineStr">
        <is>
          <t>★★ Medium</t>
        </is>
      </c>
      <c r="K14" s="24" t="inlineStr">
        <is>
          <t>Numerical</t>
        </is>
      </c>
      <c r="L14" s="25" t="inlineStr">
        <is>
          <t>✔ Solved</t>
        </is>
      </c>
      <c r="M14" s="6" t="inlineStr">
        <is>
          <t>2023-24 6(a); 2022-23 6(c); 2019-20 5(b); 2018-19 5(b); 2016-17 6(a); 2015-16 7(a); 2014-15 6(b); 2011-12 6(a)</t>
        </is>
      </c>
      <c r="N14" s="23" t="b">
        <v>0</v>
      </c>
      <c r="O14" s="24" t="n"/>
      <c r="P14" s="24" t="n"/>
      <c r="Q14" s="6" t="n"/>
    </row>
    <row r="15">
      <c r="A15" s="24" t="n">
        <v>12</v>
      </c>
      <c r="B15" s="24" t="inlineStr">
        <is>
          <t>2011-12</t>
        </is>
      </c>
      <c r="C15" s="24" t="inlineStr">
        <is>
          <t>MATH 241</t>
        </is>
      </c>
      <c r="D15" s="24" t="inlineStr">
        <is>
          <t>6(a)</t>
        </is>
      </c>
      <c r="E15" s="6" t="inlineStr">
        <is>
          <t>Pearson's first coefficient of skewness and kurtosis, ages 21-26…51-56 (f 83, 75, 176, 130, 92, 54); comment</t>
        </is>
      </c>
      <c r="F15" s="6" t="inlineStr">
        <is>
          <t>Moments, β1, β2, kurtosis — Skewness pp. 8–15</t>
        </is>
      </c>
      <c r="G15" s="24" t="inlineStr">
        <is>
          <t>L11</t>
        </is>
      </c>
      <c r="H15" s="24" t="n">
        <v>20</v>
      </c>
      <c r="I15" s="24" t="n">
        <v>2</v>
      </c>
      <c r="J15" s="26" t="inlineStr">
        <is>
          <t>★★ Medium</t>
        </is>
      </c>
      <c r="K15" s="24" t="inlineStr">
        <is>
          <t>Numerical</t>
        </is>
      </c>
      <c r="L15" s="25" t="inlineStr">
        <is>
          <t>✔ Solved</t>
        </is>
      </c>
      <c r="M15" s="6" t="inlineStr">
        <is>
          <t>2023-24 6(a); 2022-23 6(c); 2019-20 5(b); 2018-19 5(b); 2016-17 6(a); 2015-16 7(a); 2014-15 6(b); 2013-14 6(b)</t>
        </is>
      </c>
      <c r="N15" s="23" t="b">
        <v>0</v>
      </c>
      <c r="O15" s="24" t="n"/>
      <c r="P15" s="24" t="n"/>
      <c r="Q15" s="6" t="n"/>
    </row>
  </sheetData>
  <autoFilter ref="A3:Q15"/>
  <conditionalFormatting sqref="A4:Q15">
    <cfRule type="expression" priority="1" dxfId="0">
      <formula>$N4=TRUE</formula>
    </cfRule>
  </conditionalFormatting>
  <conditionalFormatting sqref="O4:O15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5" showDropDown="0" showInputMessage="0" showErrorMessage="0" allowBlank="1" type="list">
      <formula1>"TRUE,FALSE"</formula1>
    </dataValidation>
    <dataValidation sqref="O4:O15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Deck 7 — Correlation and Regression Analysis</t>
        </is>
      </c>
    </row>
    <row r="2">
      <c r="A2" s="2" t="inlineStr">
        <is>
          <t>Note file: MATH243_Stat_Correlation_Regression_Notes.docx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2023-24</t>
        </is>
      </c>
      <c r="C4" s="19" t="inlineStr">
        <is>
          <t>MATH 243</t>
        </is>
      </c>
      <c r="D4" s="19" t="inlineStr">
        <is>
          <t>5(b)</t>
        </is>
      </c>
      <c r="E4" s="20" t="inlineStr">
        <is>
          <t>Scatter plot of price vs rating for 5 restaurants; is there a relationship?</t>
        </is>
      </c>
      <c r="F4" s="20" t="inlineStr">
        <is>
          <t>Correlation, scatter — Correlation pp. 1–5</t>
        </is>
      </c>
      <c r="G4" s="19" t="inlineStr">
        <is>
          <t>L12</t>
        </is>
      </c>
      <c r="H4" s="19" t="n">
        <v>13</v>
      </c>
      <c r="I4" s="19" t="inlineStr">
        <is>
          <t>22 batch p.3</t>
        </is>
      </c>
      <c r="J4" s="21" t="inlineStr">
        <is>
          <t>★★★ High</t>
        </is>
      </c>
      <c r="K4" s="19" t="inlineStr">
        <is>
          <t>Design</t>
        </is>
      </c>
      <c r="L4" s="25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2023-24</t>
        </is>
      </c>
      <c r="C5" s="24" t="inlineStr">
        <is>
          <t>MATH 243</t>
        </is>
      </c>
      <c r="D5" s="24" t="inlineStr">
        <is>
          <t>4(b)</t>
        </is>
      </c>
      <c r="E5" s="6" t="inlineStr">
        <is>
          <t>Pearson's r; rank correlation with repeated ranks — sales and expenses of 10 stores</t>
        </is>
      </c>
      <c r="F5" s="6" t="inlineStr">
        <is>
          <t>Rank correlation — Correlation pp. 5–7</t>
        </is>
      </c>
      <c r="G5" s="24" t="inlineStr">
        <is>
          <t>L13</t>
        </is>
      </c>
      <c r="H5" s="24" t="n">
        <v>12</v>
      </c>
      <c r="I5" s="24" t="inlineStr">
        <is>
          <t>22 batch p.2</t>
        </is>
      </c>
      <c r="J5" s="21" t="inlineStr">
        <is>
          <t>★★★ High</t>
        </is>
      </c>
      <c r="K5" s="24" t="inlineStr">
        <is>
          <t>Numerical</t>
        </is>
      </c>
      <c r="L5" s="25" t="inlineStr">
        <is>
          <t>✔ Solved</t>
        </is>
      </c>
      <c r="M5" s="6" t="inlineStr">
        <is>
          <t>2022-23 4(b)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2022-23</t>
        </is>
      </c>
      <c r="C6" s="24" t="inlineStr">
        <is>
          <t>MATH 243</t>
        </is>
      </c>
      <c r="D6" s="24" t="inlineStr">
        <is>
          <t>4(b)</t>
        </is>
      </c>
      <c r="E6" s="6" t="inlineStr">
        <is>
          <t>Correlation vs regression; rank correlation, Bangla vs English marks of 8 applicants (ties)</t>
        </is>
      </c>
      <c r="F6" s="6" t="inlineStr">
        <is>
          <t>Rank correlation — Correlation pp. 5–7</t>
        </is>
      </c>
      <c r="G6" s="24" t="inlineStr">
        <is>
          <t>L13</t>
        </is>
      </c>
      <c r="H6" s="24" t="n">
        <v>12</v>
      </c>
      <c r="I6" s="24" t="n">
        <v>48</v>
      </c>
      <c r="J6" s="21" t="inlineStr">
        <is>
          <t>★★★ High</t>
        </is>
      </c>
      <c r="K6" s="24" t="inlineStr">
        <is>
          <t>Numerical</t>
        </is>
      </c>
      <c r="L6" s="25" t="inlineStr">
        <is>
          <t>✔ Solved</t>
        </is>
      </c>
      <c r="M6" s="6" t="inlineStr">
        <is>
          <t>2023-24 4(b)</t>
        </is>
      </c>
      <c r="N6" s="23" t="b">
        <v>0</v>
      </c>
      <c r="O6" s="24" t="n"/>
      <c r="P6" s="24" t="n"/>
      <c r="Q6" s="6" t="n"/>
    </row>
    <row r="7">
      <c r="A7" s="19" t="n">
        <v>4</v>
      </c>
      <c r="B7" s="19" t="inlineStr">
        <is>
          <t>2022-23</t>
        </is>
      </c>
      <c r="C7" s="19" t="inlineStr">
        <is>
          <t>MATH 243</t>
        </is>
      </c>
      <c r="D7" s="19" t="inlineStr">
        <is>
          <t>4(c)</t>
        </is>
      </c>
      <c r="E7" s="20" t="inlineStr">
        <is>
          <t>Ages of 10 husbands and wives: two regression equations; husband at wife 30, wife at husband 25; comment on r</t>
        </is>
      </c>
      <c r="F7" s="20" t="inlineStr">
        <is>
          <t>Regression lines — Correlation pp. 8–12</t>
        </is>
      </c>
      <c r="G7" s="19" t="inlineStr">
        <is>
          <t>L14</t>
        </is>
      </c>
      <c r="H7" s="19" t="n">
        <v>13</v>
      </c>
      <c r="I7" s="19" t="n">
        <v>49</v>
      </c>
      <c r="J7" s="21" t="inlineStr">
        <is>
          <t>★★★ High</t>
        </is>
      </c>
      <c r="K7" s="19" t="inlineStr">
        <is>
          <t>Numerical</t>
        </is>
      </c>
      <c r="L7" s="25" t="inlineStr">
        <is>
          <t>✔ Solved</t>
        </is>
      </c>
      <c r="M7" s="20" t="inlineStr">
        <is>
          <t>2021-22 7(a); 2019-20 6(a); 2018-19 6(a); 2015-16 7(b); 2014-15 7(a); 2013-14 7(a); 2012-13 7(a); 2011-12 7(a)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2021-22</t>
        </is>
      </c>
      <c r="C8" s="19" t="inlineStr">
        <is>
          <t>MATH 245</t>
        </is>
      </c>
      <c r="D8" s="19" t="inlineStr">
        <is>
          <t>7(a)</t>
        </is>
      </c>
      <c r="E8" s="20" t="inlineStr">
        <is>
          <t>Loblolly pines (15): specific gravity vs modulus of rupture — both regression coefficients; r and interpretation</t>
        </is>
      </c>
      <c r="F8" s="20" t="inlineStr">
        <is>
          <t>Regression lines — Correlation pp. 8–12</t>
        </is>
      </c>
      <c r="G8" s="19" t="inlineStr">
        <is>
          <t>L14</t>
        </is>
      </c>
      <c r="H8" s="19" t="n">
        <v>20</v>
      </c>
      <c r="I8" s="19" t="inlineStr">
        <is>
          <t>44–45</t>
        </is>
      </c>
      <c r="J8" s="21" t="inlineStr">
        <is>
          <t>★★★ High</t>
        </is>
      </c>
      <c r="K8" s="19" t="inlineStr">
        <is>
          <t>Numerical</t>
        </is>
      </c>
      <c r="L8" s="25" t="inlineStr">
        <is>
          <t>✔ Solved</t>
        </is>
      </c>
      <c r="M8" s="20" t="inlineStr">
        <is>
          <t>2022-23 4(c); 2019-20 6(a); 2018-19 6(a); 2015-16 7(b); 2014-15 7(a); 2013-14 7(a); 2012-13 7(a); 2011-12 7(a)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2019-20</t>
        </is>
      </c>
      <c r="C9" s="19" t="inlineStr">
        <is>
          <t>MATH 245</t>
        </is>
      </c>
      <c r="D9" s="19" t="inlineStr">
        <is>
          <t>6(a)</t>
        </is>
      </c>
      <c r="E9" s="20" t="inlineStr">
        <is>
          <t>Distance to transmitter vs signal strength (10 pairs): regression of Y on X; predict at 10 m</t>
        </is>
      </c>
      <c r="F9" s="20" t="inlineStr">
        <is>
          <t>Regression lines — Correlation pp. 8–12</t>
        </is>
      </c>
      <c r="G9" s="19" t="inlineStr">
        <is>
          <t>L14</t>
        </is>
      </c>
      <c r="H9" s="19" t="n">
        <v>17</v>
      </c>
      <c r="I9" s="19" t="n">
        <v>34</v>
      </c>
      <c r="J9" s="21" t="inlineStr">
        <is>
          <t>★★★ High</t>
        </is>
      </c>
      <c r="K9" s="19" t="inlineStr">
        <is>
          <t>Numerical</t>
        </is>
      </c>
      <c r="L9" s="25" t="inlineStr">
        <is>
          <t>✔ Solved</t>
        </is>
      </c>
      <c r="M9" s="20" t="inlineStr">
        <is>
          <t>2022-23 4(c); 2021-22 7(a); 2018-19 6(a); 2015-16 7(b); 2014-15 7(a); 2013-14 7(a); 2012-13 7(a); 2011-12 7(a)</t>
        </is>
      </c>
      <c r="N9" s="23" t="b">
        <v>0</v>
      </c>
      <c r="O9" s="19" t="n"/>
      <c r="P9" s="19" t="n"/>
      <c r="Q9" s="20" t="n"/>
    </row>
    <row r="10">
      <c r="A10" s="19" t="n">
        <v>7</v>
      </c>
      <c r="B10" s="19" t="inlineStr">
        <is>
          <t>2018-19</t>
        </is>
      </c>
      <c r="C10" s="19" t="inlineStr">
        <is>
          <t>MATH 245</t>
        </is>
      </c>
      <c r="D10" s="19" t="inlineStr">
        <is>
          <t>6(a)</t>
        </is>
      </c>
      <c r="E10" s="20" t="inlineStr">
        <is>
          <t>Regression of capacity utilisation on production from means, SDs and r = 0.62; production when capacity is 70</t>
        </is>
      </c>
      <c r="F10" s="20" t="inlineStr">
        <is>
          <t>Regression lines — Correlation pp. 8–12</t>
        </is>
      </c>
      <c r="G10" s="19" t="inlineStr">
        <is>
          <t>L14</t>
        </is>
      </c>
      <c r="H10" s="19" t="n">
        <v>20</v>
      </c>
      <c r="I10" s="19" t="n">
        <v>24</v>
      </c>
      <c r="J10" s="26" t="inlineStr">
        <is>
          <t>★★ Medium</t>
        </is>
      </c>
      <c r="K10" s="19" t="inlineStr">
        <is>
          <t>Numerical</t>
        </is>
      </c>
      <c r="L10" s="25" t="inlineStr">
        <is>
          <t>✔ Solved</t>
        </is>
      </c>
      <c r="M10" s="20" t="inlineStr">
        <is>
          <t>2022-23 4(c); 2021-22 7(a); 2019-20 6(a); 2015-16 7(b); 2014-15 7(a); 2013-14 7(a); 2012-13 7(a); 2011-12 7(a)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2015-16</t>
        </is>
      </c>
      <c r="C11" s="19" t="inlineStr">
        <is>
          <t>MATH 241</t>
        </is>
      </c>
      <c r="D11" s="19" t="inlineStr">
        <is>
          <t>7(b)</t>
        </is>
      </c>
      <c r="E11" s="20" t="inlineStr">
        <is>
          <t>Years of service vs income (9 persons): regression equations, r; starting income for 15 years' service</t>
        </is>
      </c>
      <c r="F11" s="20" t="inlineStr">
        <is>
          <t>Regression lines — Correlation pp. 8–12</t>
        </is>
      </c>
      <c r="G11" s="19" t="inlineStr">
        <is>
          <t>L14</t>
        </is>
      </c>
      <c r="H11" s="19" t="n">
        <v>17</v>
      </c>
      <c r="I11" s="19" t="n">
        <v>16</v>
      </c>
      <c r="J11" s="26" t="inlineStr">
        <is>
          <t>★★ Medium</t>
        </is>
      </c>
      <c r="K11" s="19" t="inlineStr">
        <is>
          <t>Numerical</t>
        </is>
      </c>
      <c r="L11" s="25" t="inlineStr">
        <is>
          <t>✔ Solved</t>
        </is>
      </c>
      <c r="M11" s="20" t="inlineStr">
        <is>
          <t>2022-23 4(c); 2021-22 7(a); 2019-20 6(a); 2018-19 6(a); 2014-15 7(a); 2013-14 7(a); 2012-13 7(a); 2011-12 7(a)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2014-15</t>
        </is>
      </c>
      <c r="C12" s="19" t="inlineStr">
        <is>
          <t>MATH 241</t>
        </is>
      </c>
      <c r="D12" s="19" t="inlineStr">
        <is>
          <t>7(a)</t>
        </is>
      </c>
      <c r="E12" s="20" t="inlineStr">
        <is>
          <t>Regression lines Y on X and X on Y and r (7 pairs, X 42…66, Y 56…51)</t>
        </is>
      </c>
      <c r="F12" s="20" t="inlineStr">
        <is>
          <t>Regression lines — Correlation pp. 8–12</t>
        </is>
      </c>
      <c r="G12" s="19" t="inlineStr">
        <is>
          <t>L14</t>
        </is>
      </c>
      <c r="H12" s="19" t="n">
        <v>20</v>
      </c>
      <c r="I12" s="19" t="n">
        <v>11</v>
      </c>
      <c r="J12" s="26" t="inlineStr">
        <is>
          <t>★★ Medium</t>
        </is>
      </c>
      <c r="K12" s="19" t="inlineStr">
        <is>
          <t>Numerical</t>
        </is>
      </c>
      <c r="L12" s="25" t="inlineStr">
        <is>
          <t>✔ Solved</t>
        </is>
      </c>
      <c r="M12" s="20" t="inlineStr">
        <is>
          <t>2022-23 4(c); 2021-22 7(a); 2019-20 6(a); 2018-19 6(a); 2015-16 7(b); 2013-14 7(a); 2012-13 7(a); 2011-12 7(a)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2013-14</t>
        </is>
      </c>
      <c r="C13" s="19" t="inlineStr">
        <is>
          <t>MATH 241</t>
        </is>
      </c>
      <c r="D13" s="19" t="inlineStr">
        <is>
          <t>7(a)</t>
        </is>
      </c>
      <c r="E13" s="20" t="inlineStr">
        <is>
          <t>Ages of husbands and wives (8 couples): two regression equations, r; husband's age when wife is 24</t>
        </is>
      </c>
      <c r="F13" s="20" t="inlineStr">
        <is>
          <t>Regression lines — Correlation pp. 8–12</t>
        </is>
      </c>
      <c r="G13" s="19" t="inlineStr">
        <is>
          <t>L14</t>
        </is>
      </c>
      <c r="H13" s="19" t="n">
        <v>20</v>
      </c>
      <c r="I13" s="19" t="n">
        <v>8</v>
      </c>
      <c r="J13" s="26" t="inlineStr">
        <is>
          <t>★★ Medium</t>
        </is>
      </c>
      <c r="K13" s="19" t="inlineStr">
        <is>
          <t>Numerical</t>
        </is>
      </c>
      <c r="L13" s="25" t="inlineStr">
        <is>
          <t>✔ Solved</t>
        </is>
      </c>
      <c r="M13" s="20" t="inlineStr">
        <is>
          <t>2022-23 4(c); 2021-22 7(a); 2019-20 6(a); 2018-19 6(a); 2015-16 7(b); 2014-15 7(a); 2012-13 7(a); 2011-12 7(a)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2012-13</t>
        </is>
      </c>
      <c r="C14" s="19" t="inlineStr">
        <is>
          <t>MATH 241</t>
        </is>
      </c>
      <c r="D14" s="19" t="inlineStr">
        <is>
          <t>7(a)</t>
        </is>
      </c>
      <c r="E14" s="20" t="inlineStr">
        <is>
          <t>Economics vs Business marks (10 students): two regression equations and coefficients; estimates; comment on r</t>
        </is>
      </c>
      <c r="F14" s="20" t="inlineStr">
        <is>
          <t>Regression lines — Correlation pp. 8–12</t>
        </is>
      </c>
      <c r="G14" s="19" t="inlineStr">
        <is>
          <t>L14</t>
        </is>
      </c>
      <c r="H14" s="19" t="n">
        <v>18</v>
      </c>
      <c r="I14" s="19" t="n">
        <v>5</v>
      </c>
      <c r="J14" s="26" t="inlineStr">
        <is>
          <t>★★ Medium</t>
        </is>
      </c>
      <c r="K14" s="19" t="inlineStr">
        <is>
          <t>Numerical</t>
        </is>
      </c>
      <c r="L14" s="25" t="inlineStr">
        <is>
          <t>✔ Solved</t>
        </is>
      </c>
      <c r="M14" s="20" t="inlineStr">
        <is>
          <t>2022-23 4(c); 2021-22 7(a); 2019-20 6(a); 2018-19 6(a); 2015-16 7(b); 2014-15 7(a); 2013-14 7(a); 2011-12 7(a)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2011-12</t>
        </is>
      </c>
      <c r="C15" s="19" t="inlineStr">
        <is>
          <t>MATH 241</t>
        </is>
      </c>
      <c r="D15" s="19" t="inlineStr">
        <is>
          <t>7(a)</t>
        </is>
      </c>
      <c r="E15" s="20" t="inlineStr">
        <is>
          <t>Two regression lines and r from 9 (X, Y) pairs (X 105…111, Y 58…55)</t>
        </is>
      </c>
      <c r="F15" s="20" t="inlineStr">
        <is>
          <t>Regression lines — Correlation pp. 8–12</t>
        </is>
      </c>
      <c r="G15" s="19" t="inlineStr">
        <is>
          <t>L14</t>
        </is>
      </c>
      <c r="H15" s="19" t="n">
        <v>20</v>
      </c>
      <c r="I15" s="19" t="n">
        <v>2</v>
      </c>
      <c r="J15" s="26" t="inlineStr">
        <is>
          <t>★★ Medium</t>
        </is>
      </c>
      <c r="K15" s="19" t="inlineStr">
        <is>
          <t>Numerical</t>
        </is>
      </c>
      <c r="L15" s="25" t="inlineStr">
        <is>
          <t>✔ Solved</t>
        </is>
      </c>
      <c r="M15" s="20" t="inlineStr">
        <is>
          <t>2022-23 4(c); 2021-22 7(a); 2019-20 6(a); 2018-19 6(a); 2015-16 7(b); 2014-15 7(a); 2013-14 7(a); 2012-13 7(a)</t>
        </is>
      </c>
      <c r="N15" s="23" t="b">
        <v>0</v>
      </c>
      <c r="O15" s="19" t="n"/>
      <c r="P15" s="19" t="n"/>
      <c r="Q15" s="20" t="n"/>
    </row>
    <row r="16">
      <c r="A16" s="24" t="n">
        <v>13</v>
      </c>
      <c r="B16" s="24" t="inlineStr">
        <is>
          <t>2023-24</t>
        </is>
      </c>
      <c r="C16" s="24" t="inlineStr">
        <is>
          <t>MATH 243</t>
        </is>
      </c>
      <c r="D16" s="24" t="inlineStr">
        <is>
          <t>4(c)</t>
        </is>
      </c>
      <c r="E16" s="6" t="inlineStr">
        <is>
          <t>Objectives of correlation/regression; second-degree polynomial for nitrogen vs yield; coefficient of determination</t>
        </is>
      </c>
      <c r="F16" s="6" t="inlineStr">
        <is>
          <t>R², polynomial, multiple — Correlation pp. 12–17</t>
        </is>
      </c>
      <c r="G16" s="24" t="inlineStr">
        <is>
          <t>L15</t>
        </is>
      </c>
      <c r="H16" s="24" t="n">
        <v>12</v>
      </c>
      <c r="I16" s="24" t="inlineStr">
        <is>
          <t>22 batch p.2</t>
        </is>
      </c>
      <c r="J16" s="21" t="inlineStr">
        <is>
          <t>★★★ High</t>
        </is>
      </c>
      <c r="K16" s="24" t="inlineStr">
        <is>
          <t>Numerical</t>
        </is>
      </c>
      <c r="L16" s="25" t="inlineStr">
        <is>
          <t>✔ Solved</t>
        </is>
      </c>
      <c r="M16" s="6" t="inlineStr">
        <is>
          <t>2020-21 6(a); 2016-17 6(b)</t>
        </is>
      </c>
      <c r="N16" s="23" t="b">
        <v>0</v>
      </c>
      <c r="O16" s="24" t="n"/>
      <c r="P16" s="24" t="n"/>
      <c r="Q16" s="6" t="n"/>
    </row>
    <row r="17">
      <c r="A17" s="24" t="n">
        <v>14</v>
      </c>
      <c r="B17" s="24" t="inlineStr">
        <is>
          <t>2020-21</t>
        </is>
      </c>
      <c r="C17" s="24" t="inlineStr">
        <is>
          <t>MATH 245</t>
        </is>
      </c>
      <c r="D17" s="24" t="inlineStr">
        <is>
          <t>6(a)</t>
        </is>
      </c>
      <c r="E17" s="6" t="inlineStr">
        <is>
          <t>Experience X vs rating Y (5 persons): fit Y on X; SSR and SST</t>
        </is>
      </c>
      <c r="F17" s="6" t="inlineStr">
        <is>
          <t>R², polynomial, multiple — Correlation pp. 12–17</t>
        </is>
      </c>
      <c r="G17" s="24" t="inlineStr">
        <is>
          <t>L15</t>
        </is>
      </c>
      <c r="H17" s="24" t="n">
        <v>15</v>
      </c>
      <c r="I17" s="24" t="n">
        <v>37</v>
      </c>
      <c r="J17" s="21" t="inlineStr">
        <is>
          <t>★★★ High</t>
        </is>
      </c>
      <c r="K17" s="24" t="inlineStr">
        <is>
          <t>Numerical</t>
        </is>
      </c>
      <c r="L17" s="25" t="inlineStr">
        <is>
          <t>✔ Solved</t>
        </is>
      </c>
      <c r="M17" s="6" t="inlineStr">
        <is>
          <t>2023-24 4(c); 2016-17 6(b)</t>
        </is>
      </c>
      <c r="N17" s="23" t="b">
        <v>0</v>
      </c>
      <c r="O17" s="24" t="n"/>
      <c r="P17" s="24" t="n"/>
      <c r="Q17" s="6" t="n"/>
    </row>
    <row r="18">
      <c r="A18" s="24" t="n">
        <v>15</v>
      </c>
      <c r="B18" s="24" t="inlineStr">
        <is>
          <t>2016-17</t>
        </is>
      </c>
      <c r="C18" s="24" t="inlineStr">
        <is>
          <t>MATH 245</t>
        </is>
      </c>
      <c r="D18" s="24" t="inlineStr">
        <is>
          <t>6(b)</t>
        </is>
      </c>
      <c r="E18" s="6" t="inlineStr">
        <is>
          <t>Experience X vs rating Y (5 persons): fit Y on X; SSR, SST; is the linear model adequate (R²)?</t>
        </is>
      </c>
      <c r="F18" s="6" t="inlineStr">
        <is>
          <t>R², polynomial, multiple — Correlation pp. 12–17</t>
        </is>
      </c>
      <c r="G18" s="24" t="inlineStr">
        <is>
          <t>L15</t>
        </is>
      </c>
      <c r="H18" s="24" t="n">
        <v>18</v>
      </c>
      <c r="I18" s="24" t="n">
        <v>20</v>
      </c>
      <c r="J18" s="26" t="inlineStr">
        <is>
          <t>★★ Medium</t>
        </is>
      </c>
      <c r="K18" s="24" t="inlineStr">
        <is>
          <t>Numerical</t>
        </is>
      </c>
      <c r="L18" s="25" t="inlineStr">
        <is>
          <t>✔ Solved</t>
        </is>
      </c>
      <c r="M18" s="6" t="inlineStr">
        <is>
          <t>2023-24 4(c); 2020-21 6(a)</t>
        </is>
      </c>
      <c r="N18" s="23" t="b">
        <v>0</v>
      </c>
      <c r="O18" s="24" t="n"/>
      <c r="P18" s="24" t="n"/>
      <c r="Q18" s="6" t="n"/>
    </row>
  </sheetData>
  <autoFilter ref="A3:Q18"/>
  <conditionalFormatting sqref="A4:Q18">
    <cfRule type="expression" priority="1" dxfId="0">
      <formula>$N4=TRUE</formula>
    </cfRule>
  </conditionalFormatting>
  <conditionalFormatting sqref="O4:O18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8" showDropDown="0" showInputMessage="0" showErrorMessage="0" allowBlank="1" type="list">
      <formula1>"TRUE,FALSE"</formula1>
    </dataValidation>
    <dataValidation sqref="O4:O18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2026-10-23T14:13:09Z</dcterms:created>
  <dcterms:modified xmlns:dcterms="http://purl.org/dc/terms/" xmlns:xsi="http://www.w3.org/2001/XMLSchema-instance" xsi:type="dcterms:W3CDTF">2026-10-23T14:13:09Z</dcterms:modified>
</cp:coreProperties>
</file>