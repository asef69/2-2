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1 DTFT + DFT" sheetId="3" state="visible" r:id="rId3"/>
    <sheet xmlns:r="http://schemas.openxmlformats.org/officeDocument/2006/relationships" name="2 FFT" sheetId="4" state="visible" r:id="rId4"/>
    <sheet xmlns:r="http://schemas.openxmlformats.org/officeDocument/2006/relationships" name="3 Sampling" sheetId="5" state="visible" r:id="rId5"/>
    <sheet xmlns:r="http://schemas.openxmlformats.org/officeDocument/2006/relationships" name="4 Laplace" sheetId="6" state="visible" r:id="rId6"/>
    <sheet xmlns:r="http://schemas.openxmlformats.org/officeDocument/2006/relationships" name="5 z-Transform" sheetId="7" state="visible" r:id="rId7"/>
    <sheet xmlns:r="http://schemas.openxmlformats.org/officeDocument/2006/relationships" name="Outside Notes" sheetId="8" state="visible" r:id="rId8"/>
  </sheets>
  <definedNames>
    <definedName name="_xlnm._FilterDatabase" localSheetId="2" hidden="1">'1 DTFT + DFT'!$A$3:$Q$5</definedName>
    <definedName name="_xlnm._FilterDatabase" localSheetId="3" hidden="1">'2 FFT'!$A$3:$Q$9</definedName>
    <definedName name="_xlnm._FilterDatabase" localSheetId="4" hidden="1">'3 Sampling'!$A$3:$Q$32</definedName>
    <definedName name="_xlnm._FilterDatabase" localSheetId="5" hidden="1">'4 Laplace'!$A$3:$Q$58</definedName>
    <definedName name="_xlnm._FilterDatabase" localSheetId="6" hidden="1">'5 z-Transform'!$A$3:$Q$11</definedName>
    <definedName name="_xlnm._FilterDatabase" localSheetId="7" hidden="1">'Outside Notes'!$A$3:$J$39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  <color rgb="00FFFFFF"/>
    </font>
    <font>
      <b val="1"/>
      <color rgb="001F3864"/>
      <sz val="16"/>
    </font>
    <font>
      <b val="1"/>
    </font>
    <font>
      <b val="1"/>
      <color rgb="001F3864"/>
      <sz val="12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BE5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/>
    </xf>
    <xf numFmtId="9" fontId="5" fillId="10" borderId="1" applyAlignment="1" pivotButton="0" quotePrefix="0" xfId="0">
      <alignment horizontal="center"/>
    </xf>
    <xf numFmtId="0" fontId="6" fillId="0" borderId="0" pivotButton="0" quotePrefix="0" xfId="0"/>
    <xf numFmtId="0" fontId="0" fillId="11" borderId="1" applyAlignment="1" pivotButton="0" quotePrefix="0" xfId="0">
      <alignment horizontal="center"/>
    </xf>
    <xf numFmtId="9" fontId="0" fillId="11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1" fillId="0" borderId="0" pivotButton="0" quotePrefix="0" xfId="0"/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horizontal="center" vertical="top" wrapText="1"/>
    </xf>
    <xf numFmtId="0" fontId="0" fillId="7" borderId="1" applyAlignment="1" pivotButton="0" quotePrefix="0" xfId="0">
      <alignment horizontal="center" vertical="top" wrapText="1"/>
    </xf>
    <xf numFmtId="0" fontId="0" fillId="8" borderId="1" applyAlignment="1" pivotButton="0" quotePrefix="0" xfId="0">
      <alignment horizontal="center" vertical="top" wrapText="1"/>
    </xf>
    <xf numFmtId="0" fontId="0" fillId="9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2">
      <c r="B2" s="1" t="inlineStr">
        <is>
          <t>CSE 219 (Ashraf Sir part) — TF Practice Tracker</t>
        </is>
      </c>
    </row>
    <row r="3">
      <c r="B3" s="2" t="inlineStr">
        <is>
          <t>Every Ashraf-part question in CSE 219 All Merged Questions.pdf (22-batch and EEE pages as written in TF Page), mapped to the note file and lesson that teaches it.</t>
        </is>
      </c>
    </row>
    <row r="5">
      <c r="B5" s="3" t="inlineStr">
        <is>
          <t>Workflow — after you finish a note file</t>
        </is>
      </c>
      <c r="C5" s="4" t="n"/>
    </row>
    <row r="6">
      <c r="B6" s="5" t="inlineStr">
        <is>
          <t>1. Open its tab</t>
        </is>
      </c>
      <c r="C6" s="6" t="inlineStr">
        <is>
          <t>Tabs 1–5 follow the order of your note files. Q No. runs lesson by lesson, newest year first inside each lesson.</t>
        </is>
      </c>
    </row>
    <row r="7">
      <c r="B7" s="5" t="inlineStr">
        <is>
          <t>2. Filter</t>
        </is>
      </c>
      <c r="C7" s="6" t="inlineStr">
        <is>
          <t>Use the filter arrow on Priority → ★★★ High first (2019-20 onward). Then ★★ Medium, then ★ Low.</t>
        </is>
      </c>
    </row>
    <row r="8">
      <c r="B8" s="5" t="inlineStr">
        <is>
          <t>3. Solve</t>
        </is>
      </c>
      <c r="C8" s="6" t="inlineStr">
        <is>
          <t>Open CSE 219 All Merged Questions.pdf (22-batch and EEE pages as written in TF Page) at the TF Page shown. Solve on paper under exam time (≈1.5 min per mark). Do not read the note solution first.</t>
        </is>
      </c>
    </row>
    <row r="9">
      <c r="B9" s="5" t="inlineStr">
        <is>
          <t>4. Check</t>
        </is>
      </c>
      <c r="C9" s="6" t="inlineStr">
        <is>
          <t>In Notes tells you what the note has: ✔ Solved = same question worked out; ◐ Method = method / model answer you can apply; ○ Partly = notes cover most of it, finish the rest yourself.</t>
        </is>
      </c>
    </row>
    <row r="10">
      <c r="B10" s="5" t="inlineStr">
        <is>
          <t>5. Record</t>
        </is>
      </c>
      <c r="C10" s="6" t="inlineStr">
        <is>
          <t>Tick Done, pick Confidence, add the Date. Write mistakes in My Notes. Re-solve every 'Weak' row before the exam.</t>
        </is>
      </c>
    </row>
    <row r="11">
      <c r="B11" s="5" t="inlineStr">
        <is>
          <t>6. Repeats</t>
        </is>
      </c>
      <c r="C11" s="6" t="inlineStr">
        <is>
          <t>'Same Type Also In' lists other papers with the same question type. Solve one, then try a repeat cold — that is the real test.</t>
        </is>
      </c>
    </row>
    <row r="13">
      <c r="B13" s="3" t="inlineStr">
        <is>
          <t>Columns you edit (all others are fixed data)</t>
        </is>
      </c>
      <c r="C13" s="4" t="n"/>
    </row>
    <row r="14">
      <c r="B14" s="5" t="inlineStr">
        <is>
          <t>Done (col N)</t>
        </is>
      </c>
      <c r="C14" s="6" t="inlineStr">
        <is>
          <t>TRUE / FALSE. In Google Sheets: select N4 downward → Insert → Checkbox. The values stay; ticking turns the row green.</t>
        </is>
      </c>
    </row>
    <row r="15">
      <c r="B15" s="5" t="inlineStr">
        <is>
          <t>Confidence (col O)</t>
        </is>
      </c>
      <c r="C15" s="6" t="inlineStr">
        <is>
          <t>Dropdown: Weak / OK / Strong. Weak rows turn the cell red.</t>
        </is>
      </c>
    </row>
    <row r="16">
      <c r="B16" s="5" t="inlineStr">
        <is>
          <t>Date (col P)</t>
        </is>
      </c>
      <c r="C16" s="6" t="inlineStr">
        <is>
          <t>Date you solved it, e.g. 16-Oct-2026.</t>
        </is>
      </c>
    </row>
    <row r="17">
      <c r="B17" s="5" t="inlineStr">
        <is>
          <t>My Notes (col Q)</t>
        </is>
      </c>
      <c r="C17" s="6" t="inlineStr">
        <is>
          <t>Mistakes, missing steps, formula you forgot.</t>
        </is>
      </c>
    </row>
    <row r="19">
      <c r="B19" s="3" t="inlineStr">
        <is>
          <t>Legend</t>
        </is>
      </c>
      <c r="C19" s="4" t="n"/>
    </row>
    <row r="20">
      <c r="B20" s="5" t="inlineStr">
        <is>
          <t>★★★ High</t>
        </is>
      </c>
      <c r="C20" s="6" t="inlineStr">
        <is>
          <t>Asked in 2019-20 or later (most important — current question style).</t>
        </is>
      </c>
    </row>
    <row r="21">
      <c r="B21" s="5" t="inlineStr">
        <is>
          <t>★★ Medium</t>
        </is>
      </c>
      <c r="C21" s="6" t="inlineStr">
        <is>
          <t>Older paper, but the same question type appears at least twice in TF.</t>
        </is>
      </c>
    </row>
    <row r="22">
      <c r="B22" s="5" t="inlineStr">
        <is>
          <t>★ Low</t>
        </is>
      </c>
      <c r="C22" s="6" t="inlineStr">
        <is>
          <t>Older paper, asked once.</t>
        </is>
      </c>
    </row>
    <row r="23">
      <c r="B23" s="5" t="inlineStr">
        <is>
          <t>Type</t>
        </is>
      </c>
      <c r="C23" s="6" t="inlineStr">
        <is>
          <t>Numerical = calculation · Trace = tables / step-by-step simulation · Design = construct / draw · Proof = prove / disprove · Theory = explain.</t>
        </is>
      </c>
    </row>
    <row r="24">
      <c r="B24" s="5" t="inlineStr">
        <is>
          <t>Course</t>
        </is>
      </c>
      <c r="C24" s="6" t="inlineStr">
        <is>
          <t>CSE 219 = current course; EEE 211 / EEE 301 = predecessor course (same content, TF Page = 'EEE p.N' in EEE 211 - TF Questions 2023-24 to 2010-11.pdf); CSE 311 = Data Communication papers in the merged PDF (only their signals/Fourier/sampling parts are listed).</t>
        </is>
      </c>
    </row>
    <row r="25">
      <c r="B25" s="5" t="inlineStr">
        <is>
          <t>Topic</t>
        </is>
      </c>
      <c r="C25" s="6" t="inlineStr">
        <is>
          <t>Note lesson title — slide PDF and slide numbers.</t>
        </is>
      </c>
    </row>
    <row r="26">
      <c r="B26" s="5" t="inlineStr">
        <is>
          <t>Outside Notes tab</t>
        </is>
      </c>
      <c r="C26" s="6" t="inlineStr">
        <is>
          <t>Ashraf-section questions from older papers on topics not in the current slides. Check with your teacher before spending time on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1" customWidth="1" min="3" max="3"/>
    <col width="8" customWidth="1" min="4" max="4"/>
    <col width="9" customWidth="1" min="5" max="5"/>
    <col width="12" customWidth="1" min="6" max="6"/>
    <col width="11" customWidth="1" min="7" max="7"/>
    <col width="14" customWidth="1" min="8" max="8"/>
    <col width="7" customWidth="1" min="9" max="9"/>
    <col width="46" customWidth="1" min="10" max="10"/>
  </cols>
  <sheetData>
    <row r="1">
      <c r="A1" s="1" t="inlineStr">
        <is>
          <t>Progress Dashboard</t>
        </is>
      </c>
    </row>
    <row r="2">
      <c r="A2" s="2" t="inlineStr">
        <is>
          <t>Updates automatically when you tick Done / set Confidence in tabs 1–5.</t>
        </is>
      </c>
    </row>
    <row r="4">
      <c r="A4" s="7" t="inlineStr">
        <is>
          <t>#</t>
        </is>
      </c>
      <c r="B4" s="7" t="inlineStr">
        <is>
          <t>Note file (tab)</t>
        </is>
      </c>
      <c r="C4" s="7" t="inlineStr">
        <is>
          <t>Questions</t>
        </is>
      </c>
      <c r="D4" s="7" t="inlineStr">
        <is>
          <t>Done</t>
        </is>
      </c>
      <c r="E4" s="7" t="inlineStr">
        <is>
          <t>% Done</t>
        </is>
      </c>
      <c r="F4" s="7" t="inlineStr">
        <is>
          <t>Marks (total)</t>
        </is>
      </c>
      <c r="G4" s="7" t="inlineStr">
        <is>
          <t>Marks done</t>
        </is>
      </c>
      <c r="H4" s="7" t="inlineStr">
        <is>
          <t>High-priority left</t>
        </is>
      </c>
      <c r="I4" s="7" t="inlineStr">
        <is>
          <t>Weak</t>
        </is>
      </c>
      <c r="J4" s="7" t="inlineStr">
        <is>
          <t>Next unsolved (top of tab)</t>
        </is>
      </c>
    </row>
    <row r="5">
      <c r="A5" s="8" t="n">
        <v>1</v>
      </c>
      <c r="B5" s="9" t="inlineStr">
        <is>
          <t>1 DTFT + DFT</t>
        </is>
      </c>
      <c r="C5" s="8">
        <f>COUNTA('1 DTFT + DFT'!$E$4:$E$5)</f>
        <v/>
      </c>
      <c r="D5" s="8">
        <f>COUNTIF('1 DTFT + DFT'!$N$4:$N$5,TRUE())</f>
        <v/>
      </c>
      <c r="E5" s="10">
        <f>IF(C5=0,0,D5/C5)</f>
        <v/>
      </c>
      <c r="F5" s="8">
        <f>SUM('1 DTFT + DFT'!$H$4:$H$5)</f>
        <v/>
      </c>
      <c r="G5" s="8">
        <f>SUMIF('1 DTFT + DFT'!$N$4:$N$5,TRUE(),'1 DTFT + DFT'!$H$4:$H$5)</f>
        <v/>
      </c>
      <c r="H5" s="8">
        <f>COUNTIFS('1 DTFT + DFT'!$J$4:$J$5,"★★★ High",'1 DTFT + DFT'!$N$4:$N$5,FALSE())</f>
        <v/>
      </c>
      <c r="I5" s="8">
        <f>COUNTIF('1 DTFT + DFT'!$O$4:$O$5,"Weak")</f>
        <v/>
      </c>
      <c r="J5" s="9">
        <f>IFERROR("Q"&amp;INDEX('1 DTFT + DFT'!$A$4:$A$5,MATCH(FALSE(),'1 DTFT + DFT'!$N$4:$N$5,0))&amp;" · "&amp;INDEX('1 DTFT + DFT'!$B$4:$B$5,MATCH(FALSE(),'1 DTFT + DFT'!$N$4:$N$5,0))&amp;" "&amp;INDEX('1 DTFT + DFT'!$D$4:$D$5,MATCH(FALSE(),'1 DTFT + DFT'!$N$4:$N$5,0))&amp;" · TF p."&amp;INDEX('1 DTFT + DFT'!$I$4:$I$5,MATCH(FALSE(),'1 DTFT + DFT'!$N$4:$N$5,0)),"All done ✔")</f>
        <v/>
      </c>
    </row>
    <row r="6">
      <c r="A6" s="8" t="n">
        <v>2</v>
      </c>
      <c r="B6" s="9" t="inlineStr">
        <is>
          <t>2 FFT</t>
        </is>
      </c>
      <c r="C6" s="8">
        <f>COUNTA('2 FFT'!$E$4:$E$9)</f>
        <v/>
      </c>
      <c r="D6" s="8">
        <f>COUNTIF('2 FFT'!$N$4:$N$9,TRUE())</f>
        <v/>
      </c>
      <c r="E6" s="10">
        <f>IF(C6=0,0,D6/C6)</f>
        <v/>
      </c>
      <c r="F6" s="8">
        <f>SUM('2 FFT'!$H$4:$H$9)</f>
        <v/>
      </c>
      <c r="G6" s="8">
        <f>SUMIF('2 FFT'!$N$4:$N$9,TRUE(),'2 FFT'!$H$4:$H$9)</f>
        <v/>
      </c>
      <c r="H6" s="8">
        <f>COUNTIFS('2 FFT'!$J$4:$J$9,"★★★ High",'2 FFT'!$N$4:$N$9,FALSE())</f>
        <v/>
      </c>
      <c r="I6" s="8">
        <f>COUNTIF('2 FFT'!$O$4:$O$9,"Weak")</f>
        <v/>
      </c>
      <c r="J6" s="9">
        <f>IFERROR("Q"&amp;INDEX('2 FFT'!$A$4:$A$9,MATCH(FALSE(),'2 FFT'!$N$4:$N$9,0))&amp;" · "&amp;INDEX('2 FFT'!$B$4:$B$9,MATCH(FALSE(),'2 FFT'!$N$4:$N$9,0))&amp;" "&amp;INDEX('2 FFT'!$D$4:$D$9,MATCH(FALSE(),'2 FFT'!$N$4:$N$9,0))&amp;" · TF p."&amp;INDEX('2 FFT'!$I$4:$I$9,MATCH(FALSE(),'2 FFT'!$N$4:$N$9,0)),"All done ✔")</f>
        <v/>
      </c>
    </row>
    <row r="7">
      <c r="A7" s="8" t="n">
        <v>3</v>
      </c>
      <c r="B7" s="9" t="inlineStr">
        <is>
          <t>3 Sampling</t>
        </is>
      </c>
      <c r="C7" s="8">
        <f>COUNTA('3 Sampling'!$E$4:$E$32)</f>
        <v/>
      </c>
      <c r="D7" s="8">
        <f>COUNTIF('3 Sampling'!$N$4:$N$32,TRUE())</f>
        <v/>
      </c>
      <c r="E7" s="10">
        <f>IF(C7=0,0,D7/C7)</f>
        <v/>
      </c>
      <c r="F7" s="8">
        <f>SUM('3 Sampling'!$H$4:$H$32)</f>
        <v/>
      </c>
      <c r="G7" s="8">
        <f>SUMIF('3 Sampling'!$N$4:$N$32,TRUE(),'3 Sampling'!$H$4:$H$32)</f>
        <v/>
      </c>
      <c r="H7" s="8">
        <f>COUNTIFS('3 Sampling'!$J$4:$J$32,"★★★ High",'3 Sampling'!$N$4:$N$32,FALSE())</f>
        <v/>
      </c>
      <c r="I7" s="8">
        <f>COUNTIF('3 Sampling'!$O$4:$O$32,"Weak")</f>
        <v/>
      </c>
      <c r="J7" s="9">
        <f>IFERROR("Q"&amp;INDEX('3 Sampling'!$A$4:$A$32,MATCH(FALSE(),'3 Sampling'!$N$4:$N$32,0))&amp;" · "&amp;INDEX('3 Sampling'!$B$4:$B$32,MATCH(FALSE(),'3 Sampling'!$N$4:$N$32,0))&amp;" "&amp;INDEX('3 Sampling'!$D$4:$D$32,MATCH(FALSE(),'3 Sampling'!$N$4:$N$32,0))&amp;" · TF p."&amp;INDEX('3 Sampling'!$I$4:$I$32,MATCH(FALSE(),'3 Sampling'!$N$4:$N$32,0)),"All done ✔")</f>
        <v/>
      </c>
    </row>
    <row r="8">
      <c r="A8" s="8" t="n">
        <v>4</v>
      </c>
      <c r="B8" s="9" t="inlineStr">
        <is>
          <t>4 Laplace</t>
        </is>
      </c>
      <c r="C8" s="8">
        <f>COUNTA('4 Laplace'!$E$4:$E$58)</f>
        <v/>
      </c>
      <c r="D8" s="8">
        <f>COUNTIF('4 Laplace'!$N$4:$N$58,TRUE())</f>
        <v/>
      </c>
      <c r="E8" s="10">
        <f>IF(C8=0,0,D8/C8)</f>
        <v/>
      </c>
      <c r="F8" s="8">
        <f>SUM('4 Laplace'!$H$4:$H$58)</f>
        <v/>
      </c>
      <c r="G8" s="8">
        <f>SUMIF('4 Laplace'!$N$4:$N$58,TRUE(),'4 Laplace'!$H$4:$H$58)</f>
        <v/>
      </c>
      <c r="H8" s="8">
        <f>COUNTIFS('4 Laplace'!$J$4:$J$58,"★★★ High",'4 Laplace'!$N$4:$N$58,FALSE())</f>
        <v/>
      </c>
      <c r="I8" s="8">
        <f>COUNTIF('4 Laplace'!$O$4:$O$58,"Weak")</f>
        <v/>
      </c>
      <c r="J8" s="9">
        <f>IFERROR("Q"&amp;INDEX('4 Laplace'!$A$4:$A$58,MATCH(FALSE(),'4 Laplace'!$N$4:$N$58,0))&amp;" · "&amp;INDEX('4 Laplace'!$B$4:$B$58,MATCH(FALSE(),'4 Laplace'!$N$4:$N$58,0))&amp;" "&amp;INDEX('4 Laplace'!$D$4:$D$58,MATCH(FALSE(),'4 Laplace'!$N$4:$N$58,0))&amp;" · TF p."&amp;INDEX('4 Laplace'!$I$4:$I$58,MATCH(FALSE(),'4 Laplace'!$N$4:$N$58,0)),"All done ✔")</f>
        <v/>
      </c>
    </row>
    <row r="9">
      <c r="A9" s="8" t="n">
        <v>5</v>
      </c>
      <c r="B9" s="9" t="inlineStr">
        <is>
          <t>5 z-Transform</t>
        </is>
      </c>
      <c r="C9" s="8">
        <f>COUNTA('5 z-Transform'!$E$4:$E$11)</f>
        <v/>
      </c>
      <c r="D9" s="8">
        <f>COUNTIF('5 z-Transform'!$N$4:$N$11,TRUE())</f>
        <v/>
      </c>
      <c r="E9" s="10">
        <f>IF(C9=0,0,D9/C9)</f>
        <v/>
      </c>
      <c r="F9" s="8">
        <f>SUM('5 z-Transform'!$H$4:$H$11)</f>
        <v/>
      </c>
      <c r="G9" s="8">
        <f>SUMIF('5 z-Transform'!$N$4:$N$11,TRUE(),'5 z-Transform'!$H$4:$H$11)</f>
        <v/>
      </c>
      <c r="H9" s="8">
        <f>COUNTIFS('5 z-Transform'!$J$4:$J$11,"★★★ High",'5 z-Transform'!$N$4:$N$11,FALSE())</f>
        <v/>
      </c>
      <c r="I9" s="8">
        <f>COUNTIF('5 z-Transform'!$O$4:$O$11,"Weak")</f>
        <v/>
      </c>
      <c r="J9" s="9">
        <f>IFERROR("Q"&amp;INDEX('5 z-Transform'!$A$4:$A$11,MATCH(FALSE(),'5 z-Transform'!$N$4:$N$11,0))&amp;" · "&amp;INDEX('5 z-Transform'!$B$4:$B$11,MATCH(FALSE(),'5 z-Transform'!$N$4:$N$11,0))&amp;" "&amp;INDEX('5 z-Transform'!$D$4:$D$11,MATCH(FALSE(),'5 z-Transform'!$N$4:$N$11,0))&amp;" · TF p."&amp;INDEX('5 z-Transform'!$I$4:$I$11,MATCH(FALSE(),'5 z-Transform'!$N$4:$N$11,0)),"All done ✔")</f>
        <v/>
      </c>
    </row>
    <row r="10">
      <c r="B10" s="11" t="inlineStr">
        <is>
          <t>TOTAL</t>
        </is>
      </c>
      <c r="C10" s="11">
        <f>SUM(C5:C9)</f>
        <v/>
      </c>
      <c r="D10" s="11">
        <f>SUM(D5:D9)</f>
        <v/>
      </c>
      <c r="E10" s="12">
        <f>IF(C10=0,0,D10/C10)</f>
        <v/>
      </c>
      <c r="F10" s="11">
        <f>SUM(F5:F9)</f>
        <v/>
      </c>
      <c r="G10" s="11">
        <f>SUM(G5:G9)</f>
        <v/>
      </c>
      <c r="H10" s="11">
        <f>SUM(H5:H9)</f>
        <v/>
      </c>
      <c r="I10" s="11">
        <f>SUM(I5:I9)</f>
        <v/>
      </c>
    </row>
    <row r="12">
      <c r="A12" s="13" t="inlineStr">
        <is>
          <t>Questions by year (tabs 1–5)</t>
        </is>
      </c>
    </row>
    <row r="13">
      <c r="A13" s="7" t="inlineStr">
        <is>
          <t>#</t>
        </is>
      </c>
      <c r="B13" s="7" t="inlineStr">
        <is>
          <t>Year</t>
        </is>
      </c>
      <c r="C13" s="7" t="inlineStr">
        <is>
          <t>Questions</t>
        </is>
      </c>
      <c r="D13" s="7" t="inlineStr">
        <is>
          <t>Done</t>
        </is>
      </c>
      <c r="E13" s="7" t="inlineStr">
        <is>
          <t>% Done</t>
        </is>
      </c>
      <c r="F13" s="7" t="inlineStr">
        <is>
          <t>Marks (total)</t>
        </is>
      </c>
    </row>
    <row r="14">
      <c r="A14" s="14" t="n">
        <v>1</v>
      </c>
      <c r="B14" s="14" t="inlineStr">
        <is>
          <t>2023-24</t>
        </is>
      </c>
      <c r="C14" s="14">
        <f>COUNTIF('1 DTFT + DFT'!$B$4:$B$5,$B14)+COUNTIF('2 FFT'!$B$4:$B$9,$B14)+COUNTIF('3 Sampling'!$B$4:$B$32,$B14)+COUNTIF('4 Laplace'!$B$4:$B$58,$B14)+COUNTIF('5 z-Transform'!$B$4:$B$11,$B14)</f>
        <v/>
      </c>
      <c r="D14" s="14">
        <f>COUNTIFS('1 DTFT + DFT'!$B$4:$B$5,$B14,'1 DTFT + DFT'!$N$4:$N$5,TRUE())+COUNTIFS('2 FFT'!$B$4:$B$9,$B14,'2 FFT'!$N$4:$N$9,TRUE())+COUNTIFS('3 Sampling'!$B$4:$B$32,$B14,'3 Sampling'!$N$4:$N$32,TRUE())+COUNTIFS('4 Laplace'!$B$4:$B$58,$B14,'4 Laplace'!$N$4:$N$58,TRUE())+COUNTIFS('5 z-Transform'!$B$4:$B$11,$B14,'5 z-Transform'!$N$4:$N$11,TRUE())</f>
        <v/>
      </c>
      <c r="E14" s="15">
        <f>IF(C14=0,0,D14/C14)</f>
        <v/>
      </c>
      <c r="F14" s="14">
        <f>SUMIF('1 DTFT + DFT'!$B$4:$B$5,$B14,'1 DTFT + DFT'!$H$4:$H$5)+SUMIF('2 FFT'!$B$4:$B$9,$B14,'2 FFT'!$H$4:$H$9)+SUMIF('3 Sampling'!$B$4:$B$32,$B14,'3 Sampling'!$H$4:$H$32)+SUMIF('4 Laplace'!$B$4:$B$58,$B14,'4 Laplace'!$H$4:$H$58)+SUMIF('5 z-Transform'!$B$4:$B$11,$B14,'5 z-Transform'!$H$4:$H$11)</f>
        <v/>
      </c>
    </row>
    <row r="15">
      <c r="A15" s="14" t="n">
        <v>2</v>
      </c>
      <c r="B15" s="14" t="inlineStr">
        <is>
          <t>2022-23</t>
        </is>
      </c>
      <c r="C15" s="14">
        <f>COUNTIF('1 DTFT + DFT'!$B$4:$B$5,$B15)+COUNTIF('2 FFT'!$B$4:$B$9,$B15)+COUNTIF('3 Sampling'!$B$4:$B$32,$B15)+COUNTIF('4 Laplace'!$B$4:$B$58,$B15)+COUNTIF('5 z-Transform'!$B$4:$B$11,$B15)</f>
        <v/>
      </c>
      <c r="D15" s="14">
        <f>COUNTIFS('1 DTFT + DFT'!$B$4:$B$5,$B15,'1 DTFT + DFT'!$N$4:$N$5,TRUE())+COUNTIFS('2 FFT'!$B$4:$B$9,$B15,'2 FFT'!$N$4:$N$9,TRUE())+COUNTIFS('3 Sampling'!$B$4:$B$32,$B15,'3 Sampling'!$N$4:$N$32,TRUE())+COUNTIFS('4 Laplace'!$B$4:$B$58,$B15,'4 Laplace'!$N$4:$N$58,TRUE())+COUNTIFS('5 z-Transform'!$B$4:$B$11,$B15,'5 z-Transform'!$N$4:$N$11,TRUE())</f>
        <v/>
      </c>
      <c r="E15" s="15">
        <f>IF(C15=0,0,D15/C15)</f>
        <v/>
      </c>
      <c r="F15" s="14">
        <f>SUMIF('1 DTFT + DFT'!$B$4:$B$5,$B15,'1 DTFT + DFT'!$H$4:$H$5)+SUMIF('2 FFT'!$B$4:$B$9,$B15,'2 FFT'!$H$4:$H$9)+SUMIF('3 Sampling'!$B$4:$B$32,$B15,'3 Sampling'!$H$4:$H$32)+SUMIF('4 Laplace'!$B$4:$B$58,$B15,'4 Laplace'!$H$4:$H$58)+SUMIF('5 z-Transform'!$B$4:$B$11,$B15,'5 z-Transform'!$H$4:$H$11)</f>
        <v/>
      </c>
    </row>
    <row r="16">
      <c r="A16" s="14" t="n">
        <v>3</v>
      </c>
      <c r="B16" s="14" t="inlineStr">
        <is>
          <t>2021-22</t>
        </is>
      </c>
      <c r="C16" s="14">
        <f>COUNTIF('1 DTFT + DFT'!$B$4:$B$5,$B16)+COUNTIF('2 FFT'!$B$4:$B$9,$B16)+COUNTIF('3 Sampling'!$B$4:$B$32,$B16)+COUNTIF('4 Laplace'!$B$4:$B$58,$B16)+COUNTIF('5 z-Transform'!$B$4:$B$11,$B16)</f>
        <v/>
      </c>
      <c r="D16" s="14">
        <f>COUNTIFS('1 DTFT + DFT'!$B$4:$B$5,$B16,'1 DTFT + DFT'!$N$4:$N$5,TRUE())+COUNTIFS('2 FFT'!$B$4:$B$9,$B16,'2 FFT'!$N$4:$N$9,TRUE())+COUNTIFS('3 Sampling'!$B$4:$B$32,$B16,'3 Sampling'!$N$4:$N$32,TRUE())+COUNTIFS('4 Laplace'!$B$4:$B$58,$B16,'4 Laplace'!$N$4:$N$58,TRUE())+COUNTIFS('5 z-Transform'!$B$4:$B$11,$B16,'5 z-Transform'!$N$4:$N$11,TRUE())</f>
        <v/>
      </c>
      <c r="E16" s="15">
        <f>IF(C16=0,0,D16/C16)</f>
        <v/>
      </c>
      <c r="F16" s="14">
        <f>SUMIF('1 DTFT + DFT'!$B$4:$B$5,$B16,'1 DTFT + DFT'!$H$4:$H$5)+SUMIF('2 FFT'!$B$4:$B$9,$B16,'2 FFT'!$H$4:$H$9)+SUMIF('3 Sampling'!$B$4:$B$32,$B16,'3 Sampling'!$H$4:$H$32)+SUMIF('4 Laplace'!$B$4:$B$58,$B16,'4 Laplace'!$H$4:$H$58)+SUMIF('5 z-Transform'!$B$4:$B$11,$B16,'5 z-Transform'!$H$4:$H$11)</f>
        <v/>
      </c>
    </row>
    <row r="17">
      <c r="A17" s="14" t="n">
        <v>4</v>
      </c>
      <c r="B17" s="14" t="inlineStr">
        <is>
          <t>2020-21</t>
        </is>
      </c>
      <c r="C17" s="14">
        <f>COUNTIF('1 DTFT + DFT'!$B$4:$B$5,$B17)+COUNTIF('2 FFT'!$B$4:$B$9,$B17)+COUNTIF('3 Sampling'!$B$4:$B$32,$B17)+COUNTIF('4 Laplace'!$B$4:$B$58,$B17)+COUNTIF('5 z-Transform'!$B$4:$B$11,$B17)</f>
        <v/>
      </c>
      <c r="D17" s="14">
        <f>COUNTIFS('1 DTFT + DFT'!$B$4:$B$5,$B17,'1 DTFT + DFT'!$N$4:$N$5,TRUE())+COUNTIFS('2 FFT'!$B$4:$B$9,$B17,'2 FFT'!$N$4:$N$9,TRUE())+COUNTIFS('3 Sampling'!$B$4:$B$32,$B17,'3 Sampling'!$N$4:$N$32,TRUE())+COUNTIFS('4 Laplace'!$B$4:$B$58,$B17,'4 Laplace'!$N$4:$N$58,TRUE())+COUNTIFS('5 z-Transform'!$B$4:$B$11,$B17,'5 z-Transform'!$N$4:$N$11,TRUE())</f>
        <v/>
      </c>
      <c r="E17" s="15">
        <f>IF(C17=0,0,D17/C17)</f>
        <v/>
      </c>
      <c r="F17" s="14">
        <f>SUMIF('1 DTFT + DFT'!$B$4:$B$5,$B17,'1 DTFT + DFT'!$H$4:$H$5)+SUMIF('2 FFT'!$B$4:$B$9,$B17,'2 FFT'!$H$4:$H$9)+SUMIF('3 Sampling'!$B$4:$B$32,$B17,'3 Sampling'!$H$4:$H$32)+SUMIF('4 Laplace'!$B$4:$B$58,$B17,'4 Laplace'!$H$4:$H$58)+SUMIF('5 z-Transform'!$B$4:$B$11,$B17,'5 z-Transform'!$H$4:$H$11)</f>
        <v/>
      </c>
    </row>
    <row r="18">
      <c r="A18" s="14" t="n">
        <v>5</v>
      </c>
      <c r="B18" s="14" t="inlineStr">
        <is>
          <t>2019-20</t>
        </is>
      </c>
      <c r="C18" s="14">
        <f>COUNTIF('1 DTFT + DFT'!$B$4:$B$5,$B18)+COUNTIF('2 FFT'!$B$4:$B$9,$B18)+COUNTIF('3 Sampling'!$B$4:$B$32,$B18)+COUNTIF('4 Laplace'!$B$4:$B$58,$B18)+COUNTIF('5 z-Transform'!$B$4:$B$11,$B18)</f>
        <v/>
      </c>
      <c r="D18" s="14">
        <f>COUNTIFS('1 DTFT + DFT'!$B$4:$B$5,$B18,'1 DTFT + DFT'!$N$4:$N$5,TRUE())+COUNTIFS('2 FFT'!$B$4:$B$9,$B18,'2 FFT'!$N$4:$N$9,TRUE())+COUNTIFS('3 Sampling'!$B$4:$B$32,$B18,'3 Sampling'!$N$4:$N$32,TRUE())+COUNTIFS('4 Laplace'!$B$4:$B$58,$B18,'4 Laplace'!$N$4:$N$58,TRUE())+COUNTIFS('5 z-Transform'!$B$4:$B$11,$B18,'5 z-Transform'!$N$4:$N$11,TRUE())</f>
        <v/>
      </c>
      <c r="E18" s="15">
        <f>IF(C18=0,0,D18/C18)</f>
        <v/>
      </c>
      <c r="F18" s="14">
        <f>SUMIF('1 DTFT + DFT'!$B$4:$B$5,$B18,'1 DTFT + DFT'!$H$4:$H$5)+SUMIF('2 FFT'!$B$4:$B$9,$B18,'2 FFT'!$H$4:$H$9)+SUMIF('3 Sampling'!$B$4:$B$32,$B18,'3 Sampling'!$H$4:$H$32)+SUMIF('4 Laplace'!$B$4:$B$58,$B18,'4 Laplace'!$H$4:$H$58)+SUMIF('5 z-Transform'!$B$4:$B$11,$B18,'5 z-Transform'!$H$4:$H$11)</f>
        <v/>
      </c>
    </row>
    <row r="19">
      <c r="A19" s="16" t="n">
        <v>6</v>
      </c>
      <c r="B19" s="16" t="inlineStr">
        <is>
          <t>2018-19</t>
        </is>
      </c>
      <c r="C19" s="16">
        <f>COUNTIF('1 DTFT + DFT'!$B$4:$B$5,$B19)+COUNTIF('2 FFT'!$B$4:$B$9,$B19)+COUNTIF('3 Sampling'!$B$4:$B$32,$B19)+COUNTIF('4 Laplace'!$B$4:$B$58,$B19)+COUNTIF('5 z-Transform'!$B$4:$B$11,$B19)</f>
        <v/>
      </c>
      <c r="D19" s="16">
        <f>COUNTIFS('1 DTFT + DFT'!$B$4:$B$5,$B19,'1 DTFT + DFT'!$N$4:$N$5,TRUE())+COUNTIFS('2 FFT'!$B$4:$B$9,$B19,'2 FFT'!$N$4:$N$9,TRUE())+COUNTIFS('3 Sampling'!$B$4:$B$32,$B19,'3 Sampling'!$N$4:$N$32,TRUE())+COUNTIFS('4 Laplace'!$B$4:$B$58,$B19,'4 Laplace'!$N$4:$N$58,TRUE())+COUNTIFS('5 z-Transform'!$B$4:$B$11,$B19,'5 z-Transform'!$N$4:$N$11,TRUE())</f>
        <v/>
      </c>
      <c r="E19" s="17">
        <f>IF(C19=0,0,D19/C19)</f>
        <v/>
      </c>
      <c r="F19" s="16">
        <f>SUMIF('1 DTFT + DFT'!$B$4:$B$5,$B19,'1 DTFT + DFT'!$H$4:$H$5)+SUMIF('2 FFT'!$B$4:$B$9,$B19,'2 FFT'!$H$4:$H$9)+SUMIF('3 Sampling'!$B$4:$B$32,$B19,'3 Sampling'!$H$4:$H$32)+SUMIF('4 Laplace'!$B$4:$B$58,$B19,'4 Laplace'!$H$4:$H$58)+SUMIF('5 z-Transform'!$B$4:$B$11,$B19,'5 z-Transform'!$H$4:$H$11)</f>
        <v/>
      </c>
    </row>
    <row r="20">
      <c r="A20" s="16" t="n">
        <v>7</v>
      </c>
      <c r="B20" s="16" t="inlineStr">
        <is>
          <t>2017-18</t>
        </is>
      </c>
      <c r="C20" s="16">
        <f>COUNTIF('1 DTFT + DFT'!$B$4:$B$5,$B20)+COUNTIF('2 FFT'!$B$4:$B$9,$B20)+COUNTIF('3 Sampling'!$B$4:$B$32,$B20)+COUNTIF('4 Laplace'!$B$4:$B$58,$B20)+COUNTIF('5 z-Transform'!$B$4:$B$11,$B20)</f>
        <v/>
      </c>
      <c r="D20" s="16">
        <f>COUNTIFS('1 DTFT + DFT'!$B$4:$B$5,$B20,'1 DTFT + DFT'!$N$4:$N$5,TRUE())+COUNTIFS('2 FFT'!$B$4:$B$9,$B20,'2 FFT'!$N$4:$N$9,TRUE())+COUNTIFS('3 Sampling'!$B$4:$B$32,$B20,'3 Sampling'!$N$4:$N$32,TRUE())+COUNTIFS('4 Laplace'!$B$4:$B$58,$B20,'4 Laplace'!$N$4:$N$58,TRUE())+COUNTIFS('5 z-Transform'!$B$4:$B$11,$B20,'5 z-Transform'!$N$4:$N$11,TRUE())</f>
        <v/>
      </c>
      <c r="E20" s="17">
        <f>IF(C20=0,0,D20/C20)</f>
        <v/>
      </c>
      <c r="F20" s="16">
        <f>SUMIF('1 DTFT + DFT'!$B$4:$B$5,$B20,'1 DTFT + DFT'!$H$4:$H$5)+SUMIF('2 FFT'!$B$4:$B$9,$B20,'2 FFT'!$H$4:$H$9)+SUMIF('3 Sampling'!$B$4:$B$32,$B20,'3 Sampling'!$H$4:$H$32)+SUMIF('4 Laplace'!$B$4:$B$58,$B20,'4 Laplace'!$H$4:$H$58)+SUMIF('5 z-Transform'!$B$4:$B$11,$B20,'5 z-Transform'!$H$4:$H$11)</f>
        <v/>
      </c>
    </row>
    <row r="21">
      <c r="A21" s="16" t="n">
        <v>8</v>
      </c>
      <c r="B21" s="16" t="inlineStr">
        <is>
          <t>2016-17</t>
        </is>
      </c>
      <c r="C21" s="16">
        <f>COUNTIF('1 DTFT + DFT'!$B$4:$B$5,$B21)+COUNTIF('2 FFT'!$B$4:$B$9,$B21)+COUNTIF('3 Sampling'!$B$4:$B$32,$B21)+COUNTIF('4 Laplace'!$B$4:$B$58,$B21)+COUNTIF('5 z-Transform'!$B$4:$B$11,$B21)</f>
        <v/>
      </c>
      <c r="D21" s="16">
        <f>COUNTIFS('1 DTFT + DFT'!$B$4:$B$5,$B21,'1 DTFT + DFT'!$N$4:$N$5,TRUE())+COUNTIFS('2 FFT'!$B$4:$B$9,$B21,'2 FFT'!$N$4:$N$9,TRUE())+COUNTIFS('3 Sampling'!$B$4:$B$32,$B21,'3 Sampling'!$N$4:$N$32,TRUE())+COUNTIFS('4 Laplace'!$B$4:$B$58,$B21,'4 Laplace'!$N$4:$N$58,TRUE())+COUNTIFS('5 z-Transform'!$B$4:$B$11,$B21,'5 z-Transform'!$N$4:$N$11,TRUE())</f>
        <v/>
      </c>
      <c r="E21" s="17">
        <f>IF(C21=0,0,D21/C21)</f>
        <v/>
      </c>
      <c r="F21" s="16">
        <f>SUMIF('1 DTFT + DFT'!$B$4:$B$5,$B21,'1 DTFT + DFT'!$H$4:$H$5)+SUMIF('2 FFT'!$B$4:$B$9,$B21,'2 FFT'!$H$4:$H$9)+SUMIF('3 Sampling'!$B$4:$B$32,$B21,'3 Sampling'!$H$4:$H$32)+SUMIF('4 Laplace'!$B$4:$B$58,$B21,'4 Laplace'!$H$4:$H$58)+SUMIF('5 z-Transform'!$B$4:$B$11,$B21,'5 z-Transform'!$H$4:$H$11)</f>
        <v/>
      </c>
    </row>
    <row r="22">
      <c r="A22" s="16" t="n">
        <v>9</v>
      </c>
      <c r="B22" s="16" t="inlineStr">
        <is>
          <t>2015-16</t>
        </is>
      </c>
      <c r="C22" s="16">
        <f>COUNTIF('1 DTFT + DFT'!$B$4:$B$5,$B22)+COUNTIF('2 FFT'!$B$4:$B$9,$B22)+COUNTIF('3 Sampling'!$B$4:$B$32,$B22)+COUNTIF('4 Laplace'!$B$4:$B$58,$B22)+COUNTIF('5 z-Transform'!$B$4:$B$11,$B22)</f>
        <v/>
      </c>
      <c r="D22" s="16">
        <f>COUNTIFS('1 DTFT + DFT'!$B$4:$B$5,$B22,'1 DTFT + DFT'!$N$4:$N$5,TRUE())+COUNTIFS('2 FFT'!$B$4:$B$9,$B22,'2 FFT'!$N$4:$N$9,TRUE())+COUNTIFS('3 Sampling'!$B$4:$B$32,$B22,'3 Sampling'!$N$4:$N$32,TRUE())+COUNTIFS('4 Laplace'!$B$4:$B$58,$B22,'4 Laplace'!$N$4:$N$58,TRUE())+COUNTIFS('5 z-Transform'!$B$4:$B$11,$B22,'5 z-Transform'!$N$4:$N$11,TRUE())</f>
        <v/>
      </c>
      <c r="E22" s="17">
        <f>IF(C22=0,0,D22/C22)</f>
        <v/>
      </c>
      <c r="F22" s="16">
        <f>SUMIF('1 DTFT + DFT'!$B$4:$B$5,$B22,'1 DTFT + DFT'!$H$4:$H$5)+SUMIF('2 FFT'!$B$4:$B$9,$B22,'2 FFT'!$H$4:$H$9)+SUMIF('3 Sampling'!$B$4:$B$32,$B22,'3 Sampling'!$H$4:$H$32)+SUMIF('4 Laplace'!$B$4:$B$58,$B22,'4 Laplace'!$H$4:$H$58)+SUMIF('5 z-Transform'!$B$4:$B$11,$B22,'5 z-Transform'!$H$4:$H$11)</f>
        <v/>
      </c>
    </row>
    <row r="23">
      <c r="A23" s="16" t="n">
        <v>10</v>
      </c>
      <c r="B23" s="16" t="inlineStr">
        <is>
          <t>2014-15</t>
        </is>
      </c>
      <c r="C23" s="16">
        <f>COUNTIF('1 DTFT + DFT'!$B$4:$B$5,$B23)+COUNTIF('2 FFT'!$B$4:$B$9,$B23)+COUNTIF('3 Sampling'!$B$4:$B$32,$B23)+COUNTIF('4 Laplace'!$B$4:$B$58,$B23)+COUNTIF('5 z-Transform'!$B$4:$B$11,$B23)</f>
        <v/>
      </c>
      <c r="D23" s="16">
        <f>COUNTIFS('1 DTFT + DFT'!$B$4:$B$5,$B23,'1 DTFT + DFT'!$N$4:$N$5,TRUE())+COUNTIFS('2 FFT'!$B$4:$B$9,$B23,'2 FFT'!$N$4:$N$9,TRUE())+COUNTIFS('3 Sampling'!$B$4:$B$32,$B23,'3 Sampling'!$N$4:$N$32,TRUE())+COUNTIFS('4 Laplace'!$B$4:$B$58,$B23,'4 Laplace'!$N$4:$N$58,TRUE())+COUNTIFS('5 z-Transform'!$B$4:$B$11,$B23,'5 z-Transform'!$N$4:$N$11,TRUE())</f>
        <v/>
      </c>
      <c r="E23" s="17">
        <f>IF(C23=0,0,D23/C23)</f>
        <v/>
      </c>
      <c r="F23" s="16">
        <f>SUMIF('1 DTFT + DFT'!$B$4:$B$5,$B23,'1 DTFT + DFT'!$H$4:$H$5)+SUMIF('2 FFT'!$B$4:$B$9,$B23,'2 FFT'!$H$4:$H$9)+SUMIF('3 Sampling'!$B$4:$B$32,$B23,'3 Sampling'!$H$4:$H$32)+SUMIF('4 Laplace'!$B$4:$B$58,$B23,'4 Laplace'!$H$4:$H$58)+SUMIF('5 z-Transform'!$B$4:$B$11,$B23,'5 z-Transform'!$H$4:$H$11)</f>
        <v/>
      </c>
    </row>
    <row r="24">
      <c r="A24" s="16" t="n">
        <v>11</v>
      </c>
      <c r="B24" s="16" t="inlineStr">
        <is>
          <t>2013-14</t>
        </is>
      </c>
      <c r="C24" s="16">
        <f>COUNTIF('1 DTFT + DFT'!$B$4:$B$5,$B24)+COUNTIF('2 FFT'!$B$4:$B$9,$B24)+COUNTIF('3 Sampling'!$B$4:$B$32,$B24)+COUNTIF('4 Laplace'!$B$4:$B$58,$B24)+COUNTIF('5 z-Transform'!$B$4:$B$11,$B24)</f>
        <v/>
      </c>
      <c r="D24" s="16">
        <f>COUNTIFS('1 DTFT + DFT'!$B$4:$B$5,$B24,'1 DTFT + DFT'!$N$4:$N$5,TRUE())+COUNTIFS('2 FFT'!$B$4:$B$9,$B24,'2 FFT'!$N$4:$N$9,TRUE())+COUNTIFS('3 Sampling'!$B$4:$B$32,$B24,'3 Sampling'!$N$4:$N$32,TRUE())+COUNTIFS('4 Laplace'!$B$4:$B$58,$B24,'4 Laplace'!$N$4:$N$58,TRUE())+COUNTIFS('5 z-Transform'!$B$4:$B$11,$B24,'5 z-Transform'!$N$4:$N$11,TRUE())</f>
        <v/>
      </c>
      <c r="E24" s="17">
        <f>IF(C24=0,0,D24/C24)</f>
        <v/>
      </c>
      <c r="F24" s="16">
        <f>SUMIF('1 DTFT + DFT'!$B$4:$B$5,$B24,'1 DTFT + DFT'!$H$4:$H$5)+SUMIF('2 FFT'!$B$4:$B$9,$B24,'2 FFT'!$H$4:$H$9)+SUMIF('3 Sampling'!$B$4:$B$32,$B24,'3 Sampling'!$H$4:$H$32)+SUMIF('4 Laplace'!$B$4:$B$58,$B24,'4 Laplace'!$H$4:$H$58)+SUMIF('5 z-Transform'!$B$4:$B$11,$B24,'5 z-Transform'!$H$4:$H$11)</f>
        <v/>
      </c>
    </row>
    <row r="25">
      <c r="A25" s="16" t="n">
        <v>12</v>
      </c>
      <c r="B25" s="16" t="inlineStr">
        <is>
          <t>2012-13</t>
        </is>
      </c>
      <c r="C25" s="16">
        <f>COUNTIF('1 DTFT + DFT'!$B$4:$B$5,$B25)+COUNTIF('2 FFT'!$B$4:$B$9,$B25)+COUNTIF('3 Sampling'!$B$4:$B$32,$B25)+COUNTIF('4 Laplace'!$B$4:$B$58,$B25)+COUNTIF('5 z-Transform'!$B$4:$B$11,$B25)</f>
        <v/>
      </c>
      <c r="D25" s="16">
        <f>COUNTIFS('1 DTFT + DFT'!$B$4:$B$5,$B25,'1 DTFT + DFT'!$N$4:$N$5,TRUE())+COUNTIFS('2 FFT'!$B$4:$B$9,$B25,'2 FFT'!$N$4:$N$9,TRUE())+COUNTIFS('3 Sampling'!$B$4:$B$32,$B25,'3 Sampling'!$N$4:$N$32,TRUE())+COUNTIFS('4 Laplace'!$B$4:$B$58,$B25,'4 Laplace'!$N$4:$N$58,TRUE())+COUNTIFS('5 z-Transform'!$B$4:$B$11,$B25,'5 z-Transform'!$N$4:$N$11,TRUE())</f>
        <v/>
      </c>
      <c r="E25" s="17">
        <f>IF(C25=0,0,D25/C25)</f>
        <v/>
      </c>
      <c r="F25" s="16">
        <f>SUMIF('1 DTFT + DFT'!$B$4:$B$5,$B25,'1 DTFT + DFT'!$H$4:$H$5)+SUMIF('2 FFT'!$B$4:$B$9,$B25,'2 FFT'!$H$4:$H$9)+SUMIF('3 Sampling'!$B$4:$B$32,$B25,'3 Sampling'!$H$4:$H$32)+SUMIF('4 Laplace'!$B$4:$B$58,$B25,'4 Laplace'!$H$4:$H$58)+SUMIF('5 z-Transform'!$B$4:$B$11,$B25,'5 z-Transform'!$H$4:$H$11)</f>
        <v/>
      </c>
    </row>
    <row r="26">
      <c r="A26" s="16" t="n">
        <v>13</v>
      </c>
      <c r="B26" s="16" t="inlineStr">
        <is>
          <t>2011-12</t>
        </is>
      </c>
      <c r="C26" s="16">
        <f>COUNTIF('1 DTFT + DFT'!$B$4:$B$5,$B26)+COUNTIF('2 FFT'!$B$4:$B$9,$B26)+COUNTIF('3 Sampling'!$B$4:$B$32,$B26)+COUNTIF('4 Laplace'!$B$4:$B$58,$B26)+COUNTIF('5 z-Transform'!$B$4:$B$11,$B26)</f>
        <v/>
      </c>
      <c r="D26" s="16">
        <f>COUNTIFS('1 DTFT + DFT'!$B$4:$B$5,$B26,'1 DTFT + DFT'!$N$4:$N$5,TRUE())+COUNTIFS('2 FFT'!$B$4:$B$9,$B26,'2 FFT'!$N$4:$N$9,TRUE())+COUNTIFS('3 Sampling'!$B$4:$B$32,$B26,'3 Sampling'!$N$4:$N$32,TRUE())+COUNTIFS('4 Laplace'!$B$4:$B$58,$B26,'4 Laplace'!$N$4:$N$58,TRUE())+COUNTIFS('5 z-Transform'!$B$4:$B$11,$B26,'5 z-Transform'!$N$4:$N$11,TRUE())</f>
        <v/>
      </c>
      <c r="E26" s="17">
        <f>IF(C26=0,0,D26/C26)</f>
        <v/>
      </c>
      <c r="F26" s="16">
        <f>SUMIF('1 DTFT + DFT'!$B$4:$B$5,$B26,'1 DTFT + DFT'!$H$4:$H$5)+SUMIF('2 FFT'!$B$4:$B$9,$B26,'2 FFT'!$H$4:$H$9)+SUMIF('3 Sampling'!$B$4:$B$32,$B26,'3 Sampling'!$H$4:$H$32)+SUMIF('4 Laplace'!$B$4:$B$58,$B26,'4 Laplace'!$H$4:$H$58)+SUMIF('5 z-Transform'!$B$4:$B$11,$B26,'5 z-Transform'!$H$4:$H$11)</f>
        <v/>
      </c>
    </row>
    <row r="27">
      <c r="A27" s="16" t="n">
        <v>14</v>
      </c>
      <c r="B27" s="16" t="inlineStr">
        <is>
          <t>2010-11</t>
        </is>
      </c>
      <c r="C27" s="16">
        <f>COUNTIF('1 DTFT + DFT'!$B$4:$B$5,$B27)+COUNTIF('2 FFT'!$B$4:$B$9,$B27)+COUNTIF('3 Sampling'!$B$4:$B$32,$B27)+COUNTIF('4 Laplace'!$B$4:$B$58,$B27)+COUNTIF('5 z-Transform'!$B$4:$B$11,$B27)</f>
        <v/>
      </c>
      <c r="D27" s="16">
        <f>COUNTIFS('1 DTFT + DFT'!$B$4:$B$5,$B27,'1 DTFT + DFT'!$N$4:$N$5,TRUE())+COUNTIFS('2 FFT'!$B$4:$B$9,$B27,'2 FFT'!$N$4:$N$9,TRUE())+COUNTIFS('3 Sampling'!$B$4:$B$32,$B27,'3 Sampling'!$N$4:$N$32,TRUE())+COUNTIFS('4 Laplace'!$B$4:$B$58,$B27,'4 Laplace'!$N$4:$N$58,TRUE())+COUNTIFS('5 z-Transform'!$B$4:$B$11,$B27,'5 z-Transform'!$N$4:$N$11,TRUE())</f>
        <v/>
      </c>
      <c r="E27" s="17">
        <f>IF(C27=0,0,D27/C27)</f>
        <v/>
      </c>
      <c r="F27" s="16">
        <f>SUMIF('1 DTFT + DFT'!$B$4:$B$5,$B27,'1 DTFT + DFT'!$H$4:$H$5)+SUMIF('2 FFT'!$B$4:$B$9,$B27,'2 FFT'!$H$4:$H$9)+SUMIF('3 Sampling'!$B$4:$B$32,$B27,'3 Sampling'!$H$4:$H$32)+SUMIF('4 Laplace'!$B$4:$B$58,$B27,'4 Laplace'!$H$4:$H$58)+SUMIF('5 z-Transform'!$B$4:$B$11,$B27,'5 z-Transform'!$H$4:$H$11)</f>
        <v/>
      </c>
    </row>
    <row r="28">
      <c r="B28" s="2" t="inlineStr">
        <is>
          <t>Shaded years = ★★★ High priority (2019-20 onward).</t>
        </is>
      </c>
    </row>
    <row r="29">
      <c r="B29" s="2" t="inlineStr">
        <is>
          <t>2023-24 CSE 219 pages are in 'CSE 219 (22 batch).pdf' (TF Page '22 batch p.N').</t>
        </is>
      </c>
    </row>
    <row r="30">
      <c r="B30" s="2" t="inlineStr">
        <is>
          <t>Section split: Anik Sir = signals, LTI, Fourier series/transform; Ashraf Sir = DFT/FFT, sampling, Laplace, z.</t>
        </is>
      </c>
    </row>
  </sheetData>
  <conditionalFormatting sqref="E5:E10">
    <cfRule type="dataBar" priority="1">
      <dataBar>
        <cfvo type="num" val="0"/>
        <cfvo type="num" val="1"/>
        <color rgb="0063BE7B"/>
      </dataBar>
    </cfRule>
  </conditionalFormatting>
  <conditionalFormatting sqref="E14:E2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"/>
  <sheetViews>
    <sheetView zoomScale="9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58" customWidth="1" min="5" max="5"/>
    <col width="40" customWidth="1" min="6" max="6"/>
    <col width="8" customWidth="1" min="7" max="7"/>
    <col width="7" customWidth="1" min="8" max="8"/>
    <col width="8" customWidth="1" min="9" max="9"/>
    <col width="12" customWidth="1" min="10" max="10"/>
    <col width="11" customWidth="1" min="11" max="11"/>
    <col width="11" customWidth="1" min="12" max="12"/>
    <col width="30" customWidth="1" min="13" max="13"/>
    <col width="7" customWidth="1" min="14" max="14"/>
    <col width="12" customWidth="1" min="15" max="15"/>
    <col width="11" customWidth="1" min="16" max="16"/>
    <col width="32" customWidth="1" min="17" max="17"/>
  </cols>
  <sheetData>
    <row r="1">
      <c r="A1" s="18" t="inlineStr">
        <is>
          <t>Lec 0–2 — DTFT, DFT, circular convolution</t>
        </is>
      </c>
    </row>
    <row r="2">
      <c r="A2" s="2" t="inlineStr">
        <is>
          <t>Note file: CSE219_Ashraf_DTFT_DFT_Notes.docx   ·   Solve after finishing the matching lesson. Filter Priority → ★★★ High first.</t>
        </is>
      </c>
    </row>
    <row r="3" ht="30" customHeight="1">
      <c r="A3" s="7" t="inlineStr">
        <is>
          <t>Q No.</t>
        </is>
      </c>
      <c r="B3" s="7" t="inlineStr">
        <is>
          <t>Year</t>
        </is>
      </c>
      <c r="C3" s="7" t="inlineStr">
        <is>
          <t>Course</t>
        </is>
      </c>
      <c r="D3" s="7" t="inlineStr">
        <is>
          <t>Ques No.</t>
        </is>
      </c>
      <c r="E3" s="7" t="inlineStr">
        <is>
          <t>Short Question</t>
        </is>
      </c>
      <c r="F3" s="7" t="inlineStr">
        <is>
          <t>Topic (slide PDF · slides)</t>
        </is>
      </c>
      <c r="G3" s="7" t="inlineStr">
        <is>
          <t>Lesson</t>
        </is>
      </c>
      <c r="H3" s="7" t="inlineStr">
        <is>
          <t>Marks</t>
        </is>
      </c>
      <c r="I3" s="7" t="inlineStr">
        <is>
          <t>TF Page</t>
        </is>
      </c>
      <c r="J3" s="7" t="inlineStr">
        <is>
          <t>Priority</t>
        </is>
      </c>
      <c r="K3" s="7" t="inlineStr">
        <is>
          <t>Type</t>
        </is>
      </c>
      <c r="L3" s="7" t="inlineStr">
        <is>
          <t>In Notes</t>
        </is>
      </c>
      <c r="M3" s="7" t="inlineStr">
        <is>
          <t>Same Type Also In</t>
        </is>
      </c>
      <c r="N3" s="7" t="inlineStr">
        <is>
          <t>Done</t>
        </is>
      </c>
      <c r="O3" s="7" t="inlineStr">
        <is>
          <t>Confidence</t>
        </is>
      </c>
      <c r="P3" s="7" t="inlineStr">
        <is>
          <t>Date</t>
        </is>
      </c>
      <c r="Q3" s="7" t="inlineStr">
        <is>
          <t>My Notes</t>
        </is>
      </c>
    </row>
    <row r="4">
      <c r="A4" s="19" t="n">
        <v>1</v>
      </c>
      <c r="B4" s="19" t="inlineStr">
        <is>
          <t>2016-17</t>
        </is>
      </c>
      <c r="C4" s="19" t="inlineStr">
        <is>
          <t>CSE 311</t>
        </is>
      </c>
      <c r="D4" s="19" t="inlineStr">
        <is>
          <t>3(a)</t>
        </is>
      </c>
      <c r="E4" s="20" t="inlineStr">
        <is>
          <t>Derive the DFT from G(f); f₀ = 1/T₀; compute a DFT; choosing T_s and T₀</t>
        </is>
      </c>
      <c r="F4" s="20" t="inlineStr">
        <is>
          <t>DTFT and DFT as samples — Lec 1, sl. 20–34</t>
        </is>
      </c>
      <c r="G4" s="19" t="inlineStr">
        <is>
          <t>L2</t>
        </is>
      </c>
      <c r="H4" s="19" t="n">
        <v>20</v>
      </c>
      <c r="I4" s="19" t="n">
        <v>25</v>
      </c>
      <c r="J4" s="21" t="inlineStr">
        <is>
          <t>★ Low</t>
        </is>
      </c>
      <c r="K4" s="19" t="inlineStr">
        <is>
          <t>Derivation</t>
        </is>
      </c>
      <c r="L4" s="21" t="inlineStr">
        <is>
          <t>✔ Solved</t>
        </is>
      </c>
      <c r="M4" s="20" t="inlineStr">
        <is>
          <t>—</t>
        </is>
      </c>
      <c r="N4" s="22" t="b">
        <v>0</v>
      </c>
      <c r="O4" s="19" t="n"/>
      <c r="P4" s="19" t="n"/>
      <c r="Q4" s="20" t="n"/>
    </row>
    <row r="5">
      <c r="A5" s="23" t="n">
        <v>2</v>
      </c>
      <c r="B5" s="23" t="inlineStr">
        <is>
          <t>2023-24</t>
        </is>
      </c>
      <c r="C5" s="23" t="inlineStr">
        <is>
          <t>CSE 219</t>
        </is>
      </c>
      <c r="D5" s="23" t="inlineStr">
        <is>
          <t>5(b)</t>
        </is>
      </c>
      <c r="E5" s="6" t="inlineStr">
        <is>
          <t>Linear convolution of {1,2} and {1,1} using the DFT</t>
        </is>
      </c>
      <c r="F5" s="6" t="inlineStr">
        <is>
          <t>Circular convolution, DFT filtering — Lec 2, sl. 13–23</t>
        </is>
      </c>
      <c r="G5" s="23" t="inlineStr">
        <is>
          <t>L4</t>
        </is>
      </c>
      <c r="H5" s="23" t="n">
        <v>10</v>
      </c>
      <c r="I5" s="23" t="inlineStr">
        <is>
          <t>22 batch p.3</t>
        </is>
      </c>
      <c r="J5" s="24" t="inlineStr">
        <is>
          <t>★★★ High</t>
        </is>
      </c>
      <c r="K5" s="23" t="inlineStr">
        <is>
          <t>Numerical</t>
        </is>
      </c>
      <c r="L5" s="21" t="inlineStr">
        <is>
          <t>✔ Solved</t>
        </is>
      </c>
      <c r="M5" s="6" t="inlineStr">
        <is>
          <t>—</t>
        </is>
      </c>
      <c r="N5" s="22" t="b">
        <v>0</v>
      </c>
      <c r="O5" s="23" t="n"/>
      <c r="P5" s="23" t="n"/>
      <c r="Q5" s="6" t="n"/>
    </row>
  </sheetData>
  <autoFilter ref="A3:Q5"/>
  <conditionalFormatting sqref="A4:Q5">
    <cfRule type="expression" priority="1" dxfId="0">
      <formula>$N4=TRUE</formula>
    </cfRule>
  </conditionalFormatting>
  <conditionalFormatting sqref="O4:O5">
    <cfRule type="cellIs" priority="2" operator="equal" dxfId="1">
      <formula>"Weak"</formula>
    </cfRule>
    <cfRule type="cellIs" priority="3" operator="equal" dxfId="2">
      <formula>"Strong"</formula>
    </cfRule>
  </conditionalFormatting>
  <dataValidations count="2">
    <dataValidation sqref="N4:N5" showDropDown="0" showInputMessage="0" showErrorMessage="0" allowBlank="1" type="list">
      <formula1>"TRUE,FALSE"</formula1>
    </dataValidation>
    <dataValidation sqref="O4:O5" showDropDown="0" showInputMessage="0" showErrorMessage="0" allowBlank="1" type="list">
      <formula1>"Weak,OK,Strong"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zoomScale="9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58" customWidth="1" min="5" max="5"/>
    <col width="40" customWidth="1" min="6" max="6"/>
    <col width="8" customWidth="1" min="7" max="7"/>
    <col width="7" customWidth="1" min="8" max="8"/>
    <col width="8" customWidth="1" min="9" max="9"/>
    <col width="12" customWidth="1" min="10" max="10"/>
    <col width="11" customWidth="1" min="11" max="11"/>
    <col width="11" customWidth="1" min="12" max="12"/>
    <col width="30" customWidth="1" min="13" max="13"/>
    <col width="7" customWidth="1" min="14" max="14"/>
    <col width="12" customWidth="1" min="15" max="15"/>
    <col width="11" customWidth="1" min="16" max="16"/>
    <col width="32" customWidth="1" min="17" max="17"/>
  </cols>
  <sheetData>
    <row r="1">
      <c r="A1" s="18" t="inlineStr">
        <is>
          <t>Lec 3–4 — Fast Fourier Transform</t>
        </is>
      </c>
    </row>
    <row r="2">
      <c r="A2" s="2" t="inlineStr">
        <is>
          <t>Note file: CSE219_Ashraf_FFT_Notes.docx   ·   Solve after finishing the matching lesson. Filter Priority → ★★★ High first.</t>
        </is>
      </c>
    </row>
    <row r="3" ht="30" customHeight="1">
      <c r="A3" s="7" t="inlineStr">
        <is>
          <t>Q No.</t>
        </is>
      </c>
      <c r="B3" s="7" t="inlineStr">
        <is>
          <t>Year</t>
        </is>
      </c>
      <c r="C3" s="7" t="inlineStr">
        <is>
          <t>Course</t>
        </is>
      </c>
      <c r="D3" s="7" t="inlineStr">
        <is>
          <t>Ques No.</t>
        </is>
      </c>
      <c r="E3" s="7" t="inlineStr">
        <is>
          <t>Short Question</t>
        </is>
      </c>
      <c r="F3" s="7" t="inlineStr">
        <is>
          <t>Topic (slide PDF · slides)</t>
        </is>
      </c>
      <c r="G3" s="7" t="inlineStr">
        <is>
          <t>Lesson</t>
        </is>
      </c>
      <c r="H3" s="7" t="inlineStr">
        <is>
          <t>Marks</t>
        </is>
      </c>
      <c r="I3" s="7" t="inlineStr">
        <is>
          <t>TF Page</t>
        </is>
      </c>
      <c r="J3" s="7" t="inlineStr">
        <is>
          <t>Priority</t>
        </is>
      </c>
      <c r="K3" s="7" t="inlineStr">
        <is>
          <t>Type</t>
        </is>
      </c>
      <c r="L3" s="7" t="inlineStr">
        <is>
          <t>In Notes</t>
        </is>
      </c>
      <c r="M3" s="7" t="inlineStr">
        <is>
          <t>Same Type Also In</t>
        </is>
      </c>
      <c r="N3" s="7" t="inlineStr">
        <is>
          <t>Done</t>
        </is>
      </c>
      <c r="O3" s="7" t="inlineStr">
        <is>
          <t>Confidence</t>
        </is>
      </c>
      <c r="P3" s="7" t="inlineStr">
        <is>
          <t>Date</t>
        </is>
      </c>
      <c r="Q3" s="7" t="inlineStr">
        <is>
          <t>My Notes</t>
        </is>
      </c>
    </row>
    <row r="4">
      <c r="A4" s="19" t="n">
        <v>1</v>
      </c>
      <c r="B4" s="19" t="inlineStr">
        <is>
          <t>2023-24</t>
        </is>
      </c>
      <c r="C4" s="19" t="inlineStr">
        <is>
          <t>CSE 219</t>
        </is>
      </c>
      <c r="D4" s="19" t="inlineStr">
        <is>
          <t>5(a)</t>
        </is>
      </c>
      <c r="E4" s="20" t="inlineStr">
        <is>
          <t>8-point DFT of {1,2,3,4,3,2} by radix-2 DIT FFT with all butterflies</t>
        </is>
      </c>
      <c r="F4" s="20" t="inlineStr">
        <is>
          <t>Radix-2 DIT FFT — Lec 3, sl. 4–15</t>
        </is>
      </c>
      <c r="G4" s="19" t="inlineStr">
        <is>
          <t>L5</t>
        </is>
      </c>
      <c r="H4" s="19" t="n">
        <v>15</v>
      </c>
      <c r="I4" s="19" t="inlineStr">
        <is>
          <t>22 batch p.3</t>
        </is>
      </c>
      <c r="J4" s="24" t="inlineStr">
        <is>
          <t>★★★ High</t>
        </is>
      </c>
      <c r="K4" s="19" t="inlineStr">
        <is>
          <t>Numerical</t>
        </is>
      </c>
      <c r="L4" s="21" t="inlineStr">
        <is>
          <t>✔ Solved</t>
        </is>
      </c>
      <c r="M4" s="20" t="inlineStr">
        <is>
          <t>2014-15 7(c) (CSE 311)</t>
        </is>
      </c>
      <c r="N4" s="22" t="b">
        <v>0</v>
      </c>
      <c r="O4" s="19" t="n"/>
      <c r="P4" s="19" t="n"/>
      <c r="Q4" s="20" t="n"/>
    </row>
    <row r="5">
      <c r="A5" s="19" t="n">
        <v>2</v>
      </c>
      <c r="B5" s="19" t="inlineStr">
        <is>
          <t>2022-23</t>
        </is>
      </c>
      <c r="C5" s="19" t="inlineStr">
        <is>
          <t>CSE 219</t>
        </is>
      </c>
      <c r="D5" s="19" t="inlineStr">
        <is>
          <t>4(c)</t>
        </is>
      </c>
      <c r="E5" s="20" t="inlineStr">
        <is>
          <t>Compare computational complexity of direct DFT and radix-2 FFT</t>
        </is>
      </c>
      <c r="F5" s="20" t="inlineStr">
        <is>
          <t>Radix-2 DIT FFT — Lec 3, sl. 4–15</t>
        </is>
      </c>
      <c r="G5" s="19" t="inlineStr">
        <is>
          <t>L5</t>
        </is>
      </c>
      <c r="H5" s="19" t="n">
        <v>15</v>
      </c>
      <c r="I5" s="19" t="n">
        <v>2</v>
      </c>
      <c r="J5" s="24" t="inlineStr">
        <is>
          <t>★★★ High</t>
        </is>
      </c>
      <c r="K5" s="19" t="inlineStr">
        <is>
          <t>Theory</t>
        </is>
      </c>
      <c r="L5" s="21" t="inlineStr">
        <is>
          <t>✔ Solved</t>
        </is>
      </c>
      <c r="M5" s="20" t="inlineStr">
        <is>
          <t>—</t>
        </is>
      </c>
      <c r="N5" s="22" t="b">
        <v>0</v>
      </c>
      <c r="O5" s="19" t="n"/>
      <c r="P5" s="19" t="n"/>
      <c r="Q5" s="20" t="n"/>
    </row>
    <row r="6">
      <c r="A6" s="19" t="n">
        <v>3</v>
      </c>
      <c r="B6" s="19" t="inlineStr">
        <is>
          <t>2014-15</t>
        </is>
      </c>
      <c r="C6" s="19" t="inlineStr">
        <is>
          <t>CSE 311</t>
        </is>
      </c>
      <c r="D6" s="19" t="inlineStr">
        <is>
          <t>7(c)</t>
        </is>
      </c>
      <c r="E6" s="20" t="inlineStr">
        <is>
          <t>Recurrence relationship of the FFT</t>
        </is>
      </c>
      <c r="F6" s="20" t="inlineStr">
        <is>
          <t>Radix-2 DIT FFT — Lec 3, sl. 4–15</t>
        </is>
      </c>
      <c r="G6" s="19" t="inlineStr">
        <is>
          <t>L5</t>
        </is>
      </c>
      <c r="H6" s="19" t="n">
        <v>15</v>
      </c>
      <c r="I6" s="19" t="n">
        <v>31</v>
      </c>
      <c r="J6" s="25" t="inlineStr">
        <is>
          <t>★★ Medium</t>
        </is>
      </c>
      <c r="K6" s="19" t="inlineStr">
        <is>
          <t>Derivation</t>
        </is>
      </c>
      <c r="L6" s="21" t="inlineStr">
        <is>
          <t>✔ Solved</t>
        </is>
      </c>
      <c r="M6" s="20" t="inlineStr">
        <is>
          <t>2023-24 5(a)</t>
        </is>
      </c>
      <c r="N6" s="22" t="b">
        <v>0</v>
      </c>
      <c r="O6" s="19" t="n"/>
      <c r="P6" s="19" t="n"/>
      <c r="Q6" s="20" t="n"/>
    </row>
    <row r="7">
      <c r="A7" s="23" t="n">
        <v>4</v>
      </c>
      <c r="B7" s="23" t="inlineStr">
        <is>
          <t>2017-18</t>
        </is>
      </c>
      <c r="C7" s="23" t="inlineStr">
        <is>
          <t>CSE 311</t>
        </is>
      </c>
      <c r="D7" s="23" t="inlineStr">
        <is>
          <t>3(b)</t>
        </is>
      </c>
      <c r="E7" s="6" t="inlineStr">
        <is>
          <t>DIF FFT formulation; 8-point signal-flow graph; bit-reversed outputs</t>
        </is>
      </c>
      <c r="F7" s="6" t="inlineStr">
        <is>
          <t>Radix-2 DIF FFT — Lec 3, sl. 16–18</t>
        </is>
      </c>
      <c r="G7" s="23" t="inlineStr">
        <is>
          <t>L6</t>
        </is>
      </c>
      <c r="H7" s="23" t="n">
        <v>24</v>
      </c>
      <c r="I7" s="23" t="n">
        <v>22</v>
      </c>
      <c r="J7" s="21" t="inlineStr">
        <is>
          <t>★ Low</t>
        </is>
      </c>
      <c r="K7" s="23" t="inlineStr">
        <is>
          <t>Derivation</t>
        </is>
      </c>
      <c r="L7" s="21" t="inlineStr">
        <is>
          <t>✔ Solved</t>
        </is>
      </c>
      <c r="M7" s="6" t="inlineStr">
        <is>
          <t>—</t>
        </is>
      </c>
      <c r="N7" s="22" t="b">
        <v>0</v>
      </c>
      <c r="O7" s="23" t="n"/>
      <c r="P7" s="23" t="n"/>
      <c r="Q7" s="6" t="n"/>
    </row>
    <row r="8">
      <c r="A8" s="19" t="n">
        <v>5</v>
      </c>
      <c r="B8" s="19" t="inlineStr">
        <is>
          <t>2023-24</t>
        </is>
      </c>
      <c r="C8" s="19" t="inlineStr">
        <is>
          <t>CSE 219</t>
        </is>
      </c>
      <c r="D8" s="19" t="inlineStr">
        <is>
          <t>7(a)</t>
        </is>
      </c>
      <c r="E8" s="20" t="inlineStr">
        <is>
          <t>2×4 Cooley–Tukey (matrix) DFT of {1,2,3,4,9,0,7,8}, steps i–iii</t>
        </is>
      </c>
      <c r="F8" s="20" t="inlineStr">
        <is>
          <t>Matrix (Cooley–Tukey/Bailey) FFT — Lec 4, sl. 5–14</t>
        </is>
      </c>
      <c r="G8" s="19" t="inlineStr">
        <is>
          <t>L7</t>
        </is>
      </c>
      <c r="H8" s="19" t="n">
        <v>15</v>
      </c>
      <c r="I8" s="19" t="inlineStr">
        <is>
          <t>22 batch p.4</t>
        </is>
      </c>
      <c r="J8" s="24" t="inlineStr">
        <is>
          <t>★★★ High</t>
        </is>
      </c>
      <c r="K8" s="19" t="inlineStr">
        <is>
          <t>Numerical</t>
        </is>
      </c>
      <c r="L8" s="21" t="inlineStr">
        <is>
          <t>✔ Solved</t>
        </is>
      </c>
      <c r="M8" s="20" t="inlineStr">
        <is>
          <t>—</t>
        </is>
      </c>
      <c r="N8" s="22" t="b">
        <v>0</v>
      </c>
      <c r="O8" s="19" t="n"/>
      <c r="P8" s="19" t="n"/>
      <c r="Q8" s="20" t="n"/>
    </row>
    <row r="9">
      <c r="A9" s="23" t="n">
        <v>6</v>
      </c>
      <c r="B9" s="23" t="inlineStr">
        <is>
          <t>2023-24</t>
        </is>
      </c>
      <c r="C9" s="23" t="inlineStr">
        <is>
          <t>CSE 219</t>
        </is>
      </c>
      <c r="D9" s="23" t="inlineStr">
        <is>
          <t>7(b)</t>
        </is>
      </c>
      <c r="E9" s="6" t="inlineStr">
        <is>
          <t>Chirp-z (Bluestein) derivation; why padding M ≥ 2N−1</t>
        </is>
      </c>
      <c r="F9" s="6" t="inlineStr">
        <is>
          <t>Fast convolution, Bluestein — Lec 4, sl. 16–22</t>
        </is>
      </c>
      <c r="G9" s="23" t="inlineStr">
        <is>
          <t>L8</t>
        </is>
      </c>
      <c r="H9" s="23" t="n">
        <v>10</v>
      </c>
      <c r="I9" s="23" t="inlineStr">
        <is>
          <t>22 batch p.4</t>
        </is>
      </c>
      <c r="J9" s="24" t="inlineStr">
        <is>
          <t>★★★ High</t>
        </is>
      </c>
      <c r="K9" s="23" t="inlineStr">
        <is>
          <t>Derivation</t>
        </is>
      </c>
      <c r="L9" s="21" t="inlineStr">
        <is>
          <t>✔ Solved</t>
        </is>
      </c>
      <c r="M9" s="6" t="inlineStr">
        <is>
          <t>—</t>
        </is>
      </c>
      <c r="N9" s="22" t="b">
        <v>0</v>
      </c>
      <c r="O9" s="23" t="n"/>
      <c r="P9" s="23" t="n"/>
      <c r="Q9" s="6" t="n"/>
    </row>
  </sheetData>
  <autoFilter ref="A3:Q9"/>
  <conditionalFormatting sqref="A4:Q9">
    <cfRule type="expression" priority="1" dxfId="0">
      <formula>$N4=TRUE</formula>
    </cfRule>
  </conditionalFormatting>
  <conditionalFormatting sqref="O4:O9">
    <cfRule type="cellIs" priority="2" operator="equal" dxfId="1">
      <formula>"Weak"</formula>
    </cfRule>
    <cfRule type="cellIs" priority="3" operator="equal" dxfId="2">
      <formula>"Strong"</formula>
    </cfRule>
  </conditionalFormatting>
  <dataValidations count="2">
    <dataValidation sqref="N4:N9" showDropDown="0" showInputMessage="0" showErrorMessage="0" allowBlank="1" type="list">
      <formula1>"TRUE,FALSE"</formula1>
    </dataValidation>
    <dataValidation sqref="O4:O9" showDropDown="0" showInputMessage="0" showErrorMessage="0" allowBlank="1" type="list">
      <formula1>"Weak,OK,Strong"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2"/>
  <sheetViews>
    <sheetView zoomScale="9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58" customWidth="1" min="5" max="5"/>
    <col width="40" customWidth="1" min="6" max="6"/>
    <col width="8" customWidth="1" min="7" max="7"/>
    <col width="7" customWidth="1" min="8" max="8"/>
    <col width="8" customWidth="1" min="9" max="9"/>
    <col width="12" customWidth="1" min="10" max="10"/>
    <col width="11" customWidth="1" min="11" max="11"/>
    <col width="11" customWidth="1" min="12" max="12"/>
    <col width="30" customWidth="1" min="13" max="13"/>
    <col width="7" customWidth="1" min="14" max="14"/>
    <col width="12" customWidth="1" min="15" max="15"/>
    <col width="11" customWidth="1" min="16" max="16"/>
    <col width="32" customWidth="1" min="17" max="17"/>
  </cols>
  <sheetData>
    <row r="1">
      <c r="A1" s="18" t="inlineStr">
        <is>
          <t>Lec 5 — Sampling and reconstruction</t>
        </is>
      </c>
    </row>
    <row r="2">
      <c r="A2" s="2" t="inlineStr">
        <is>
          <t>Note file: CSE219_Ashraf_Sampling_Notes.docx   ·   Solve after finishing the matching lesson. Filter Priority → ★★★ High first.</t>
        </is>
      </c>
    </row>
    <row r="3" ht="30" customHeight="1">
      <c r="A3" s="7" t="inlineStr">
        <is>
          <t>Q No.</t>
        </is>
      </c>
      <c r="B3" s="7" t="inlineStr">
        <is>
          <t>Year</t>
        </is>
      </c>
      <c r="C3" s="7" t="inlineStr">
        <is>
          <t>Course</t>
        </is>
      </c>
      <c r="D3" s="7" t="inlineStr">
        <is>
          <t>Ques No.</t>
        </is>
      </c>
      <c r="E3" s="7" t="inlineStr">
        <is>
          <t>Short Question</t>
        </is>
      </c>
      <c r="F3" s="7" t="inlineStr">
        <is>
          <t>Topic (slide PDF · slides)</t>
        </is>
      </c>
      <c r="G3" s="7" t="inlineStr">
        <is>
          <t>Lesson</t>
        </is>
      </c>
      <c r="H3" s="7" t="inlineStr">
        <is>
          <t>Marks</t>
        </is>
      </c>
      <c r="I3" s="7" t="inlineStr">
        <is>
          <t>TF Page</t>
        </is>
      </c>
      <c r="J3" s="7" t="inlineStr">
        <is>
          <t>Priority</t>
        </is>
      </c>
      <c r="K3" s="7" t="inlineStr">
        <is>
          <t>Type</t>
        </is>
      </c>
      <c r="L3" s="7" t="inlineStr">
        <is>
          <t>In Notes</t>
        </is>
      </c>
      <c r="M3" s="7" t="inlineStr">
        <is>
          <t>Same Type Also In</t>
        </is>
      </c>
      <c r="N3" s="7" t="inlineStr">
        <is>
          <t>Done</t>
        </is>
      </c>
      <c r="O3" s="7" t="inlineStr">
        <is>
          <t>Confidence</t>
        </is>
      </c>
      <c r="P3" s="7" t="inlineStr">
        <is>
          <t>Date</t>
        </is>
      </c>
      <c r="Q3" s="7" t="inlineStr">
        <is>
          <t>My Notes</t>
        </is>
      </c>
    </row>
    <row r="4">
      <c r="A4" s="19" t="n">
        <v>1</v>
      </c>
      <c r="B4" s="19" t="inlineStr">
        <is>
          <t>2019-20</t>
        </is>
      </c>
      <c r="C4" s="19" t="inlineStr">
        <is>
          <t>CSE 311</t>
        </is>
      </c>
      <c r="D4" s="19" t="inlineStr">
        <is>
          <t>3</t>
        </is>
      </c>
      <c r="E4" s="20" t="inlineStr">
        <is>
          <t>FT of 2B sinc(2πBt) / B sinc²(πBt); spectrum when sampled at 1.5× Nyquist; general sampled spectrum</t>
        </is>
      </c>
      <c r="F4" s="20" t="inlineStr">
        <is>
          <t>Impulse-train sampling spectrum — Lec 5, sl. 4–17</t>
        </is>
      </c>
      <c r="G4" s="19" t="inlineStr">
        <is>
          <t>L9</t>
        </is>
      </c>
      <c r="H4" s="19" t="n">
        <v>35</v>
      </c>
      <c r="I4" s="19" t="n">
        <v>15</v>
      </c>
      <c r="J4" s="24" t="inlineStr">
        <is>
          <t>★★★ High</t>
        </is>
      </c>
      <c r="K4" s="19" t="inlineStr">
        <is>
          <t>Numerical</t>
        </is>
      </c>
      <c r="L4" s="26" t="inlineStr">
        <is>
          <t>◐ Method</t>
        </is>
      </c>
      <c r="M4" s="20" t="inlineStr">
        <is>
          <t>2014-15 8(a) (CSE 311); 2019-20 7(b) (EEE); 2016-17 6(c) (EEE); 2013-14 8(a) (EEE); 2012-13 6(b) (EEE); 2011-12 2(b) (EEE); 2010-11 2(b) (EEE)</t>
        </is>
      </c>
      <c r="N4" s="22" t="b">
        <v>0</v>
      </c>
      <c r="O4" s="19" t="n"/>
      <c r="P4" s="19" t="n"/>
      <c r="Q4" s="20" t="n"/>
    </row>
    <row r="5">
      <c r="A5" s="19" t="n">
        <v>2</v>
      </c>
      <c r="B5" s="19" t="inlineStr">
        <is>
          <t>2019-20</t>
        </is>
      </c>
      <c r="C5" s="19" t="inlineStr">
        <is>
          <t>EEE 211</t>
        </is>
      </c>
      <c r="D5" s="19" t="inlineStr">
        <is>
          <t>7(b)</t>
        </is>
      </c>
      <c r="E5" s="20" t="inlineStr">
        <is>
          <t>x = sin(ω_Bt/2)/(πt) × Σδ(t−nπ/ω_B) → h = sin(3ω_Bt/2)/(πt): y(t)</t>
        </is>
      </c>
      <c r="F5" s="20" t="inlineStr">
        <is>
          <t>Impulse-train sampling spectrum — Lec 5, sl. 4–17</t>
        </is>
      </c>
      <c r="G5" s="19" t="inlineStr">
        <is>
          <t>L9</t>
        </is>
      </c>
      <c r="H5" s="19" t="n">
        <v>20</v>
      </c>
      <c r="I5" s="19" t="inlineStr">
        <is>
          <t>EEE p.25</t>
        </is>
      </c>
      <c r="J5" s="24" t="inlineStr">
        <is>
          <t>★★★ High</t>
        </is>
      </c>
      <c r="K5" s="19" t="inlineStr">
        <is>
          <t>Numerical</t>
        </is>
      </c>
      <c r="L5" s="21" t="inlineStr">
        <is>
          <t>✔ Solved</t>
        </is>
      </c>
      <c r="M5" s="20" t="inlineStr">
        <is>
          <t>2019-20 3 (CSE 311); 2014-15 8(a) (CSE 311); 2016-17 6(c) (EEE); 2013-14 8(a) (EEE); 2012-13 6(b) (EEE); 2011-12 2(b) (EEE); 2010-11 2(b) (EEE)</t>
        </is>
      </c>
      <c r="N5" s="22" t="b">
        <v>0</v>
      </c>
      <c r="O5" s="19" t="n"/>
      <c r="P5" s="19" t="n"/>
      <c r="Q5" s="20" t="n"/>
    </row>
    <row r="6">
      <c r="A6" s="19" t="n">
        <v>3</v>
      </c>
      <c r="B6" s="19" t="inlineStr">
        <is>
          <t>2019-20</t>
        </is>
      </c>
      <c r="C6" s="19" t="inlineStr">
        <is>
          <t>EEE 211</t>
        </is>
      </c>
      <c r="D6" s="19" t="inlineStr">
        <is>
          <t>8(a)</t>
        </is>
      </c>
      <c r="E6" s="20" t="inlineStr">
        <is>
          <t>FT of an impulse train is an impulse train</t>
        </is>
      </c>
      <c r="F6" s="20" t="inlineStr">
        <is>
          <t>Impulse-train sampling spectrum — Lec 5, sl. 4–17</t>
        </is>
      </c>
      <c r="G6" s="19" t="inlineStr">
        <is>
          <t>L9</t>
        </is>
      </c>
      <c r="H6" s="19" t="n">
        <v>15</v>
      </c>
      <c r="I6" s="19" t="inlineStr">
        <is>
          <t>EEE p.25–26</t>
        </is>
      </c>
      <c r="J6" s="24" t="inlineStr">
        <is>
          <t>★★★ High</t>
        </is>
      </c>
      <c r="K6" s="19" t="inlineStr">
        <is>
          <t>Derivation</t>
        </is>
      </c>
      <c r="L6" s="21" t="inlineStr">
        <is>
          <t>✔ Solved</t>
        </is>
      </c>
      <c r="M6" s="20" t="inlineStr">
        <is>
          <t>2018-19 3(a) (EEE)</t>
        </is>
      </c>
      <c r="N6" s="22" t="b">
        <v>0</v>
      </c>
      <c r="O6" s="19" t="n"/>
      <c r="P6" s="19" t="n"/>
      <c r="Q6" s="20" t="n"/>
    </row>
    <row r="7">
      <c r="A7" s="19" t="n">
        <v>4</v>
      </c>
      <c r="B7" s="19" t="inlineStr">
        <is>
          <t>2018-19</t>
        </is>
      </c>
      <c r="C7" s="19" t="inlineStr">
        <is>
          <t>EEE 211</t>
        </is>
      </c>
      <c r="D7" s="19" t="inlineStr">
        <is>
          <t>3(a)</t>
        </is>
      </c>
      <c r="E7" s="20" t="inlineStr">
        <is>
          <t>FT of an impulse train is an impulse train; sketch both</t>
        </is>
      </c>
      <c r="F7" s="20" t="inlineStr">
        <is>
          <t>Impulse-train sampling spectrum — Lec 5, sl. 4–17</t>
        </is>
      </c>
      <c r="G7" s="19" t="inlineStr">
        <is>
          <t>L9</t>
        </is>
      </c>
      <c r="H7" s="19" t="n">
        <v>10</v>
      </c>
      <c r="I7" s="19" t="inlineStr">
        <is>
          <t>EEE p.28</t>
        </is>
      </c>
      <c r="J7" s="25" t="inlineStr">
        <is>
          <t>★★ Medium</t>
        </is>
      </c>
      <c r="K7" s="19" t="inlineStr">
        <is>
          <t>Derivation</t>
        </is>
      </c>
      <c r="L7" s="21" t="inlineStr">
        <is>
          <t>✔ Solved</t>
        </is>
      </c>
      <c r="M7" s="20" t="inlineStr">
        <is>
          <t>2019-20 8(a) (EEE)</t>
        </is>
      </c>
      <c r="N7" s="22" t="b">
        <v>0</v>
      </c>
      <c r="O7" s="19" t="n"/>
      <c r="P7" s="19" t="n"/>
      <c r="Q7" s="20" t="n"/>
    </row>
    <row r="8">
      <c r="A8" s="19" t="n">
        <v>5</v>
      </c>
      <c r="B8" s="19" t="inlineStr">
        <is>
          <t>2016-17</t>
        </is>
      </c>
      <c r="C8" s="19" t="inlineStr">
        <is>
          <t>EEE 211</t>
        </is>
      </c>
      <c r="D8" s="19" t="inlineStr">
        <is>
          <t>6(c)</t>
        </is>
      </c>
      <c r="E8" s="20" t="inlineStr">
        <is>
          <t>x·p (impulse train nπ/ω_B) → h = sin(3ω_Bt/2)/(πt): spectra p, z, h, y</t>
        </is>
      </c>
      <c r="F8" s="20" t="inlineStr">
        <is>
          <t>Impulse-train sampling spectrum — Lec 5, sl. 4–17</t>
        </is>
      </c>
      <c r="G8" s="19" t="inlineStr">
        <is>
          <t>L9</t>
        </is>
      </c>
      <c r="H8" s="19" t="n">
        <v>12</v>
      </c>
      <c r="I8" s="19" t="inlineStr">
        <is>
          <t>EEE p.40</t>
        </is>
      </c>
      <c r="J8" s="25" t="inlineStr">
        <is>
          <t>★★ Medium</t>
        </is>
      </c>
      <c r="K8" s="19" t="inlineStr">
        <is>
          <t>Sketch</t>
        </is>
      </c>
      <c r="L8" s="26" t="inlineStr">
        <is>
          <t>◐ Method</t>
        </is>
      </c>
      <c r="M8" s="20" t="inlineStr">
        <is>
          <t>2019-20 3 (CSE 311); 2014-15 8(a) (CSE 311); 2019-20 7(b) (EEE); 2013-14 8(a) (EEE); 2012-13 6(b) (EEE); 2011-12 2(b) (EEE); 2010-11 2(b) (EEE)</t>
        </is>
      </c>
      <c r="N8" s="22" t="b">
        <v>0</v>
      </c>
      <c r="O8" s="19" t="n"/>
      <c r="P8" s="19" t="n"/>
      <c r="Q8" s="20" t="n"/>
    </row>
    <row r="9">
      <c r="A9" s="19" t="n">
        <v>6</v>
      </c>
      <c r="B9" s="19" t="inlineStr">
        <is>
          <t>2014-15</t>
        </is>
      </c>
      <c r="C9" s="19" t="inlineStr">
        <is>
          <t>CSE 311</t>
        </is>
      </c>
      <c r="D9" s="19" t="inlineStr">
        <is>
          <t>8(a)</t>
        </is>
      </c>
      <c r="E9" s="20" t="inlineStr">
        <is>
          <t>FT of an impulse-sampled signal; sampling theorem</t>
        </is>
      </c>
      <c r="F9" s="20" t="inlineStr">
        <is>
          <t>Impulse-train sampling spectrum — Lec 5, sl. 4–17</t>
        </is>
      </c>
      <c r="G9" s="19" t="inlineStr">
        <is>
          <t>L9</t>
        </is>
      </c>
      <c r="H9" s="19" t="n">
        <v>15</v>
      </c>
      <c r="I9" s="19" t="n">
        <v>32</v>
      </c>
      <c r="J9" s="25" t="inlineStr">
        <is>
          <t>★★ Medium</t>
        </is>
      </c>
      <c r="K9" s="19" t="inlineStr">
        <is>
          <t>Derivation</t>
        </is>
      </c>
      <c r="L9" s="21" t="inlineStr">
        <is>
          <t>✔ Solved</t>
        </is>
      </c>
      <c r="M9" s="20" t="inlineStr">
        <is>
          <t>2019-20 3 (CSE 311); 2019-20 7(b) (EEE); 2016-17 6(c) (EEE); 2013-14 8(a) (EEE); 2012-13 6(b) (EEE); 2011-12 2(b) (EEE); 2010-11 2(b) (EEE)</t>
        </is>
      </c>
      <c r="N9" s="22" t="b">
        <v>0</v>
      </c>
      <c r="O9" s="19" t="n"/>
      <c r="P9" s="19" t="n"/>
      <c r="Q9" s="20" t="n"/>
    </row>
    <row r="10">
      <c r="A10" s="19" t="n">
        <v>7</v>
      </c>
      <c r="B10" s="19" t="inlineStr">
        <is>
          <t>2013-14</t>
        </is>
      </c>
      <c r="C10" s="19" t="inlineStr">
        <is>
          <t>EEE 301</t>
        </is>
      </c>
      <c r="D10" s="19" t="inlineStr">
        <is>
          <t>8(a)</t>
        </is>
      </c>
      <c r="E10" s="20" t="inlineStr">
        <is>
          <t>Impulse sampling (T = 1/8 ms) of a 5 kHz signal, filter: P, X_s, Y; recoverable?</t>
        </is>
      </c>
      <c r="F10" s="20" t="inlineStr">
        <is>
          <t>Impulse-train sampling spectrum — Lec 5, sl. 4–17</t>
        </is>
      </c>
      <c r="G10" s="19" t="inlineStr">
        <is>
          <t>L9</t>
        </is>
      </c>
      <c r="H10" s="19" t="n">
        <v>17</v>
      </c>
      <c r="I10" s="19" t="inlineStr">
        <is>
          <t>EEE p.54</t>
        </is>
      </c>
      <c r="J10" s="25" t="inlineStr">
        <is>
          <t>★★ Medium</t>
        </is>
      </c>
      <c r="K10" s="19" t="inlineStr">
        <is>
          <t>Sketch</t>
        </is>
      </c>
      <c r="L10" s="26" t="inlineStr">
        <is>
          <t>◐ Method</t>
        </is>
      </c>
      <c r="M10" s="20" t="inlineStr">
        <is>
          <t>2019-20 3 (CSE 311); 2014-15 8(a) (CSE 311); 2019-20 7(b) (EEE); 2016-17 6(c) (EEE); 2012-13 6(b) (EEE); 2011-12 2(b) (EEE); 2010-11 2(b) (EEE)</t>
        </is>
      </c>
      <c r="N10" s="22" t="b">
        <v>0</v>
      </c>
      <c r="O10" s="19" t="n"/>
      <c r="P10" s="19" t="n"/>
      <c r="Q10" s="20" t="n"/>
    </row>
    <row r="11">
      <c r="A11" s="19" t="n">
        <v>8</v>
      </c>
      <c r="B11" s="19" t="inlineStr">
        <is>
          <t>2012-13</t>
        </is>
      </c>
      <c r="C11" s="19" t="inlineStr">
        <is>
          <t>EEE 301</t>
        </is>
      </c>
      <c r="D11" s="19" t="inlineStr">
        <is>
          <t>6(b)</t>
        </is>
      </c>
      <c r="E11" s="20" t="inlineStr">
        <is>
          <t>Sampler → h → squarer: X, P, Z, H, Y, S</t>
        </is>
      </c>
      <c r="F11" s="20" t="inlineStr">
        <is>
          <t>Impulse-train sampling spectrum — Lec 5, sl. 4–17</t>
        </is>
      </c>
      <c r="G11" s="19" t="inlineStr">
        <is>
          <t>L9</t>
        </is>
      </c>
      <c r="H11" s="19" t="n">
        <v>15</v>
      </c>
      <c r="I11" s="19" t="inlineStr">
        <is>
          <t>EEE p.57, 59</t>
        </is>
      </c>
      <c r="J11" s="25" t="inlineStr">
        <is>
          <t>★★ Medium</t>
        </is>
      </c>
      <c r="K11" s="19" t="inlineStr">
        <is>
          <t>Sketch</t>
        </is>
      </c>
      <c r="L11" s="26" t="inlineStr">
        <is>
          <t>◐ Method</t>
        </is>
      </c>
      <c r="M11" s="20" t="inlineStr">
        <is>
          <t>2019-20 3 (CSE 311); 2014-15 8(a) (CSE 311); 2019-20 7(b) (EEE); 2016-17 6(c) (EEE); 2013-14 8(a) (EEE); 2011-12 2(b) (EEE); 2010-11 2(b) (EEE)</t>
        </is>
      </c>
      <c r="N11" s="22" t="b">
        <v>0</v>
      </c>
      <c r="O11" s="19" t="n"/>
      <c r="P11" s="19" t="n"/>
      <c r="Q11" s="20" t="n"/>
    </row>
    <row r="12">
      <c r="A12" s="19" t="n">
        <v>9</v>
      </c>
      <c r="B12" s="19" t="inlineStr">
        <is>
          <t>2011-12</t>
        </is>
      </c>
      <c r="C12" s="19" t="inlineStr">
        <is>
          <t>EEE 301</t>
        </is>
      </c>
      <c r="D12" s="19" t="inlineStr">
        <is>
          <t>2(b)</t>
        </is>
      </c>
      <c r="E12" s="20" t="inlineStr">
        <is>
          <t>Alternating-sign impulse train sampling: recovery system; X_p, Y</t>
        </is>
      </c>
      <c r="F12" s="20" t="inlineStr">
        <is>
          <t>Impulse-train sampling spectrum — Lec 5, sl. 4–17</t>
        </is>
      </c>
      <c r="G12" s="19" t="inlineStr">
        <is>
          <t>L9</t>
        </is>
      </c>
      <c r="H12" s="19" t="n">
        <v>18</v>
      </c>
      <c r="I12" s="19" t="inlineStr">
        <is>
          <t>EEE p.61</t>
        </is>
      </c>
      <c r="J12" s="25" t="inlineStr">
        <is>
          <t>★★ Medium</t>
        </is>
      </c>
      <c r="K12" s="19" t="inlineStr">
        <is>
          <t>Sketch</t>
        </is>
      </c>
      <c r="L12" s="26" t="inlineStr">
        <is>
          <t>◐ Method</t>
        </is>
      </c>
      <c r="M12" s="20" t="inlineStr">
        <is>
          <t>2019-20 3 (CSE 311); 2014-15 8(a) (CSE 311); 2019-20 7(b) (EEE); 2016-17 6(c) (EEE); 2013-14 8(a) (EEE); 2012-13 6(b) (EEE); 2010-11 2(b) (EEE)</t>
        </is>
      </c>
      <c r="N12" s="22" t="b">
        <v>0</v>
      </c>
      <c r="O12" s="19" t="n"/>
      <c r="P12" s="19" t="n"/>
      <c r="Q12" s="20" t="n"/>
    </row>
    <row r="13">
      <c r="A13" s="19" t="n">
        <v>10</v>
      </c>
      <c r="B13" s="19" t="inlineStr">
        <is>
          <t>2010-11</t>
        </is>
      </c>
      <c r="C13" s="19" t="inlineStr">
        <is>
          <t>EEE 301</t>
        </is>
      </c>
      <c r="D13" s="19" t="inlineStr">
        <is>
          <t>2(b)</t>
        </is>
      </c>
      <c r="E13" s="20" t="inlineStr">
        <is>
          <t>x = sin(ω_Bt/2)/(πt) × impulse train: X, P, X_s, h, H, Y</t>
        </is>
      </c>
      <c r="F13" s="20" t="inlineStr">
        <is>
          <t>Impulse-train sampling spectrum — Lec 5, sl. 4–17</t>
        </is>
      </c>
      <c r="G13" s="19" t="inlineStr">
        <is>
          <t>L9</t>
        </is>
      </c>
      <c r="H13" s="19" t="n">
        <v>15</v>
      </c>
      <c r="I13" s="19" t="inlineStr">
        <is>
          <t>EEE p.67</t>
        </is>
      </c>
      <c r="J13" s="25" t="inlineStr">
        <is>
          <t>★★ Medium</t>
        </is>
      </c>
      <c r="K13" s="19" t="inlineStr">
        <is>
          <t>Sketch</t>
        </is>
      </c>
      <c r="L13" s="26" t="inlineStr">
        <is>
          <t>◐ Method</t>
        </is>
      </c>
      <c r="M13" s="20" t="inlineStr">
        <is>
          <t>2019-20 3 (CSE 311); 2014-15 8(a) (CSE 311); 2019-20 7(b) (EEE); 2016-17 6(c) (EEE); 2013-14 8(a) (EEE); 2012-13 6(b) (EEE); 2011-12 2(b) (EEE)</t>
        </is>
      </c>
      <c r="N13" s="22" t="b">
        <v>0</v>
      </c>
      <c r="O13" s="19" t="n"/>
      <c r="P13" s="19" t="n"/>
      <c r="Q13" s="20" t="n"/>
    </row>
    <row r="14">
      <c r="A14" s="23" t="n">
        <v>11</v>
      </c>
      <c r="B14" s="23" t="inlineStr">
        <is>
          <t>2023-24</t>
        </is>
      </c>
      <c r="C14" s="23" t="inlineStr">
        <is>
          <t>CSE 219</t>
        </is>
      </c>
      <c r="D14" s="23" t="inlineStr">
        <is>
          <t>7(c)</t>
        </is>
      </c>
      <c r="E14" s="6" t="inlineStr">
        <is>
          <t>Nyquist–Shannon theorem; X_p(jω) satisfying/violating; why aliasing is irrecoverable</t>
        </is>
      </c>
      <c r="F14" s="6" t="inlineStr">
        <is>
          <t>Sampling theorem, aliasing — Lec 5, sl. 19–22</t>
        </is>
      </c>
      <c r="G14" s="23" t="inlineStr">
        <is>
          <t>L10</t>
        </is>
      </c>
      <c r="H14" s="23" t="n">
        <v>10</v>
      </c>
      <c r="I14" s="23" t="inlineStr">
        <is>
          <t>22 batch p.4</t>
        </is>
      </c>
      <c r="J14" s="24" t="inlineStr">
        <is>
          <t>★★★ High</t>
        </is>
      </c>
      <c r="K14" s="23" t="inlineStr">
        <is>
          <t>Theory</t>
        </is>
      </c>
      <c r="L14" s="21" t="inlineStr">
        <is>
          <t>✔ Solved</t>
        </is>
      </c>
      <c r="M14" s="6" t="inlineStr">
        <is>
          <t>2022-23 1(c); 2016-17 2(b) (CSE 311); 2013-14 2(a) (CSE 311); 2012-13 8(a) (CSE 311); 2018-19 3(b) (EEE); 2015-16 6(b) (EEE)</t>
        </is>
      </c>
      <c r="N14" s="22" t="b">
        <v>0</v>
      </c>
      <c r="O14" s="23" t="n"/>
      <c r="P14" s="23" t="n"/>
      <c r="Q14" s="6" t="n"/>
    </row>
    <row r="15">
      <c r="A15" s="23" t="n">
        <v>12</v>
      </c>
      <c r="B15" s="23" t="inlineStr">
        <is>
          <t>2022-23</t>
        </is>
      </c>
      <c r="C15" s="23" t="inlineStr">
        <is>
          <t>CSE 219</t>
        </is>
      </c>
      <c r="D15" s="23" t="inlineStr">
        <is>
          <t>1(c)</t>
        </is>
      </c>
      <c r="E15" s="6" t="inlineStr">
        <is>
          <t>Band-limited x(t), ω_s &gt; 2ω_M: show x(t) is uniquely determined by x(nT)</t>
        </is>
      </c>
      <c r="F15" s="6" t="inlineStr">
        <is>
          <t>Sampling theorem, aliasing — Lec 5, sl. 19–22</t>
        </is>
      </c>
      <c r="G15" s="23" t="inlineStr">
        <is>
          <t>L10</t>
        </is>
      </c>
      <c r="H15" s="23" t="n">
        <v>15</v>
      </c>
      <c r="I15" s="23" t="n">
        <v>1</v>
      </c>
      <c r="J15" s="24" t="inlineStr">
        <is>
          <t>★★★ High</t>
        </is>
      </c>
      <c r="K15" s="23" t="inlineStr">
        <is>
          <t>Proof</t>
        </is>
      </c>
      <c r="L15" s="21" t="inlineStr">
        <is>
          <t>✔ Solved</t>
        </is>
      </c>
      <c r="M15" s="6" t="inlineStr">
        <is>
          <t>2023-24 7(c); 2016-17 2(b) (CSE 311); 2013-14 2(a) (CSE 311); 2012-13 8(a) (CSE 311); 2018-19 3(b) (EEE); 2015-16 6(b) (EEE)</t>
        </is>
      </c>
      <c r="N15" s="22" t="b">
        <v>0</v>
      </c>
      <c r="O15" s="23" t="n"/>
      <c r="P15" s="23" t="n"/>
      <c r="Q15" s="6" t="n"/>
    </row>
    <row r="16">
      <c r="A16" s="23" t="n">
        <v>13</v>
      </c>
      <c r="B16" s="23" t="inlineStr">
        <is>
          <t>2022-23</t>
        </is>
      </c>
      <c r="C16" s="23" t="inlineStr">
        <is>
          <t>CSE 219</t>
        </is>
      </c>
      <c r="D16" s="23" t="inlineStr">
        <is>
          <t>4(b)</t>
        </is>
      </c>
      <c r="E16" s="6" t="inlineStr">
        <is>
          <t>X(e^{jω}) = 0 for 2π/9 ≤ |ω| ≤ π: lowest rate at which x[n] can be sampled (decimated)</t>
        </is>
      </c>
      <c r="F16" s="6" t="inlineStr">
        <is>
          <t>Sampling theorem, aliasing — Lec 5, sl. 19–22</t>
        </is>
      </c>
      <c r="G16" s="23" t="inlineStr">
        <is>
          <t>L10</t>
        </is>
      </c>
      <c r="H16" s="23" t="n">
        <v>10</v>
      </c>
      <c r="I16" s="23" t="n">
        <v>2</v>
      </c>
      <c r="J16" s="24" t="inlineStr">
        <is>
          <t>★★★ High</t>
        </is>
      </c>
      <c r="K16" s="23" t="inlineStr">
        <is>
          <t>Numerical</t>
        </is>
      </c>
      <c r="L16" s="21" t="inlineStr">
        <is>
          <t>✔ Solved</t>
        </is>
      </c>
      <c r="M16" s="6" t="inlineStr">
        <is>
          <t>—</t>
        </is>
      </c>
      <c r="N16" s="22" t="b">
        <v>0</v>
      </c>
      <c r="O16" s="23" t="n"/>
      <c r="P16" s="23" t="n"/>
      <c r="Q16" s="6" t="n"/>
    </row>
    <row r="17">
      <c r="A17" s="23" t="n">
        <v>14</v>
      </c>
      <c r="B17" s="23" t="inlineStr">
        <is>
          <t>2018-19</t>
        </is>
      </c>
      <c r="C17" s="23" t="inlineStr">
        <is>
          <t>CSE 311</t>
        </is>
      </c>
      <c r="D17" s="23" t="inlineStr">
        <is>
          <t>3(b)</t>
        </is>
      </c>
      <c r="E17" s="6" t="inlineStr">
        <is>
          <t>Cause of aliasing, its problems, how compensated</t>
        </is>
      </c>
      <c r="F17" s="6" t="inlineStr">
        <is>
          <t>Sampling theorem, aliasing — Lec 5, sl. 19–22</t>
        </is>
      </c>
      <c r="G17" s="23" t="inlineStr">
        <is>
          <t>L10</t>
        </is>
      </c>
      <c r="H17" s="23" t="n">
        <v>20</v>
      </c>
      <c r="I17" s="23" t="n">
        <v>18</v>
      </c>
      <c r="J17" s="25" t="inlineStr">
        <is>
          <t>★★ Medium</t>
        </is>
      </c>
      <c r="K17" s="23" t="inlineStr">
        <is>
          <t>Theory</t>
        </is>
      </c>
      <c r="L17" s="21" t="inlineStr">
        <is>
          <t>✔ Solved</t>
        </is>
      </c>
      <c r="M17" s="6" t="inlineStr">
        <is>
          <t>2020-21 3(a) (CSE 311); 2014-15 2(c) [L-3] (CSE 311); 2013-14 2(b) (CSE 311)</t>
        </is>
      </c>
      <c r="N17" s="22" t="b">
        <v>0</v>
      </c>
      <c r="O17" s="23" t="n"/>
      <c r="P17" s="23" t="n"/>
      <c r="Q17" s="6" t="n"/>
    </row>
    <row r="18">
      <c r="A18" s="23" t="n">
        <v>15</v>
      </c>
      <c r="B18" s="23" t="inlineStr">
        <is>
          <t>2018-19</t>
        </is>
      </c>
      <c r="C18" s="23" t="inlineStr">
        <is>
          <t>EEE 211</t>
        </is>
      </c>
      <c r="D18" s="23" t="inlineStr">
        <is>
          <t>3(b)</t>
        </is>
      </c>
      <c r="E18" s="6" t="inlineStr">
        <is>
          <t>FT of sin1000πt + cos1200πt; sampling period for no aliasing</t>
        </is>
      </c>
      <c r="F18" s="6" t="inlineStr">
        <is>
          <t>Sampling theorem, aliasing — Lec 5, sl. 19–22</t>
        </is>
      </c>
      <c r="G18" s="23" t="inlineStr">
        <is>
          <t>L10</t>
        </is>
      </c>
      <c r="H18" s="23" t="n">
        <v>10</v>
      </c>
      <c r="I18" s="23" t="inlineStr">
        <is>
          <t>EEE p.28</t>
        </is>
      </c>
      <c r="J18" s="25" t="inlineStr">
        <is>
          <t>★★ Medium</t>
        </is>
      </c>
      <c r="K18" s="23" t="inlineStr">
        <is>
          <t>Numerical</t>
        </is>
      </c>
      <c r="L18" s="21" t="inlineStr">
        <is>
          <t>✔ Solved</t>
        </is>
      </c>
      <c r="M18" s="6" t="inlineStr">
        <is>
          <t>2022-23 1(c); 2023-24 7(c); 2016-17 2(b) (CSE 311); 2013-14 2(a) (CSE 311); 2012-13 8(a) (CSE 311); 2015-16 6(b) (EEE)</t>
        </is>
      </c>
      <c r="N18" s="22" t="b">
        <v>0</v>
      </c>
      <c r="O18" s="23" t="n"/>
      <c r="P18" s="23" t="n"/>
      <c r="Q18" s="6" t="n"/>
    </row>
    <row r="19">
      <c r="A19" s="23" t="n">
        <v>16</v>
      </c>
      <c r="B19" s="23" t="inlineStr">
        <is>
          <t>2017-18</t>
        </is>
      </c>
      <c r="C19" s="23" t="inlineStr">
        <is>
          <t>EEE 211</t>
        </is>
      </c>
      <c r="D19" s="23" t="inlineStr">
        <is>
          <t>2(c)</t>
        </is>
      </c>
      <c r="E19" s="6" t="inlineStr">
        <is>
          <t>Natural sampling with a rectangular pulse train: spectrum; recoverable?</t>
        </is>
      </c>
      <c r="F19" s="6" t="inlineStr">
        <is>
          <t>Sampling theorem, aliasing — Lec 5, sl. 19–22</t>
        </is>
      </c>
      <c r="G19" s="23" t="inlineStr">
        <is>
          <t>L10</t>
        </is>
      </c>
      <c r="H19" s="23" t="n">
        <v>15</v>
      </c>
      <c r="I19" s="23" t="inlineStr">
        <is>
          <t>EEE p.33</t>
        </is>
      </c>
      <c r="J19" s="25" t="inlineStr">
        <is>
          <t>★★ Medium</t>
        </is>
      </c>
      <c r="K19" s="23" t="inlineStr">
        <is>
          <t>Numerical</t>
        </is>
      </c>
      <c r="L19" s="21" t="inlineStr">
        <is>
          <t>✔ Solved</t>
        </is>
      </c>
      <c r="M19" s="6" t="inlineStr">
        <is>
          <t>2014-15 6(b) (EEE)</t>
        </is>
      </c>
      <c r="N19" s="22" t="b">
        <v>0</v>
      </c>
      <c r="O19" s="23" t="n"/>
      <c r="P19" s="23" t="n"/>
      <c r="Q19" s="6" t="n"/>
    </row>
    <row r="20">
      <c r="A20" s="23" t="n">
        <v>17</v>
      </c>
      <c r="B20" s="23" t="inlineStr">
        <is>
          <t>2016-17</t>
        </is>
      </c>
      <c r="C20" s="23" t="inlineStr">
        <is>
          <t>CSE 311</t>
        </is>
      </c>
      <c r="D20" s="23" t="inlineStr">
        <is>
          <t>2(b)</t>
        </is>
      </c>
      <c r="E20" s="6" t="inlineStr">
        <is>
          <t>State &amp; prove the sampling theorem; anti-alias filter; why sample above Nyquist</t>
        </is>
      </c>
      <c r="F20" s="6" t="inlineStr">
        <is>
          <t>Sampling theorem, aliasing — Lec 5, sl. 19–22</t>
        </is>
      </c>
      <c r="G20" s="23" t="inlineStr">
        <is>
          <t>L10</t>
        </is>
      </c>
      <c r="H20" s="23" t="n">
        <v>16</v>
      </c>
      <c r="I20" s="23" t="n">
        <v>24</v>
      </c>
      <c r="J20" s="25" t="inlineStr">
        <is>
          <t>★★ Medium</t>
        </is>
      </c>
      <c r="K20" s="23" t="inlineStr">
        <is>
          <t>Proof</t>
        </is>
      </c>
      <c r="L20" s="21" t="inlineStr">
        <is>
          <t>✔ Solved</t>
        </is>
      </c>
      <c r="M20" s="6" t="inlineStr">
        <is>
          <t>2022-23 1(c); 2023-24 7(c); 2013-14 2(a) (CSE 311); 2012-13 8(a) (CSE 311); 2018-19 3(b) (EEE); 2015-16 6(b) (EEE)</t>
        </is>
      </c>
      <c r="N20" s="22" t="b">
        <v>0</v>
      </c>
      <c r="O20" s="23" t="n"/>
      <c r="P20" s="23" t="n"/>
      <c r="Q20" s="6" t="n"/>
    </row>
    <row r="21">
      <c r="A21" s="23" t="n">
        <v>18</v>
      </c>
      <c r="B21" s="23" t="inlineStr">
        <is>
          <t>2015-16</t>
        </is>
      </c>
      <c r="C21" s="23" t="inlineStr">
        <is>
          <t>EEE 301</t>
        </is>
      </c>
      <c r="D21" s="23" t="inlineStr">
        <is>
          <t>6(b)</t>
        </is>
      </c>
      <c r="E21" s="6" t="inlineStr">
        <is>
          <t>z = x·y (150 Hz, 350 Hz): max T_s; spectra for T_s = 0.5 ms, 2 ms</t>
        </is>
      </c>
      <c r="F21" s="6" t="inlineStr">
        <is>
          <t>Sampling theorem, aliasing — Lec 5, sl. 19–22</t>
        </is>
      </c>
      <c r="G21" s="23" t="inlineStr">
        <is>
          <t>L10</t>
        </is>
      </c>
      <c r="H21" s="23" t="n">
        <v>12</v>
      </c>
      <c r="I21" s="23" t="inlineStr">
        <is>
          <t>EEE p.44</t>
        </is>
      </c>
      <c r="J21" s="25" t="inlineStr">
        <is>
          <t>★★ Medium</t>
        </is>
      </c>
      <c r="K21" s="23" t="inlineStr">
        <is>
          <t>Numerical</t>
        </is>
      </c>
      <c r="L21" s="21" t="inlineStr">
        <is>
          <t>✔ Solved</t>
        </is>
      </c>
      <c r="M21" s="6" t="inlineStr">
        <is>
          <t>2022-23 1(c); 2023-24 7(c); 2016-17 2(b) (CSE 311); 2013-14 2(a) (CSE 311); 2012-13 8(a) (CSE 311); 2018-19 3(b) (EEE)</t>
        </is>
      </c>
      <c r="N21" s="22" t="b">
        <v>0</v>
      </c>
      <c r="O21" s="23" t="n"/>
      <c r="P21" s="23" t="n"/>
      <c r="Q21" s="6" t="n"/>
    </row>
    <row r="22">
      <c r="A22" s="23" t="n">
        <v>19</v>
      </c>
      <c r="B22" s="23" t="inlineStr">
        <is>
          <t>2014-15</t>
        </is>
      </c>
      <c r="C22" s="23" t="inlineStr">
        <is>
          <t>CSE 311</t>
        </is>
      </c>
      <c r="D22" s="23" t="inlineStr">
        <is>
          <t>2(c) [L-3]</t>
        </is>
      </c>
      <c r="E22" s="6" t="inlineStr">
        <is>
          <t>Aliasing effect; how eliminated</t>
        </is>
      </c>
      <c r="F22" s="6" t="inlineStr">
        <is>
          <t>Sampling theorem, aliasing — Lec 5, sl. 19–22</t>
        </is>
      </c>
      <c r="G22" s="23" t="inlineStr">
        <is>
          <t>L10</t>
        </is>
      </c>
      <c r="H22" s="23" t="n">
        <v>10</v>
      </c>
      <c r="I22" s="23" t="n">
        <v>33</v>
      </c>
      <c r="J22" s="25" t="inlineStr">
        <is>
          <t>★★ Medium</t>
        </is>
      </c>
      <c r="K22" s="23" t="inlineStr">
        <is>
          <t>Theory</t>
        </is>
      </c>
      <c r="L22" s="21" t="inlineStr">
        <is>
          <t>✔ Solved</t>
        </is>
      </c>
      <c r="M22" s="6" t="inlineStr">
        <is>
          <t>2020-21 3(a) (CSE 311); 2018-19 3(b) (CSE 311); 2013-14 2(b) (CSE 311)</t>
        </is>
      </c>
      <c r="N22" s="22" t="b">
        <v>0</v>
      </c>
      <c r="O22" s="23" t="n"/>
      <c r="P22" s="23" t="n"/>
      <c r="Q22" s="6" t="n"/>
    </row>
    <row r="23">
      <c r="A23" s="23" t="n">
        <v>20</v>
      </c>
      <c r="B23" s="23" t="inlineStr">
        <is>
          <t>2014-15</t>
        </is>
      </c>
      <c r="C23" s="23" t="inlineStr">
        <is>
          <t>EEE 301</t>
        </is>
      </c>
      <c r="D23" s="23" t="inlineStr">
        <is>
          <t>6(b)</t>
        </is>
      </c>
      <c r="E23" s="6" t="inlineStr">
        <is>
          <t>Natural sampling with rectangular pulses: spectrum; recoverable?</t>
        </is>
      </c>
      <c r="F23" s="6" t="inlineStr">
        <is>
          <t>Sampling theorem, aliasing — Lec 5, sl. 19–22</t>
        </is>
      </c>
      <c r="G23" s="23" t="inlineStr">
        <is>
          <t>L10</t>
        </is>
      </c>
      <c r="H23" s="23" t="n">
        <v>15</v>
      </c>
      <c r="I23" s="23" t="inlineStr">
        <is>
          <t>EEE p.49</t>
        </is>
      </c>
      <c r="J23" s="25" t="inlineStr">
        <is>
          <t>★★ Medium</t>
        </is>
      </c>
      <c r="K23" s="23" t="inlineStr">
        <is>
          <t>Numerical</t>
        </is>
      </c>
      <c r="L23" s="21" t="inlineStr">
        <is>
          <t>✔ Solved</t>
        </is>
      </c>
      <c r="M23" s="6" t="inlineStr">
        <is>
          <t>2017-18 2(c) (EEE)</t>
        </is>
      </c>
      <c r="N23" s="22" t="b">
        <v>0</v>
      </c>
      <c r="O23" s="23" t="n"/>
      <c r="P23" s="23" t="n"/>
      <c r="Q23" s="6" t="n"/>
    </row>
    <row r="24">
      <c r="A24" s="23" t="n">
        <v>21</v>
      </c>
      <c r="B24" s="23" t="inlineStr">
        <is>
          <t>2013-14</t>
        </is>
      </c>
      <c r="C24" s="23" t="inlineStr">
        <is>
          <t>CSE 311</t>
        </is>
      </c>
      <c r="D24" s="23" t="inlineStr">
        <is>
          <t>2(a)</t>
        </is>
      </c>
      <c r="E24" s="6" t="inlineStr">
        <is>
          <t>State and prove Nyquist's sampling theorem</t>
        </is>
      </c>
      <c r="F24" s="6" t="inlineStr">
        <is>
          <t>Sampling theorem, aliasing — Lec 5, sl. 19–22</t>
        </is>
      </c>
      <c r="G24" s="23" t="inlineStr">
        <is>
          <t>L10</t>
        </is>
      </c>
      <c r="H24" s="23" t="n">
        <v>13</v>
      </c>
      <c r="I24" s="23" t="n">
        <v>37</v>
      </c>
      <c r="J24" s="25" t="inlineStr">
        <is>
          <t>★★ Medium</t>
        </is>
      </c>
      <c r="K24" s="23" t="inlineStr">
        <is>
          <t>Proof</t>
        </is>
      </c>
      <c r="L24" s="21" t="inlineStr">
        <is>
          <t>✔ Solved</t>
        </is>
      </c>
      <c r="M24" s="6" t="inlineStr">
        <is>
          <t>2022-23 1(c); 2023-24 7(c); 2016-17 2(b) (CSE 311); 2012-13 8(a) (CSE 311); 2018-19 3(b) (EEE); 2015-16 6(b) (EEE)</t>
        </is>
      </c>
      <c r="N24" s="22" t="b">
        <v>0</v>
      </c>
      <c r="O24" s="23" t="n"/>
      <c r="P24" s="23" t="n"/>
      <c r="Q24" s="6" t="n"/>
    </row>
    <row r="25">
      <c r="A25" s="23" t="n">
        <v>22</v>
      </c>
      <c r="B25" s="23" t="inlineStr">
        <is>
          <t>2012-13</t>
        </is>
      </c>
      <c r="C25" s="23" t="inlineStr">
        <is>
          <t>CSE 311</t>
        </is>
      </c>
      <c r="D25" s="23" t="inlineStr">
        <is>
          <t>8(a)</t>
        </is>
      </c>
      <c r="E25" s="6" t="inlineStr">
        <is>
          <t>Prove the minimum sampling frequency is 2B</t>
        </is>
      </c>
      <c r="F25" s="6" t="inlineStr">
        <is>
          <t>Sampling theorem, aliasing — Lec 5, sl. 19–22</t>
        </is>
      </c>
      <c r="G25" s="23" t="inlineStr">
        <is>
          <t>L10</t>
        </is>
      </c>
      <c r="H25" s="23" t="n">
        <v>15</v>
      </c>
      <c r="I25" s="23" t="n">
        <v>44</v>
      </c>
      <c r="J25" s="25" t="inlineStr">
        <is>
          <t>★★ Medium</t>
        </is>
      </c>
      <c r="K25" s="23" t="inlineStr">
        <is>
          <t>Proof</t>
        </is>
      </c>
      <c r="L25" s="21" t="inlineStr">
        <is>
          <t>✔ Solved</t>
        </is>
      </c>
      <c r="M25" s="6" t="inlineStr">
        <is>
          <t>2022-23 1(c); 2023-24 7(c); 2016-17 2(b) (CSE 311); 2013-14 2(a) (CSE 311); 2018-19 3(b) (EEE); 2015-16 6(b) (EEE)</t>
        </is>
      </c>
      <c r="N25" s="22" t="b">
        <v>0</v>
      </c>
      <c r="O25" s="23" t="n"/>
      <c r="P25" s="23" t="n"/>
      <c r="Q25" s="6" t="n"/>
    </row>
    <row r="26">
      <c r="A26" s="19" t="n">
        <v>23</v>
      </c>
      <c r="B26" s="19" t="inlineStr">
        <is>
          <t>2023-24</t>
        </is>
      </c>
      <c r="C26" s="19" t="inlineStr">
        <is>
          <t>CSE 219</t>
        </is>
      </c>
      <c r="D26" s="19" t="inlineStr">
        <is>
          <t>5(c)</t>
        </is>
      </c>
      <c r="E26" s="20" t="inlineStr">
        <is>
          <t>Compare ideal (sinc), ZOH, linear interpolation; choose for a real-time DAC</t>
        </is>
      </c>
      <c r="F26" s="20" t="inlineStr">
        <is>
          <t>Reconstruction: sinc, ZOH, linear — Lec 5, sl. 24–36</t>
        </is>
      </c>
      <c r="G26" s="19" t="inlineStr">
        <is>
          <t>L11</t>
        </is>
      </c>
      <c r="H26" s="19" t="n">
        <v>10</v>
      </c>
      <c r="I26" s="19" t="inlineStr">
        <is>
          <t>22 batch p.3</t>
        </is>
      </c>
      <c r="J26" s="24" t="inlineStr">
        <is>
          <t>★★★ High</t>
        </is>
      </c>
      <c r="K26" s="19" t="inlineStr">
        <is>
          <t>Theory</t>
        </is>
      </c>
      <c r="L26" s="21" t="inlineStr">
        <is>
          <t>✔ Solved</t>
        </is>
      </c>
      <c r="M26" s="20" t="inlineStr">
        <is>
          <t>2020-21 1(b) (CSE 311); 2010-11 6(c) (CSE 311)</t>
        </is>
      </c>
      <c r="N26" s="22" t="b">
        <v>0</v>
      </c>
      <c r="O26" s="19" t="n"/>
      <c r="P26" s="19" t="n"/>
      <c r="Q26" s="20" t="n"/>
    </row>
    <row r="27">
      <c r="A27" s="19" t="n">
        <v>24</v>
      </c>
      <c r="B27" s="19" t="inlineStr">
        <is>
          <t>2021-22</t>
        </is>
      </c>
      <c r="C27" s="19" t="inlineStr">
        <is>
          <t>CSE 311</t>
        </is>
      </c>
      <c r="D27" s="19" t="inlineStr">
        <is>
          <t>3(b)</t>
        </is>
      </c>
      <c r="E27" s="20" t="inlineStr">
        <is>
          <t>Nyquist-rate samples all zero except g(0) = A: find g(t)</t>
        </is>
      </c>
      <c r="F27" s="20" t="inlineStr">
        <is>
          <t>Reconstruction: sinc, ZOH, linear — Lec 5, sl. 24–36</t>
        </is>
      </c>
      <c r="G27" s="19" t="inlineStr">
        <is>
          <t>L11</t>
        </is>
      </c>
      <c r="H27" s="19" t="n">
        <v>15</v>
      </c>
      <c r="I27" s="19" t="n">
        <v>8</v>
      </c>
      <c r="J27" s="24" t="inlineStr">
        <is>
          <t>★★★ High</t>
        </is>
      </c>
      <c r="K27" s="19" t="inlineStr">
        <is>
          <t>Numerical</t>
        </is>
      </c>
      <c r="L27" s="21" t="inlineStr">
        <is>
          <t>✔ Solved</t>
        </is>
      </c>
      <c r="M27" s="20" t="inlineStr">
        <is>
          <t>2018-19 1(a) (CSE 311)</t>
        </is>
      </c>
      <c r="N27" s="22" t="b">
        <v>0</v>
      </c>
      <c r="O27" s="19" t="n"/>
      <c r="P27" s="19" t="n"/>
      <c r="Q27" s="20" t="n"/>
    </row>
    <row r="28">
      <c r="A28" s="19" t="n">
        <v>25</v>
      </c>
      <c r="B28" s="19" t="inlineStr">
        <is>
          <t>2020-21</t>
        </is>
      </c>
      <c r="C28" s="19" t="inlineStr">
        <is>
          <t>CSE 311</t>
        </is>
      </c>
      <c r="D28" s="19" t="inlineStr">
        <is>
          <t>1(b)</t>
        </is>
      </c>
      <c r="E28" s="20" t="inlineStr">
        <is>
          <t>Can past samples foretell the future of a band-limited signal?</t>
        </is>
      </c>
      <c r="F28" s="20" t="inlineStr">
        <is>
          <t>Reconstruction: sinc, ZOH, linear — Lec 5, sl. 24–36</t>
        </is>
      </c>
      <c r="G28" s="19" t="inlineStr">
        <is>
          <t>L11</t>
        </is>
      </c>
      <c r="H28" s="19" t="n">
        <v>10</v>
      </c>
      <c r="I28" s="19" t="n">
        <v>12</v>
      </c>
      <c r="J28" s="24" t="inlineStr">
        <is>
          <t>★★★ High</t>
        </is>
      </c>
      <c r="K28" s="19" t="inlineStr">
        <is>
          <t>Theory</t>
        </is>
      </c>
      <c r="L28" s="26" t="inlineStr">
        <is>
          <t>◐ Method</t>
        </is>
      </c>
      <c r="M28" s="20" t="inlineStr">
        <is>
          <t>2023-24 5(c); 2010-11 6(c) (CSE 311)</t>
        </is>
      </c>
      <c r="N28" s="22" t="b">
        <v>0</v>
      </c>
      <c r="O28" s="19" t="n"/>
      <c r="P28" s="19" t="n"/>
      <c r="Q28" s="20" t="n"/>
    </row>
    <row r="29">
      <c r="A29" s="19" t="n">
        <v>26</v>
      </c>
      <c r="B29" s="19" t="inlineStr">
        <is>
          <t>2018-19</t>
        </is>
      </c>
      <c r="C29" s="19" t="inlineStr">
        <is>
          <t>CSE 311</t>
        </is>
      </c>
      <c r="D29" s="19" t="inlineStr">
        <is>
          <t>1(a)</t>
        </is>
      </c>
      <c r="E29" s="20" t="inlineStr">
        <is>
          <t>g(t) band-limited to 50 Hz, samples 0.01 s apart all 0 except g(0)=1: g(t), G(f); FT of δ</t>
        </is>
      </c>
      <c r="F29" s="20" t="inlineStr">
        <is>
          <t>Reconstruction: sinc, ZOH, linear — Lec 5, sl. 24–36</t>
        </is>
      </c>
      <c r="G29" s="19" t="inlineStr">
        <is>
          <t>L11</t>
        </is>
      </c>
      <c r="H29" s="19" t="n">
        <v>21</v>
      </c>
      <c r="I29" s="19" t="n">
        <v>18</v>
      </c>
      <c r="J29" s="25" t="inlineStr">
        <is>
          <t>★★ Medium</t>
        </is>
      </c>
      <c r="K29" s="19" t="inlineStr">
        <is>
          <t>Numerical</t>
        </is>
      </c>
      <c r="L29" s="21" t="inlineStr">
        <is>
          <t>✔ Solved</t>
        </is>
      </c>
      <c r="M29" s="20" t="inlineStr">
        <is>
          <t>2021-22 3(b) (CSE 311)</t>
        </is>
      </c>
      <c r="N29" s="22" t="b">
        <v>0</v>
      </c>
      <c r="O29" s="19" t="n"/>
      <c r="P29" s="19" t="n"/>
      <c r="Q29" s="20" t="n"/>
    </row>
    <row r="30">
      <c r="A30" s="19" t="n">
        <v>27</v>
      </c>
      <c r="B30" s="19" t="inlineStr">
        <is>
          <t>2010-11</t>
        </is>
      </c>
      <c r="C30" s="19" t="inlineStr">
        <is>
          <t>CSE 311</t>
        </is>
      </c>
      <c r="D30" s="19" t="inlineStr">
        <is>
          <t>6(c)</t>
        </is>
      </c>
      <c r="E30" s="20" t="inlineStr">
        <is>
          <t>Samples at 2B through ideal LPF (bandwidth B) give an output ∝ f(t)</t>
        </is>
      </c>
      <c r="F30" s="20" t="inlineStr">
        <is>
          <t>Reconstruction: sinc, ZOH, linear — Lec 5, sl. 24–36</t>
        </is>
      </c>
      <c r="G30" s="19" t="inlineStr">
        <is>
          <t>L11</t>
        </is>
      </c>
      <c r="H30" s="19" t="n">
        <v>12</v>
      </c>
      <c r="I30" s="19" t="n">
        <v>51</v>
      </c>
      <c r="J30" s="25" t="inlineStr">
        <is>
          <t>★★ Medium</t>
        </is>
      </c>
      <c r="K30" s="19" t="inlineStr">
        <is>
          <t>Proof</t>
        </is>
      </c>
      <c r="L30" s="21" t="inlineStr">
        <is>
          <t>✔ Solved</t>
        </is>
      </c>
      <c r="M30" s="20" t="inlineStr">
        <is>
          <t>2023-24 5(c); 2020-21 1(b) (CSE 311)</t>
        </is>
      </c>
      <c r="N30" s="22" t="b">
        <v>0</v>
      </c>
      <c r="O30" s="19" t="n"/>
      <c r="P30" s="19" t="n"/>
      <c r="Q30" s="20" t="n"/>
    </row>
    <row r="31">
      <c r="A31" s="23" t="n">
        <v>28</v>
      </c>
      <c r="B31" s="23" t="inlineStr">
        <is>
          <t>2020-21</t>
        </is>
      </c>
      <c r="C31" s="23" t="inlineStr">
        <is>
          <t>CSE 311</t>
        </is>
      </c>
      <c r="D31" s="23" t="inlineStr">
        <is>
          <t>3(a)</t>
        </is>
      </c>
      <c r="E31" s="6" t="inlineStr">
        <is>
          <t>Why practical signals can't be fully recovered; aliasing; how to minimise</t>
        </is>
      </c>
      <c r="F31" s="6" t="inlineStr">
        <is>
          <t>Practical issues, DFT link — Lec 5, sl. 38–47</t>
        </is>
      </c>
      <c r="G31" s="23" t="inlineStr">
        <is>
          <t>L12</t>
        </is>
      </c>
      <c r="H31" s="23" t="n">
        <v>24</v>
      </c>
      <c r="I31" s="23" t="n">
        <v>12</v>
      </c>
      <c r="J31" s="24" t="inlineStr">
        <is>
          <t>★★★ High</t>
        </is>
      </c>
      <c r="K31" s="23" t="inlineStr">
        <is>
          <t>Theory</t>
        </is>
      </c>
      <c r="L31" s="21" t="inlineStr">
        <is>
          <t>✔ Solved</t>
        </is>
      </c>
      <c r="M31" s="6" t="inlineStr">
        <is>
          <t>2018-19 3(b) (CSE 311); 2014-15 2(c) [L-3] (CSE 311); 2013-14 2(b) (CSE 311)</t>
        </is>
      </c>
      <c r="N31" s="22" t="b">
        <v>0</v>
      </c>
      <c r="O31" s="23" t="n"/>
      <c r="P31" s="23" t="n"/>
      <c r="Q31" s="6" t="n"/>
    </row>
    <row r="32">
      <c r="A32" s="23" t="n">
        <v>29</v>
      </c>
      <c r="B32" s="23" t="inlineStr">
        <is>
          <t>2013-14</t>
        </is>
      </c>
      <c r="C32" s="23" t="inlineStr">
        <is>
          <t>CSE 311</t>
        </is>
      </c>
      <c r="D32" s="23" t="inlineStr">
        <is>
          <t>2(b)</t>
        </is>
      </c>
      <c r="E32" s="6" t="inlineStr">
        <is>
          <t>Practical issues in sampling and reconstruction; how handled</t>
        </is>
      </c>
      <c r="F32" s="6" t="inlineStr">
        <is>
          <t>Practical issues, DFT link — Lec 5, sl. 38–47</t>
        </is>
      </c>
      <c r="G32" s="23" t="inlineStr">
        <is>
          <t>L12</t>
        </is>
      </c>
      <c r="H32" s="23" t="n">
        <v>10</v>
      </c>
      <c r="I32" s="23" t="n">
        <v>37</v>
      </c>
      <c r="J32" s="25" t="inlineStr">
        <is>
          <t>★★ Medium</t>
        </is>
      </c>
      <c r="K32" s="23" t="inlineStr">
        <is>
          <t>Theory</t>
        </is>
      </c>
      <c r="L32" s="21" t="inlineStr">
        <is>
          <t>✔ Solved</t>
        </is>
      </c>
      <c r="M32" s="6" t="inlineStr">
        <is>
          <t>2020-21 3(a) (CSE 311); 2018-19 3(b) (CSE 311); 2014-15 2(c) [L-3] (CSE 311)</t>
        </is>
      </c>
      <c r="N32" s="22" t="b">
        <v>0</v>
      </c>
      <c r="O32" s="23" t="n"/>
      <c r="P32" s="23" t="n"/>
      <c r="Q32" s="6" t="n"/>
    </row>
  </sheetData>
  <autoFilter ref="A3:Q32"/>
  <conditionalFormatting sqref="A4:Q32">
    <cfRule type="expression" priority="1" dxfId="0">
      <formula>$N4=TRUE</formula>
    </cfRule>
  </conditionalFormatting>
  <conditionalFormatting sqref="O4:O32">
    <cfRule type="cellIs" priority="2" operator="equal" dxfId="1">
      <formula>"Weak"</formula>
    </cfRule>
    <cfRule type="cellIs" priority="3" operator="equal" dxfId="2">
      <formula>"Strong"</formula>
    </cfRule>
  </conditionalFormatting>
  <dataValidations count="2">
    <dataValidation sqref="N4:N32" showDropDown="0" showInputMessage="0" showErrorMessage="0" allowBlank="1" type="list">
      <formula1>"TRUE,FALSE"</formula1>
    </dataValidation>
    <dataValidation sqref="O4:O32" showDropDown="0" showInputMessage="0" showErrorMessage="0" allowBlank="1" type="list">
      <formula1>"Weak,OK,Strong"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8"/>
  <sheetViews>
    <sheetView zoomScale="9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58" customWidth="1" min="5" max="5"/>
    <col width="40" customWidth="1" min="6" max="6"/>
    <col width="8" customWidth="1" min="7" max="7"/>
    <col width="7" customWidth="1" min="8" max="8"/>
    <col width="8" customWidth="1" min="9" max="9"/>
    <col width="12" customWidth="1" min="10" max="10"/>
    <col width="11" customWidth="1" min="11" max="11"/>
    <col width="11" customWidth="1" min="12" max="12"/>
    <col width="30" customWidth="1" min="13" max="13"/>
    <col width="7" customWidth="1" min="14" max="14"/>
    <col width="12" customWidth="1" min="15" max="15"/>
    <col width="11" customWidth="1" min="16" max="16"/>
    <col width="32" customWidth="1" min="17" max="17"/>
  </cols>
  <sheetData>
    <row r="1">
      <c r="A1" s="18" t="inlineStr">
        <is>
          <t>Lec 6–7 — Laplace transform</t>
        </is>
      </c>
    </row>
    <row r="2">
      <c r="A2" s="2" t="inlineStr">
        <is>
          <t>Note file: CSE219_Ashraf_Laplace_Notes.docx   ·   Solve after finishing the matching lesson. Filter Priority → ★★★ High first.</t>
        </is>
      </c>
    </row>
    <row r="3" ht="30" customHeight="1">
      <c r="A3" s="7" t="inlineStr">
        <is>
          <t>Q No.</t>
        </is>
      </c>
      <c r="B3" s="7" t="inlineStr">
        <is>
          <t>Year</t>
        </is>
      </c>
      <c r="C3" s="7" t="inlineStr">
        <is>
          <t>Course</t>
        </is>
      </c>
      <c r="D3" s="7" t="inlineStr">
        <is>
          <t>Ques No.</t>
        </is>
      </c>
      <c r="E3" s="7" t="inlineStr">
        <is>
          <t>Short Question</t>
        </is>
      </c>
      <c r="F3" s="7" t="inlineStr">
        <is>
          <t>Topic (slide PDF · slides)</t>
        </is>
      </c>
      <c r="G3" s="7" t="inlineStr">
        <is>
          <t>Lesson</t>
        </is>
      </c>
      <c r="H3" s="7" t="inlineStr">
        <is>
          <t>Marks</t>
        </is>
      </c>
      <c r="I3" s="7" t="inlineStr">
        <is>
          <t>TF Page</t>
        </is>
      </c>
      <c r="J3" s="7" t="inlineStr">
        <is>
          <t>Priority</t>
        </is>
      </c>
      <c r="K3" s="7" t="inlineStr">
        <is>
          <t>Type</t>
        </is>
      </c>
      <c r="L3" s="7" t="inlineStr">
        <is>
          <t>In Notes</t>
        </is>
      </c>
      <c r="M3" s="7" t="inlineStr">
        <is>
          <t>Same Type Also In</t>
        </is>
      </c>
      <c r="N3" s="7" t="inlineStr">
        <is>
          <t>Done</t>
        </is>
      </c>
      <c r="O3" s="7" t="inlineStr">
        <is>
          <t>Confidence</t>
        </is>
      </c>
      <c r="P3" s="7" t="inlineStr">
        <is>
          <t>Date</t>
        </is>
      </c>
      <c r="Q3" s="7" t="inlineStr">
        <is>
          <t>My Notes</t>
        </is>
      </c>
    </row>
    <row r="4">
      <c r="A4" s="19" t="n">
        <v>1</v>
      </c>
      <c r="B4" s="19" t="inlineStr">
        <is>
          <t>2022-23</t>
        </is>
      </c>
      <c r="C4" s="19" t="inlineStr">
        <is>
          <t>CSE 219</t>
        </is>
      </c>
      <c r="D4" s="19" t="inlineStr">
        <is>
          <t>1(b)</t>
        </is>
      </c>
      <c r="E4" s="20" t="inlineStr">
        <is>
          <t>x(t) = e^{−at} on 0&lt;t&lt;T: is s = −a in the ROC? (apparent pole)</t>
        </is>
      </c>
      <c r="F4" s="20" t="inlineStr">
        <is>
          <t>Laplace definition and ROC — Lec 6, sl. 4–25</t>
        </is>
      </c>
      <c r="G4" s="19" t="inlineStr">
        <is>
          <t>L13</t>
        </is>
      </c>
      <c r="H4" s="19" t="n">
        <v>10</v>
      </c>
      <c r="I4" s="19" t="n">
        <v>1</v>
      </c>
      <c r="J4" s="24" t="inlineStr">
        <is>
          <t>★★★ High</t>
        </is>
      </c>
      <c r="K4" s="19" t="inlineStr">
        <is>
          <t>Theory</t>
        </is>
      </c>
      <c r="L4" s="21" t="inlineStr">
        <is>
          <t>✔ Solved</t>
        </is>
      </c>
      <c r="M4" s="20" t="inlineStr">
        <is>
          <t>2022-23 2(c); 2023-24 6(b); 2021-22 7(a) (EEE); 2016-17 7(a) (EEE); 2014-15 7(b) (EEE); 2013-14 6(b) (EEE)</t>
        </is>
      </c>
      <c r="N4" s="22" t="b">
        <v>0</v>
      </c>
      <c r="O4" s="19" t="n"/>
      <c r="P4" s="19" t="n"/>
      <c r="Q4" s="20" t="n"/>
    </row>
    <row r="5">
      <c r="A5" s="19" t="n">
        <v>2</v>
      </c>
      <c r="B5" s="19" t="inlineStr">
        <is>
          <t>2022-23</t>
        </is>
      </c>
      <c r="C5" s="19" t="inlineStr">
        <is>
          <t>CSE 219</t>
        </is>
      </c>
      <c r="D5" s="19" t="inlineStr">
        <is>
          <t>2(c)</t>
        </is>
      </c>
      <c r="E5" s="20" t="inlineStr">
        <is>
          <t>LT and ROC of e^{−b|t−2|}</t>
        </is>
      </c>
      <c r="F5" s="20" t="inlineStr">
        <is>
          <t>Laplace definition and ROC — Lec 6, sl. 4–25</t>
        </is>
      </c>
      <c r="G5" s="19" t="inlineStr">
        <is>
          <t>L13</t>
        </is>
      </c>
      <c r="H5" s="19" t="n">
        <v>15</v>
      </c>
      <c r="I5" s="19" t="n">
        <v>1</v>
      </c>
      <c r="J5" s="24" t="inlineStr">
        <is>
          <t>★★★ High</t>
        </is>
      </c>
      <c r="K5" s="19" t="inlineStr">
        <is>
          <t>Numerical</t>
        </is>
      </c>
      <c r="L5" s="21" t="inlineStr">
        <is>
          <t>✔ Solved</t>
        </is>
      </c>
      <c r="M5" s="20" t="inlineStr">
        <is>
          <t>2022-23 1(b); 2023-24 6(b); 2021-22 7(a) (EEE); 2016-17 7(a) (EEE); 2014-15 7(b) (EEE); 2013-14 6(b) (EEE)</t>
        </is>
      </c>
      <c r="N5" s="22" t="b">
        <v>0</v>
      </c>
      <c r="O5" s="19" t="n"/>
      <c r="P5" s="19" t="n"/>
      <c r="Q5" s="20" t="n"/>
    </row>
    <row r="6">
      <c r="A6" s="19" t="n">
        <v>3</v>
      </c>
      <c r="B6" s="19" t="inlineStr">
        <is>
          <t>2022-23</t>
        </is>
      </c>
      <c r="C6" s="19" t="inlineStr">
        <is>
          <t>CSE 219</t>
        </is>
      </c>
      <c r="D6" s="19" t="inlineStr">
        <is>
          <t>4(a)</t>
        </is>
      </c>
      <c r="E6" s="20" t="inlineStr">
        <is>
          <t>Relation between the Laplace and the Fourier transform</t>
        </is>
      </c>
      <c r="F6" s="20" t="inlineStr">
        <is>
          <t>Laplace definition and ROC — Lec 6, sl. 4–25</t>
        </is>
      </c>
      <c r="G6" s="19" t="inlineStr">
        <is>
          <t>L13</t>
        </is>
      </c>
      <c r="H6" s="19" t="n">
        <v>10</v>
      </c>
      <c r="I6" s="19" t="n">
        <v>2</v>
      </c>
      <c r="J6" s="24" t="inlineStr">
        <is>
          <t>★★★ High</t>
        </is>
      </c>
      <c r="K6" s="19" t="inlineStr">
        <is>
          <t>Theory</t>
        </is>
      </c>
      <c r="L6" s="21" t="inlineStr">
        <is>
          <t>✔ Solved</t>
        </is>
      </c>
      <c r="M6" s="20" t="inlineStr">
        <is>
          <t>—</t>
        </is>
      </c>
      <c r="N6" s="22" t="b">
        <v>0</v>
      </c>
      <c r="O6" s="19" t="n"/>
      <c r="P6" s="19" t="n"/>
      <c r="Q6" s="20" t="n"/>
    </row>
    <row r="7">
      <c r="A7" s="19" t="n">
        <v>4</v>
      </c>
      <c r="B7" s="19" t="inlineStr">
        <is>
          <t>2021-22</t>
        </is>
      </c>
      <c r="C7" s="19" t="inlineStr">
        <is>
          <t>EEE 211</t>
        </is>
      </c>
      <c r="D7" s="19" t="inlineStr">
        <is>
          <t>7(a)</t>
        </is>
      </c>
      <c r="E7" s="20" t="inlineStr">
        <is>
          <t>LT + ROC: e^{−at}u (a&gt;0, a&lt;0), −e^{−at}u(−t) (a&lt;0)</t>
        </is>
      </c>
      <c r="F7" s="20" t="inlineStr">
        <is>
          <t>Laplace definition and ROC — Lec 6, sl. 4–25</t>
        </is>
      </c>
      <c r="G7" s="19" t="inlineStr">
        <is>
          <t>L13</t>
        </is>
      </c>
      <c r="H7" s="19" t="n">
        <v>12</v>
      </c>
      <c r="I7" s="19" t="inlineStr">
        <is>
          <t>EEE p.15</t>
        </is>
      </c>
      <c r="J7" s="24" t="inlineStr">
        <is>
          <t>★★★ High</t>
        </is>
      </c>
      <c r="K7" s="19" t="inlineStr">
        <is>
          <t>Numerical</t>
        </is>
      </c>
      <c r="L7" s="21" t="inlineStr">
        <is>
          <t>✔ Solved</t>
        </is>
      </c>
      <c r="M7" s="20" t="inlineStr">
        <is>
          <t>2022-23 1(b); 2022-23 2(c); 2023-24 6(b); 2016-17 7(a) (EEE); 2014-15 7(b) (EEE); 2013-14 6(b) (EEE)</t>
        </is>
      </c>
      <c r="N7" s="22" t="b">
        <v>0</v>
      </c>
      <c r="O7" s="19" t="n"/>
      <c r="P7" s="19" t="n"/>
      <c r="Q7" s="20" t="n"/>
    </row>
    <row r="8">
      <c r="A8" s="19" t="n">
        <v>5</v>
      </c>
      <c r="B8" s="19" t="inlineStr">
        <is>
          <t>2016-17</t>
        </is>
      </c>
      <c r="C8" s="19" t="inlineStr">
        <is>
          <t>EEE 211</t>
        </is>
      </c>
      <c r="D8" s="19" t="inlineStr">
        <is>
          <t>7(a)</t>
        </is>
      </c>
      <c r="E8" s="20" t="inlineStr">
        <is>
          <t>Bilateral and unilateral LT of e^{at}u(−t), a &gt; 0</t>
        </is>
      </c>
      <c r="F8" s="20" t="inlineStr">
        <is>
          <t>Laplace definition and ROC — Lec 6, sl. 4–25</t>
        </is>
      </c>
      <c r="G8" s="19" t="inlineStr">
        <is>
          <t>L13</t>
        </is>
      </c>
      <c r="H8" s="19" t="n">
        <v>11</v>
      </c>
      <c r="I8" s="19" t="inlineStr">
        <is>
          <t>EEE p.40</t>
        </is>
      </c>
      <c r="J8" s="25" t="inlineStr">
        <is>
          <t>★★ Medium</t>
        </is>
      </c>
      <c r="K8" s="19" t="inlineStr">
        <is>
          <t>Numerical</t>
        </is>
      </c>
      <c r="L8" s="21" t="inlineStr">
        <is>
          <t>✔ Solved</t>
        </is>
      </c>
      <c r="M8" s="20" t="inlineStr">
        <is>
          <t>2022-23 1(b); 2022-23 2(c); 2023-24 6(b); 2021-22 7(a) (EEE); 2014-15 7(b) (EEE); 2013-14 6(b) (EEE)</t>
        </is>
      </c>
      <c r="N8" s="22" t="b">
        <v>0</v>
      </c>
      <c r="O8" s="19" t="n"/>
      <c r="P8" s="19" t="n"/>
      <c r="Q8" s="20" t="n"/>
    </row>
    <row r="9">
      <c r="A9" s="19" t="n">
        <v>6</v>
      </c>
      <c r="B9" s="19" t="inlineStr">
        <is>
          <t>2014-15</t>
        </is>
      </c>
      <c r="C9" s="19" t="inlineStr">
        <is>
          <t>EEE 301</t>
        </is>
      </c>
      <c r="D9" s="19" t="inlineStr">
        <is>
          <t>7(b)</t>
        </is>
      </c>
      <c r="E9" s="20" t="inlineStr">
        <is>
          <t>Bilateral LT and ROC of e^{bt}u(−t)</t>
        </is>
      </c>
      <c r="F9" s="20" t="inlineStr">
        <is>
          <t>Laplace definition and ROC — Lec 6, sl. 4–25</t>
        </is>
      </c>
      <c r="G9" s="19" t="inlineStr">
        <is>
          <t>L13</t>
        </is>
      </c>
      <c r="H9" s="19" t="n">
        <v>7</v>
      </c>
      <c r="I9" s="19" t="inlineStr">
        <is>
          <t>EEE p.50</t>
        </is>
      </c>
      <c r="J9" s="25" t="inlineStr">
        <is>
          <t>★★ Medium</t>
        </is>
      </c>
      <c r="K9" s="19" t="inlineStr">
        <is>
          <t>Numerical</t>
        </is>
      </c>
      <c r="L9" s="21" t="inlineStr">
        <is>
          <t>✔ Solved</t>
        </is>
      </c>
      <c r="M9" s="20" t="inlineStr">
        <is>
          <t>2022-23 1(b); 2022-23 2(c); 2023-24 6(b); 2021-22 7(a) (EEE); 2016-17 7(a) (EEE); 2013-14 6(b) (EEE)</t>
        </is>
      </c>
      <c r="N9" s="22" t="b">
        <v>0</v>
      </c>
      <c r="O9" s="19" t="n"/>
      <c r="P9" s="19" t="n"/>
      <c r="Q9" s="20" t="n"/>
    </row>
    <row r="10">
      <c r="A10" s="19" t="n">
        <v>7</v>
      </c>
      <c r="B10" s="19" t="inlineStr">
        <is>
          <t>2013-14</t>
        </is>
      </c>
      <c r="C10" s="19" t="inlineStr">
        <is>
          <t>EEE 301</t>
        </is>
      </c>
      <c r="D10" s="19" t="inlineStr">
        <is>
          <t>6(b)</t>
        </is>
      </c>
      <c r="E10" s="20" t="inlineStr">
        <is>
          <t>Bilateral LT and ROC of cos(at)u(−t)</t>
        </is>
      </c>
      <c r="F10" s="20" t="inlineStr">
        <is>
          <t>Laplace definition and ROC — Lec 6, sl. 4–25</t>
        </is>
      </c>
      <c r="G10" s="19" t="inlineStr">
        <is>
          <t>L13</t>
        </is>
      </c>
      <c r="H10" s="19" t="n">
        <v>7</v>
      </c>
      <c r="I10" s="19" t="inlineStr">
        <is>
          <t>EEE p.53</t>
        </is>
      </c>
      <c r="J10" s="25" t="inlineStr">
        <is>
          <t>★★ Medium</t>
        </is>
      </c>
      <c r="K10" s="19" t="inlineStr">
        <is>
          <t>Numerical</t>
        </is>
      </c>
      <c r="L10" s="21" t="inlineStr">
        <is>
          <t>✔ Solved</t>
        </is>
      </c>
      <c r="M10" s="20" t="inlineStr">
        <is>
          <t>2022-23 1(b); 2022-23 2(c); 2023-24 6(b); 2021-22 7(a) (EEE); 2016-17 7(a) (EEE); 2014-15 7(b) (EEE)</t>
        </is>
      </c>
      <c r="N10" s="22" t="b">
        <v>0</v>
      </c>
      <c r="O10" s="19" t="n"/>
      <c r="P10" s="19" t="n"/>
      <c r="Q10" s="20" t="n"/>
    </row>
    <row r="11">
      <c r="A11" s="23" t="n">
        <v>8</v>
      </c>
      <c r="B11" s="23" t="inlineStr">
        <is>
          <t>2022-23</t>
        </is>
      </c>
      <c r="C11" s="23" t="inlineStr">
        <is>
          <t>CSE 219</t>
        </is>
      </c>
      <c r="D11" s="23" t="inlineStr">
        <is>
          <t>2(b)</t>
        </is>
      </c>
      <c r="E11" s="6" t="inlineStr">
        <is>
          <t>Inverse LT of (s+2)/(s²+7s+12), −4 &lt; Re{s} &lt; −3</t>
        </is>
      </c>
      <c r="F11" s="6" t="inlineStr">
        <is>
          <t>Inverse Laplace — Lec 6, sl. 27–36</t>
        </is>
      </c>
      <c r="G11" s="23" t="inlineStr">
        <is>
          <t>L14</t>
        </is>
      </c>
      <c r="H11" s="23" t="n">
        <v>10</v>
      </c>
      <c r="I11" s="23" t="n">
        <v>1</v>
      </c>
      <c r="J11" s="24" t="inlineStr">
        <is>
          <t>★★★ High</t>
        </is>
      </c>
      <c r="K11" s="23" t="inlineStr">
        <is>
          <t>Numerical</t>
        </is>
      </c>
      <c r="L11" s="21" t="inlineStr">
        <is>
          <t>✔ Solved</t>
        </is>
      </c>
      <c r="M11" s="6" t="inlineStr">
        <is>
          <t>2010-11 3(b) (EEE)</t>
        </is>
      </c>
      <c r="N11" s="22" t="b">
        <v>0</v>
      </c>
      <c r="O11" s="23" t="n"/>
      <c r="P11" s="23" t="n"/>
      <c r="Q11" s="6" t="n"/>
    </row>
    <row r="12">
      <c r="A12" s="23" t="n">
        <v>9</v>
      </c>
      <c r="B12" s="23" t="inlineStr">
        <is>
          <t>2010-11</t>
        </is>
      </c>
      <c r="C12" s="23" t="inlineStr">
        <is>
          <t>EEE 301</t>
        </is>
      </c>
      <c r="D12" s="23" t="inlineStr">
        <is>
          <t>3(b)</t>
        </is>
      </c>
      <c r="E12" s="6" t="inlineStr">
        <is>
          <t>Impulse response of H = (s²−3s+2)/(s³+6s²+11s+6); canonical forms</t>
        </is>
      </c>
      <c r="F12" s="6" t="inlineStr">
        <is>
          <t>Inverse Laplace — Lec 6, sl. 27–36</t>
        </is>
      </c>
      <c r="G12" s="23" t="inlineStr">
        <is>
          <t>L14</t>
        </is>
      </c>
      <c r="H12" s="23" t="n">
        <v>23</v>
      </c>
      <c r="I12" s="23" t="inlineStr">
        <is>
          <t>EEE p.67</t>
        </is>
      </c>
      <c r="J12" s="25" t="inlineStr">
        <is>
          <t>★★ Medium</t>
        </is>
      </c>
      <c r="K12" s="23" t="inlineStr">
        <is>
          <t>Numerical</t>
        </is>
      </c>
      <c r="L12" s="26" t="inlineStr">
        <is>
          <t>◐ Method</t>
        </is>
      </c>
      <c r="M12" s="6" t="inlineStr">
        <is>
          <t>2022-23 2(b)</t>
        </is>
      </c>
      <c r="N12" s="22" t="b">
        <v>0</v>
      </c>
      <c r="O12" s="23" t="n"/>
      <c r="P12" s="23" t="n"/>
      <c r="Q12" s="6" t="n"/>
    </row>
    <row r="13">
      <c r="A13" s="19" t="n">
        <v>10</v>
      </c>
      <c r="B13" s="19" t="inlineStr">
        <is>
          <t>2023-24</t>
        </is>
      </c>
      <c r="C13" s="19" t="inlineStr">
        <is>
          <t>CSE 219</t>
        </is>
      </c>
      <c r="D13" s="19" t="inlineStr">
        <is>
          <t>6(b)</t>
        </is>
      </c>
      <c r="E13" s="20" t="inlineStr">
        <is>
          <t>LT + ROC of |t|e^{−2|t|} − e^{−t}cos3t u(t) + t²e^{−4t}u(t); sketch ROC</t>
        </is>
      </c>
      <c r="F13" s="20" t="inlineStr">
        <is>
          <t>Laplace properties — Lec 7, sl. 4–18</t>
        </is>
      </c>
      <c r="G13" s="19" t="inlineStr">
        <is>
          <t>L15</t>
        </is>
      </c>
      <c r="H13" s="19" t="n">
        <v>13</v>
      </c>
      <c r="I13" s="19" t="inlineStr">
        <is>
          <t>22 batch p.3</t>
        </is>
      </c>
      <c r="J13" s="24" t="inlineStr">
        <is>
          <t>★★★ High</t>
        </is>
      </c>
      <c r="K13" s="19" t="inlineStr">
        <is>
          <t>Numerical</t>
        </is>
      </c>
      <c r="L13" s="21" t="inlineStr">
        <is>
          <t>✔ Solved</t>
        </is>
      </c>
      <c r="M13" s="20" t="inlineStr">
        <is>
          <t>2022-23 1(b); 2022-23 2(c); 2021-22 7(a) (EEE); 2016-17 7(a) (EEE); 2014-15 7(b) (EEE); 2013-14 6(b) (EEE)</t>
        </is>
      </c>
      <c r="N13" s="22" t="b">
        <v>0</v>
      </c>
      <c r="O13" s="19" t="n"/>
      <c r="P13" s="19" t="n"/>
      <c r="Q13" s="20" t="n"/>
    </row>
    <row r="14">
      <c r="A14" s="19" t="n">
        <v>11</v>
      </c>
      <c r="B14" s="19" t="inlineStr">
        <is>
          <t>2022-23</t>
        </is>
      </c>
      <c r="C14" s="19" t="inlineStr">
        <is>
          <t>CSE 219</t>
        </is>
      </c>
      <c r="D14" s="19" t="inlineStr">
        <is>
          <t>2(a)</t>
        </is>
      </c>
      <c r="E14" s="20" t="inlineStr">
        <is>
          <t>State and prove time- and s-domain differentiation properties of the LT</t>
        </is>
      </c>
      <c r="F14" s="20" t="inlineStr">
        <is>
          <t>Laplace properties — Lec 7, sl. 4–18</t>
        </is>
      </c>
      <c r="G14" s="19" t="inlineStr">
        <is>
          <t>L15</t>
        </is>
      </c>
      <c r="H14" s="19" t="n">
        <v>10</v>
      </c>
      <c r="I14" s="19" t="n">
        <v>1</v>
      </c>
      <c r="J14" s="24" t="inlineStr">
        <is>
          <t>★★★ High</t>
        </is>
      </c>
      <c r="K14" s="19" t="inlineStr">
        <is>
          <t>Proof</t>
        </is>
      </c>
      <c r="L14" s="21" t="inlineStr">
        <is>
          <t>✔ Solved</t>
        </is>
      </c>
      <c r="M14" s="20" t="inlineStr">
        <is>
          <t>2021-22 7(b) (EEE); 2017-18 4(c) (EEE); 2016-17 7(b) (EEE); 2012-13 7(a) (EEE); 2012-13 7(b) (EEE)</t>
        </is>
      </c>
      <c r="N14" s="22" t="b">
        <v>0</v>
      </c>
      <c r="O14" s="19" t="n"/>
      <c r="P14" s="19" t="n"/>
      <c r="Q14" s="20" t="n"/>
    </row>
    <row r="15">
      <c r="A15" s="19" t="n">
        <v>12</v>
      </c>
      <c r="B15" s="19" t="inlineStr">
        <is>
          <t>2021-22</t>
        </is>
      </c>
      <c r="C15" s="19" t="inlineStr">
        <is>
          <t>EEE 211</t>
        </is>
      </c>
      <c r="D15" s="19" t="inlineStr">
        <is>
          <t>7(b)</t>
        </is>
      </c>
      <c r="E15" s="20" t="inlineStr">
        <is>
          <t>Convolution property: inverse LT of 1/(s−a)³</t>
        </is>
      </c>
      <c r="F15" s="20" t="inlineStr">
        <is>
          <t>Laplace properties — Lec 7, sl. 4–18</t>
        </is>
      </c>
      <c r="G15" s="19" t="inlineStr">
        <is>
          <t>L15</t>
        </is>
      </c>
      <c r="H15" s="19" t="n">
        <v>12</v>
      </c>
      <c r="I15" s="19" t="inlineStr">
        <is>
          <t>EEE p.15</t>
        </is>
      </c>
      <c r="J15" s="24" t="inlineStr">
        <is>
          <t>★★★ High</t>
        </is>
      </c>
      <c r="K15" s="19" t="inlineStr">
        <is>
          <t>Numerical</t>
        </is>
      </c>
      <c r="L15" s="21" t="inlineStr">
        <is>
          <t>✔ Solved</t>
        </is>
      </c>
      <c r="M15" s="20" t="inlineStr">
        <is>
          <t>2022-23 2(a); 2017-18 4(c) (EEE); 2016-17 7(b) (EEE); 2012-13 7(a) (EEE); 2012-13 7(b) (EEE)</t>
        </is>
      </c>
      <c r="N15" s="22" t="b">
        <v>0</v>
      </c>
      <c r="O15" s="19" t="n"/>
      <c r="P15" s="19" t="n"/>
      <c r="Q15" s="20" t="n"/>
    </row>
    <row r="16">
      <c r="A16" s="19" t="n">
        <v>13</v>
      </c>
      <c r="B16" s="19" t="inlineStr">
        <is>
          <t>2017-18</t>
        </is>
      </c>
      <c r="C16" s="19" t="inlineStr">
        <is>
          <t>EEE 211</t>
        </is>
      </c>
      <c r="D16" s="19" t="inlineStr">
        <is>
          <t>4(c)</t>
        </is>
      </c>
      <c r="E16" s="20" t="inlineStr">
        <is>
          <t>LT of a periodic ±1 square wave (period 2T); ROC</t>
        </is>
      </c>
      <c r="F16" s="20" t="inlineStr">
        <is>
          <t>Laplace properties — Lec 7, sl. 4–18</t>
        </is>
      </c>
      <c r="G16" s="19" t="inlineStr">
        <is>
          <t>L15</t>
        </is>
      </c>
      <c r="H16" s="19" t="n">
        <v>10</v>
      </c>
      <c r="I16" s="19" t="inlineStr">
        <is>
          <t>EEE p.34</t>
        </is>
      </c>
      <c r="J16" s="25" t="inlineStr">
        <is>
          <t>★★ Medium</t>
        </is>
      </c>
      <c r="K16" s="19" t="inlineStr">
        <is>
          <t>Numerical</t>
        </is>
      </c>
      <c r="L16" s="21" t="inlineStr">
        <is>
          <t>✔ Solved</t>
        </is>
      </c>
      <c r="M16" s="20" t="inlineStr">
        <is>
          <t>2022-23 2(a); 2021-22 7(b) (EEE); 2016-17 7(b) (EEE); 2012-13 7(a) (EEE); 2012-13 7(b) (EEE)</t>
        </is>
      </c>
      <c r="N16" s="22" t="b">
        <v>0</v>
      </c>
      <c r="O16" s="19" t="n"/>
      <c r="P16" s="19" t="n"/>
      <c r="Q16" s="20" t="n"/>
    </row>
    <row r="17">
      <c r="A17" s="19" t="n">
        <v>14</v>
      </c>
      <c r="B17" s="19" t="inlineStr">
        <is>
          <t>2016-17</t>
        </is>
      </c>
      <c r="C17" s="19" t="inlineStr">
        <is>
          <t>EEE 211</t>
        </is>
      </c>
      <c r="D17" s="19" t="inlineStr">
        <is>
          <t>7(b)</t>
        </is>
      </c>
      <c r="E17" s="20" t="inlineStr">
        <is>
          <t>Given X(s): LT of t·x + dx/dt + ∫₀ᵗx</t>
        </is>
      </c>
      <c r="F17" s="20" t="inlineStr">
        <is>
          <t>Laplace properties — Lec 7, sl. 4–18</t>
        </is>
      </c>
      <c r="G17" s="19" t="inlineStr">
        <is>
          <t>L15</t>
        </is>
      </c>
      <c r="H17" s="19" t="n">
        <v>12</v>
      </c>
      <c r="I17" s="19" t="inlineStr">
        <is>
          <t>EEE p.40</t>
        </is>
      </c>
      <c r="J17" s="25" t="inlineStr">
        <is>
          <t>★★ Medium</t>
        </is>
      </c>
      <c r="K17" s="19" t="inlineStr">
        <is>
          <t>Numerical</t>
        </is>
      </c>
      <c r="L17" s="26" t="inlineStr">
        <is>
          <t>◐ Method</t>
        </is>
      </c>
      <c r="M17" s="20" t="inlineStr">
        <is>
          <t>2022-23 2(a); 2021-22 7(b) (EEE); 2017-18 4(c) (EEE); 2012-13 7(a) (EEE); 2012-13 7(b) (EEE)</t>
        </is>
      </c>
      <c r="N17" s="22" t="b">
        <v>0</v>
      </c>
      <c r="O17" s="19" t="n"/>
      <c r="P17" s="19" t="n"/>
      <c r="Q17" s="20" t="n"/>
    </row>
    <row r="18">
      <c r="A18" s="19" t="n">
        <v>15</v>
      </c>
      <c r="B18" s="19" t="inlineStr">
        <is>
          <t>2012-13</t>
        </is>
      </c>
      <c r="C18" s="19" t="inlineStr">
        <is>
          <t>EEE 301</t>
        </is>
      </c>
      <c r="D18" s="19" t="inlineStr">
        <is>
          <t>7(a)</t>
        </is>
      </c>
      <c r="E18" s="20" t="inlineStr">
        <is>
          <t>LT of |z(t)| for the alternating pulse train</t>
        </is>
      </c>
      <c r="F18" s="20" t="inlineStr">
        <is>
          <t>Laplace properties — Lec 7, sl. 4–18</t>
        </is>
      </c>
      <c r="G18" s="19" t="inlineStr">
        <is>
          <t>L15</t>
        </is>
      </c>
      <c r="H18" s="19" t="n">
        <v>10</v>
      </c>
      <c r="I18" s="19" t="inlineStr">
        <is>
          <t>EEE p.57, 60</t>
        </is>
      </c>
      <c r="J18" s="25" t="inlineStr">
        <is>
          <t>★★ Medium</t>
        </is>
      </c>
      <c r="K18" s="19" t="inlineStr">
        <is>
          <t>Numerical</t>
        </is>
      </c>
      <c r="L18" s="21" t="inlineStr">
        <is>
          <t>✔ Solved</t>
        </is>
      </c>
      <c r="M18" s="20" t="inlineStr">
        <is>
          <t>2022-23 2(a); 2021-22 7(b) (EEE); 2017-18 4(c) (EEE); 2016-17 7(b) (EEE); 2012-13 7(b) (EEE)</t>
        </is>
      </c>
      <c r="N18" s="22" t="b">
        <v>0</v>
      </c>
      <c r="O18" s="19" t="n"/>
      <c r="P18" s="19" t="n"/>
      <c r="Q18" s="20" t="n"/>
    </row>
    <row r="19">
      <c r="A19" s="19" t="n">
        <v>16</v>
      </c>
      <c r="B19" s="19" t="inlineStr">
        <is>
          <t>2012-13</t>
        </is>
      </c>
      <c r="C19" s="19" t="inlineStr">
        <is>
          <t>EEE 301</t>
        </is>
      </c>
      <c r="D19" s="19" t="inlineStr">
        <is>
          <t>7(b)</t>
        </is>
      </c>
      <c r="E19" s="20" t="inlineStr">
        <is>
          <t>State and prove the final-value theorem</t>
        </is>
      </c>
      <c r="F19" s="20" t="inlineStr">
        <is>
          <t>Laplace properties — Lec 7, sl. 4–18</t>
        </is>
      </c>
      <c r="G19" s="19" t="inlineStr">
        <is>
          <t>L15</t>
        </is>
      </c>
      <c r="H19" s="19" t="n">
        <v>5</v>
      </c>
      <c r="I19" s="19" t="inlineStr">
        <is>
          <t>EEE p.57</t>
        </is>
      </c>
      <c r="J19" s="25" t="inlineStr">
        <is>
          <t>★★ Medium</t>
        </is>
      </c>
      <c r="K19" s="19" t="inlineStr">
        <is>
          <t>Proof</t>
        </is>
      </c>
      <c r="L19" s="21" t="inlineStr">
        <is>
          <t>✔ Solved</t>
        </is>
      </c>
      <c r="M19" s="20" t="inlineStr">
        <is>
          <t>2022-23 2(a); 2021-22 7(b) (EEE); 2017-18 4(c) (EEE); 2016-17 7(b) (EEE); 2012-13 7(a) (EEE)</t>
        </is>
      </c>
      <c r="N19" s="22" t="b">
        <v>0</v>
      </c>
      <c r="O19" s="19" t="n"/>
      <c r="P19" s="19" t="n"/>
      <c r="Q19" s="20" t="n"/>
    </row>
    <row r="20">
      <c r="A20" s="23" t="n">
        <v>17</v>
      </c>
      <c r="B20" s="23" t="inlineStr">
        <is>
          <t>2023-24</t>
        </is>
      </c>
      <c r="C20" s="23" t="inlineStr">
        <is>
          <t>EEE 211</t>
        </is>
      </c>
      <c r="D20" s="23" t="inlineStr">
        <is>
          <t>4(a)</t>
        </is>
      </c>
      <c r="E20" s="6" t="inlineStr">
        <is>
          <t>RLC circuit, v_C(0⁻)=1, i_L(0⁻)=2, x=u(t): y(t) by LT</t>
        </is>
      </c>
      <c r="F20" s="6" t="inlineStr">
        <is>
          <t>LTI systems, ODEs, circuits, feedback — Lec 7, sl. 20–28 + textbook</t>
        </is>
      </c>
      <c r="G20" s="23" t="inlineStr">
        <is>
          <t>L16</t>
        </is>
      </c>
      <c r="H20" s="23" t="n">
        <v>18</v>
      </c>
      <c r="I20" s="23" t="inlineStr">
        <is>
          <t>EEE p.2</t>
        </is>
      </c>
      <c r="J20" s="24" t="inlineStr">
        <is>
          <t>★★★ High</t>
        </is>
      </c>
      <c r="K20" s="23" t="inlineStr">
        <is>
          <t>Numerical</t>
        </is>
      </c>
      <c r="L20" s="26" t="inlineStr">
        <is>
          <t>◐ Method</t>
        </is>
      </c>
      <c r="M20" s="6" t="inlineStr">
        <is>
          <t>2022-23 3(a) (EEE); 2020-21 3(b) (EEE); 2018-19 5(b) (EEE); 2017-18 3(a) (EEE); 2016-17 8(b) (EEE); 2015-16 8(a) (EEE); 2014-15 8(a) (EEE); 2013-14 5(a) (EEE); 2012-13 8(b) (EEE)</t>
        </is>
      </c>
      <c r="N20" s="22" t="b">
        <v>0</v>
      </c>
      <c r="O20" s="23" t="n"/>
      <c r="P20" s="23" t="n"/>
      <c r="Q20" s="6" t="n"/>
    </row>
    <row r="21">
      <c r="A21" s="23" t="n">
        <v>18</v>
      </c>
      <c r="B21" s="23" t="inlineStr">
        <is>
          <t>2023-24</t>
        </is>
      </c>
      <c r="C21" s="23" t="inlineStr">
        <is>
          <t>EEE 211</t>
        </is>
      </c>
      <c r="D21" s="23" t="inlineStr">
        <is>
          <t>5(b)</t>
        </is>
      </c>
      <c r="E21" s="6" t="inlineStr">
        <is>
          <t>Plant 1/(s+2), controller (s+1)/s, unity feedback, x = Au: final value = input? with 1/(s−2)?</t>
        </is>
      </c>
      <c r="F21" s="6" t="inlineStr">
        <is>
          <t>LTI systems, ODEs, circuits, feedback — Lec 7, sl. 20–28 + textbook</t>
        </is>
      </c>
      <c r="G21" s="23" t="inlineStr">
        <is>
          <t>L16</t>
        </is>
      </c>
      <c r="H21" s="23" t="n">
        <v>15</v>
      </c>
      <c r="I21" s="23" t="inlineStr">
        <is>
          <t>EEE p.4</t>
        </is>
      </c>
      <c r="J21" s="24" t="inlineStr">
        <is>
          <t>★★★ High</t>
        </is>
      </c>
      <c r="K21" s="23" t="inlineStr">
        <is>
          <t>Numerical</t>
        </is>
      </c>
      <c r="L21" s="21" t="inlineStr">
        <is>
          <t>✔ Solved</t>
        </is>
      </c>
      <c r="M21" s="6" t="inlineStr">
        <is>
          <t>2023-24 8(a) (EEE); 2021-22 8(a) (EEE); 2020-21 3(a) (EEE); 2020-21 4(a) (EEE); 2019-20 3 (EEE); 2017-18 3(b) (EEE); 2016-17 7(c) (EEE); 2015-16 8(b) (EEE); 2014-15 7(c) (EEE); 2013-14 6(c) (EEE); 2010-11 4(a) (EEE)</t>
        </is>
      </c>
      <c r="N21" s="22" t="b">
        <v>0</v>
      </c>
      <c r="O21" s="23" t="n"/>
      <c r="P21" s="23" t="n"/>
      <c r="Q21" s="6" t="n"/>
    </row>
    <row r="22">
      <c r="A22" s="23" t="n">
        <v>19</v>
      </c>
      <c r="B22" s="23" t="inlineStr">
        <is>
          <t>2023-24</t>
        </is>
      </c>
      <c r="C22" s="23" t="inlineStr">
        <is>
          <t>CSE 219</t>
        </is>
      </c>
      <c r="D22" s="23" t="inlineStr">
        <is>
          <t>6(a)</t>
        </is>
      </c>
      <c r="E22" s="6" t="inlineStr">
        <is>
          <t>y''+7y'+12y = x'+2x, x = u(t), zero IC: solve by LT</t>
        </is>
      </c>
      <c r="F22" s="6" t="inlineStr">
        <is>
          <t>LTI systems, ODEs, circuits, feedback — Lec 7, sl. 20–28 + textbook</t>
        </is>
      </c>
      <c r="G22" s="23" t="inlineStr">
        <is>
          <t>L16</t>
        </is>
      </c>
      <c r="H22" s="23" t="n">
        <v>12</v>
      </c>
      <c r="I22" s="23" t="inlineStr">
        <is>
          <t>22 batch p.3</t>
        </is>
      </c>
      <c r="J22" s="24" t="inlineStr">
        <is>
          <t>★★★ High</t>
        </is>
      </c>
      <c r="K22" s="23" t="inlineStr">
        <is>
          <t>Numerical</t>
        </is>
      </c>
      <c r="L22" s="21" t="inlineStr">
        <is>
          <t>✔ Solved</t>
        </is>
      </c>
      <c r="M22" s="6" t="inlineStr">
        <is>
          <t>2023-24 8(b) (EEE); 2021-22 7(c) (EEE); 2018-19 8(a) (EEE); 2017-18 4(b) (EEE); 2015-16 7(b) (EEE); 2014-15 7(a) (EEE); 2013-14 6(a) (EEE); 2011-12 3(b) (EEE); 2011-12 4(a) (EEE); 2011-12 8(a) (EEE); 2010-11 3(a) (EEE)</t>
        </is>
      </c>
      <c r="N22" s="22" t="b">
        <v>0</v>
      </c>
      <c r="O22" s="23" t="n"/>
      <c r="P22" s="23" t="n"/>
      <c r="Q22" s="6" t="n"/>
    </row>
    <row r="23">
      <c r="A23" s="23" t="n">
        <v>20</v>
      </c>
      <c r="B23" s="23" t="inlineStr">
        <is>
          <t>2023-24</t>
        </is>
      </c>
      <c r="C23" s="23" t="inlineStr">
        <is>
          <t>CSE 219</t>
        </is>
      </c>
      <c r="D23" s="23" t="inlineStr">
        <is>
          <t>6(c)</t>
        </is>
      </c>
      <c r="E23" s="6" t="inlineStr">
        <is>
          <t>Causal but unstable? stable but non-causal? reason with ROC</t>
        </is>
      </c>
      <c r="F23" s="6" t="inlineStr">
        <is>
          <t>LTI systems, ODEs, circuits, feedback — Lec 7, sl. 20–28 + textbook</t>
        </is>
      </c>
      <c r="G23" s="23" t="inlineStr">
        <is>
          <t>L16</t>
        </is>
      </c>
      <c r="H23" s="23" t="n">
        <v>10</v>
      </c>
      <c r="I23" s="23" t="inlineStr">
        <is>
          <t>22 batch p.3</t>
        </is>
      </c>
      <c r="J23" s="24" t="inlineStr">
        <is>
          <t>★★★ High</t>
        </is>
      </c>
      <c r="K23" s="23" t="inlineStr">
        <is>
          <t>Theory</t>
        </is>
      </c>
      <c r="L23" s="21" t="inlineStr">
        <is>
          <t>✔ Solved</t>
        </is>
      </c>
      <c r="M23" s="6" t="inlineStr">
        <is>
          <t>—</t>
        </is>
      </c>
      <c r="N23" s="22" t="b">
        <v>0</v>
      </c>
      <c r="O23" s="23" t="n"/>
      <c r="P23" s="23" t="n"/>
      <c r="Q23" s="6" t="n"/>
    </row>
    <row r="24">
      <c r="A24" s="23" t="n">
        <v>21</v>
      </c>
      <c r="B24" s="23" t="inlineStr">
        <is>
          <t>2023-24</t>
        </is>
      </c>
      <c r="C24" s="23" t="inlineStr">
        <is>
          <t>EEE 211</t>
        </is>
      </c>
      <c r="D24" s="23" t="inlineStr">
        <is>
          <t>8(a)</t>
        </is>
      </c>
      <c r="E24" s="6" t="inlineStr">
        <is>
          <t>Transfer function of the block diagram; poles; stability</t>
        </is>
      </c>
      <c r="F24" s="6" t="inlineStr">
        <is>
          <t>LTI systems, ODEs, circuits, feedback — Lec 7, sl. 20–28 + textbook</t>
        </is>
      </c>
      <c r="G24" s="23" t="inlineStr">
        <is>
          <t>L16</t>
        </is>
      </c>
      <c r="H24" s="23" t="n">
        <v>17</v>
      </c>
      <c r="I24" s="23" t="inlineStr">
        <is>
          <t>EEE p.6</t>
        </is>
      </c>
      <c r="J24" s="24" t="inlineStr">
        <is>
          <t>★★★ High</t>
        </is>
      </c>
      <c r="K24" s="23" t="inlineStr">
        <is>
          <t>Numerical</t>
        </is>
      </c>
      <c r="L24" s="27" t="inlineStr">
        <is>
          <t>○ Partly</t>
        </is>
      </c>
      <c r="M24" s="6" t="inlineStr">
        <is>
          <t>2023-24 5(b) (EEE); 2021-22 8(a) (EEE); 2020-21 3(a) (EEE); 2020-21 4(a) (EEE); 2019-20 3 (EEE); 2017-18 3(b) (EEE); 2016-17 7(c) (EEE); 2015-16 8(b) (EEE); 2014-15 7(c) (EEE); 2013-14 6(c) (EEE); 2010-11 4(a) (EEE)</t>
        </is>
      </c>
      <c r="N24" s="22" t="b">
        <v>0</v>
      </c>
      <c r="O24" s="23" t="n"/>
      <c r="P24" s="23" t="n"/>
      <c r="Q24" s="6" t="n"/>
    </row>
    <row r="25">
      <c r="A25" s="23" t="n">
        <v>22</v>
      </c>
      <c r="B25" s="23" t="inlineStr">
        <is>
          <t>2023-24</t>
        </is>
      </c>
      <c r="C25" s="23" t="inlineStr">
        <is>
          <t>EEE 211</t>
        </is>
      </c>
      <c r="D25" s="23" t="inlineStr">
        <is>
          <t>8(b)</t>
        </is>
      </c>
      <c r="E25" s="6" t="inlineStr">
        <is>
          <t>y''+5y'+6y = x'+x, y(0⁻)=2, y'(0⁻)=1, x = e^{−4t}u: ZIR and ZSR by LT</t>
        </is>
      </c>
      <c r="F25" s="6" t="inlineStr">
        <is>
          <t>LTI systems, ODEs, circuits, feedback — Lec 7, sl. 20–28 + textbook</t>
        </is>
      </c>
      <c r="G25" s="23" t="inlineStr">
        <is>
          <t>L16</t>
        </is>
      </c>
      <c r="H25" s="23" t="n">
        <v>18</v>
      </c>
      <c r="I25" s="23" t="inlineStr">
        <is>
          <t>EEE p.6</t>
        </is>
      </c>
      <c r="J25" s="24" t="inlineStr">
        <is>
          <t>★★★ High</t>
        </is>
      </c>
      <c r="K25" s="23" t="inlineStr">
        <is>
          <t>Numerical</t>
        </is>
      </c>
      <c r="L25" s="21" t="inlineStr">
        <is>
          <t>✔ Solved</t>
        </is>
      </c>
      <c r="M25" s="6" t="inlineStr">
        <is>
          <t>2023-24 6(a); 2021-22 7(c) (EEE); 2018-19 8(a) (EEE); 2017-18 4(b) (EEE); 2015-16 7(b) (EEE); 2014-15 7(a) (EEE); 2013-14 6(a) (EEE); 2011-12 3(b) (EEE); 2011-12 4(a) (EEE); 2011-12 8(a) (EEE); 2010-11 3(a) (EEE)</t>
        </is>
      </c>
      <c r="N25" s="22" t="b">
        <v>0</v>
      </c>
      <c r="O25" s="23" t="n"/>
      <c r="P25" s="23" t="n"/>
      <c r="Q25" s="6" t="n"/>
    </row>
    <row r="26">
      <c r="A26" s="23" t="n">
        <v>23</v>
      </c>
      <c r="B26" s="23" t="inlineStr">
        <is>
          <t>2022-23</t>
        </is>
      </c>
      <c r="C26" s="23" t="inlineStr">
        <is>
          <t>EEE 211</t>
        </is>
      </c>
      <c r="D26" s="23" t="inlineStr">
        <is>
          <t>1(a)</t>
        </is>
      </c>
      <c r="E26" s="6" t="inlineStr">
        <is>
          <t>Thermostat: choose H₁ = s²/(s²+9) or H₂; % incremental change at 1.5 s</t>
        </is>
      </c>
      <c r="F26" s="6" t="inlineStr">
        <is>
          <t>LTI systems, ODEs, circuits, feedback — Lec 7, sl. 20–28 + textbook</t>
        </is>
      </c>
      <c r="G26" s="23" t="inlineStr">
        <is>
          <t>L16</t>
        </is>
      </c>
      <c r="H26" s="23" t="n">
        <v>18</v>
      </c>
      <c r="I26" s="23" t="inlineStr">
        <is>
          <t>EEE p.7</t>
        </is>
      </c>
      <c r="J26" s="24" t="inlineStr">
        <is>
          <t>★★★ High</t>
        </is>
      </c>
      <c r="K26" s="23" t="inlineStr">
        <is>
          <t>Numerical</t>
        </is>
      </c>
      <c r="L26" s="27" t="inlineStr">
        <is>
          <t>○ Partly</t>
        </is>
      </c>
      <c r="M26" s="6" t="inlineStr">
        <is>
          <t>2018-19 5(a) (EEE); 2012-13 7(c) (EEE); 2011-12 3(a) (EEE)</t>
        </is>
      </c>
      <c r="N26" s="22" t="b">
        <v>0</v>
      </c>
      <c r="O26" s="23" t="n"/>
      <c r="P26" s="23" t="n"/>
      <c r="Q26" s="6" t="n"/>
    </row>
    <row r="27">
      <c r="A27" s="23" t="n">
        <v>24</v>
      </c>
      <c r="B27" s="23" t="inlineStr">
        <is>
          <t>2022-23</t>
        </is>
      </c>
      <c r="C27" s="23" t="inlineStr">
        <is>
          <t>EEE 211</t>
        </is>
      </c>
      <c r="D27" s="23" t="inlineStr">
        <is>
          <t>3(a)</t>
        </is>
      </c>
      <c r="E27" s="6" t="inlineStr">
        <is>
          <t>Circuit with v = 2 V (t&lt;0), 4e^{−2t} (t≥0): i_R(t) by LT</t>
        </is>
      </c>
      <c r="F27" s="6" t="inlineStr">
        <is>
          <t>LTI systems, ODEs, circuits, feedback — Lec 7, sl. 20–28 + textbook</t>
        </is>
      </c>
      <c r="G27" s="23" t="inlineStr">
        <is>
          <t>L16</t>
        </is>
      </c>
      <c r="H27" s="23" t="n">
        <v>18</v>
      </c>
      <c r="I27" s="23" t="inlineStr">
        <is>
          <t>EEE p.8</t>
        </is>
      </c>
      <c r="J27" s="24" t="inlineStr">
        <is>
          <t>★★★ High</t>
        </is>
      </c>
      <c r="K27" s="23" t="inlineStr">
        <is>
          <t>Numerical</t>
        </is>
      </c>
      <c r="L27" s="26" t="inlineStr">
        <is>
          <t>◐ Method</t>
        </is>
      </c>
      <c r="M27" s="6" t="inlineStr">
        <is>
          <t>2023-24 4(a) (EEE); 2020-21 3(b) (EEE); 2018-19 5(b) (EEE); 2017-18 3(a) (EEE); 2016-17 8(b) (EEE); 2015-16 8(a) (EEE); 2014-15 8(a) (EEE); 2013-14 5(a) (EEE); 2012-13 8(b) (EEE)</t>
        </is>
      </c>
      <c r="N27" s="22" t="b">
        <v>0</v>
      </c>
      <c r="O27" s="23" t="n"/>
      <c r="P27" s="23" t="n"/>
      <c r="Q27" s="6" t="n"/>
    </row>
    <row r="28">
      <c r="A28" s="23" t="n">
        <v>25</v>
      </c>
      <c r="B28" s="23" t="inlineStr">
        <is>
          <t>2021-22</t>
        </is>
      </c>
      <c r="C28" s="23" t="inlineStr">
        <is>
          <t>EEE 211</t>
        </is>
      </c>
      <c r="D28" s="23" t="inlineStr">
        <is>
          <t>7(c)</t>
        </is>
      </c>
      <c r="E28" s="6" t="inlineStr">
        <is>
          <t>y'+2y = e^{−3t}u(t), y(0⁻) = 1 by LT</t>
        </is>
      </c>
      <c r="F28" s="6" t="inlineStr">
        <is>
          <t>LTI systems, ODEs, circuits, feedback — Lec 7, sl. 20–28 + textbook</t>
        </is>
      </c>
      <c r="G28" s="23" t="inlineStr">
        <is>
          <t>L16</t>
        </is>
      </c>
      <c r="H28" s="23" t="n">
        <v>11</v>
      </c>
      <c r="I28" s="23" t="inlineStr">
        <is>
          <t>EEE p.15</t>
        </is>
      </c>
      <c r="J28" s="24" t="inlineStr">
        <is>
          <t>★★★ High</t>
        </is>
      </c>
      <c r="K28" s="23" t="inlineStr">
        <is>
          <t>Numerical</t>
        </is>
      </c>
      <c r="L28" s="21" t="inlineStr">
        <is>
          <t>✔ Solved</t>
        </is>
      </c>
      <c r="M28" s="6" t="inlineStr">
        <is>
          <t>2023-24 6(a); 2023-24 8(b) (EEE); 2018-19 8(a) (EEE); 2017-18 4(b) (EEE); 2015-16 7(b) (EEE); 2014-15 7(a) (EEE); 2013-14 6(a) (EEE); 2011-12 3(b) (EEE); 2011-12 4(a) (EEE); 2011-12 8(a) (EEE); 2010-11 3(a) (EEE)</t>
        </is>
      </c>
      <c r="N28" s="22" t="b">
        <v>0</v>
      </c>
      <c r="O28" s="23" t="n"/>
      <c r="P28" s="23" t="n"/>
      <c r="Q28" s="6" t="n"/>
    </row>
    <row r="29">
      <c r="A29" s="23" t="n">
        <v>26</v>
      </c>
      <c r="B29" s="23" t="inlineStr">
        <is>
          <t>2021-22</t>
        </is>
      </c>
      <c r="C29" s="23" t="inlineStr">
        <is>
          <t>EEE 211</t>
        </is>
      </c>
      <c r="D29" s="23" t="inlineStr">
        <is>
          <t>8(a)</t>
        </is>
      </c>
      <c r="E29" s="6" t="inlineStr">
        <is>
          <t>Control loop with disturbance: H_d = Y/W; zero steady state if H_c has a zero at 0</t>
        </is>
      </c>
      <c r="F29" s="6" t="inlineStr">
        <is>
          <t>LTI systems, ODEs, circuits, feedback — Lec 7, sl. 20–28 + textbook</t>
        </is>
      </c>
      <c r="G29" s="23" t="inlineStr">
        <is>
          <t>L16</t>
        </is>
      </c>
      <c r="H29" s="23" t="n">
        <v>18</v>
      </c>
      <c r="I29" s="23" t="inlineStr">
        <is>
          <t>EEE p.15–16</t>
        </is>
      </c>
      <c r="J29" s="24" t="inlineStr">
        <is>
          <t>★★★ High</t>
        </is>
      </c>
      <c r="K29" s="23" t="inlineStr">
        <is>
          <t>Numerical</t>
        </is>
      </c>
      <c r="L29" s="27" t="inlineStr">
        <is>
          <t>○ Partly</t>
        </is>
      </c>
      <c r="M29" s="6" t="inlineStr">
        <is>
          <t>2023-24 5(b) (EEE); 2023-24 8(a) (EEE); 2020-21 3(a) (EEE); 2020-21 4(a) (EEE); 2019-20 3 (EEE); 2017-18 3(b) (EEE); 2016-17 7(c) (EEE); 2015-16 8(b) (EEE); 2014-15 7(c) (EEE); 2013-14 6(c) (EEE); 2010-11 4(a) (EEE)</t>
        </is>
      </c>
      <c r="N29" s="22" t="b">
        <v>0</v>
      </c>
      <c r="O29" s="23" t="n"/>
      <c r="P29" s="23" t="n"/>
      <c r="Q29" s="6" t="n"/>
    </row>
    <row r="30">
      <c r="A30" s="23" t="n">
        <v>27</v>
      </c>
      <c r="B30" s="23" t="inlineStr">
        <is>
          <t>2020-21</t>
        </is>
      </c>
      <c r="C30" s="23" t="inlineStr">
        <is>
          <t>EEE 211</t>
        </is>
      </c>
      <c r="D30" s="23" t="inlineStr">
        <is>
          <t>3(a)</t>
        </is>
      </c>
      <c r="E30" s="6" t="inlineStr">
        <is>
          <t>H₁ = 1/(s²+bs+(b−3)), H₂ = −2 feedback: overall H, b for stability</t>
        </is>
      </c>
      <c r="F30" s="6" t="inlineStr">
        <is>
          <t>LTI systems, ODEs, circuits, feedback — Lec 7, sl. 20–28 + textbook</t>
        </is>
      </c>
      <c r="G30" s="23" t="inlineStr">
        <is>
          <t>L16</t>
        </is>
      </c>
      <c r="H30" s="23" t="n">
        <v>15</v>
      </c>
      <c r="I30" s="23" t="inlineStr">
        <is>
          <t>EEE p.18</t>
        </is>
      </c>
      <c r="J30" s="24" t="inlineStr">
        <is>
          <t>★★★ High</t>
        </is>
      </c>
      <c r="K30" s="23" t="inlineStr">
        <is>
          <t>Numerical</t>
        </is>
      </c>
      <c r="L30" s="26" t="inlineStr">
        <is>
          <t>◐ Method</t>
        </is>
      </c>
      <c r="M30" s="6" t="inlineStr">
        <is>
          <t>2023-24 5(b) (EEE); 2023-24 8(a) (EEE); 2021-22 8(a) (EEE); 2020-21 4(a) (EEE); 2019-20 3 (EEE); 2017-18 3(b) (EEE); 2016-17 7(c) (EEE); 2015-16 8(b) (EEE); 2014-15 7(c) (EEE); 2013-14 6(c) (EEE); 2010-11 4(a) (EEE)</t>
        </is>
      </c>
      <c r="N30" s="22" t="b">
        <v>0</v>
      </c>
      <c r="O30" s="23" t="n"/>
      <c r="P30" s="23" t="n"/>
      <c r="Q30" s="6" t="n"/>
    </row>
    <row r="31">
      <c r="A31" s="23" t="n">
        <v>28</v>
      </c>
      <c r="B31" s="23" t="inlineStr">
        <is>
          <t>2020-21</t>
        </is>
      </c>
      <c r="C31" s="23" t="inlineStr">
        <is>
          <t>EEE 211</t>
        </is>
      </c>
      <c r="D31" s="23" t="inlineStr">
        <is>
          <t>3(b)</t>
        </is>
      </c>
      <c r="E31" s="6" t="inlineStr">
        <is>
          <t>Switched circuit (10 V, 4Ω, 0.2F, 3Ω, 6Ω, 0.5H): i(t) by LT</t>
        </is>
      </c>
      <c r="F31" s="6" t="inlineStr">
        <is>
          <t>LTI systems, ODEs, circuits, feedback — Lec 7, sl. 20–28 + textbook</t>
        </is>
      </c>
      <c r="G31" s="23" t="inlineStr">
        <is>
          <t>L16</t>
        </is>
      </c>
      <c r="H31" s="23" t="n">
        <v>20</v>
      </c>
      <c r="I31" s="23" t="inlineStr">
        <is>
          <t>EEE p.18</t>
        </is>
      </c>
      <c r="J31" s="24" t="inlineStr">
        <is>
          <t>★★★ High</t>
        </is>
      </c>
      <c r="K31" s="23" t="inlineStr">
        <is>
          <t>Numerical</t>
        </is>
      </c>
      <c r="L31" s="26" t="inlineStr">
        <is>
          <t>◐ Method</t>
        </is>
      </c>
      <c r="M31" s="6" t="inlineStr">
        <is>
          <t>2023-24 4(a) (EEE); 2022-23 3(a) (EEE); 2018-19 5(b) (EEE); 2017-18 3(a) (EEE); 2016-17 8(b) (EEE); 2015-16 8(a) (EEE); 2014-15 8(a) (EEE); 2013-14 5(a) (EEE); 2012-13 8(b) (EEE)</t>
        </is>
      </c>
      <c r="N31" s="22" t="b">
        <v>0</v>
      </c>
      <c r="O31" s="23" t="n"/>
      <c r="P31" s="23" t="n"/>
      <c r="Q31" s="6" t="n"/>
    </row>
    <row r="32">
      <c r="A32" s="23" t="n">
        <v>29</v>
      </c>
      <c r="B32" s="23" t="inlineStr">
        <is>
          <t>2020-21</t>
        </is>
      </c>
      <c r="C32" s="23" t="inlineStr">
        <is>
          <t>EEE 211</t>
        </is>
      </c>
      <c r="D32" s="23" t="inlineStr">
        <is>
          <t>4(a)</t>
        </is>
      </c>
      <c r="E32" s="6" t="inlineStr">
        <is>
          <t>Block diagram H₁ = 1/(s+2), H₂ = s/(s+3), K = 2: H(s) and step response</t>
        </is>
      </c>
      <c r="F32" s="6" t="inlineStr">
        <is>
          <t>LTI systems, ODEs, circuits, feedback — Lec 7, sl. 20–28 + textbook</t>
        </is>
      </c>
      <c r="G32" s="23" t="inlineStr">
        <is>
          <t>L16</t>
        </is>
      </c>
      <c r="H32" s="23" t="n">
        <v>20</v>
      </c>
      <c r="I32" s="23" t="inlineStr">
        <is>
          <t>EEE p.18</t>
        </is>
      </c>
      <c r="J32" s="24" t="inlineStr">
        <is>
          <t>★★★ High</t>
        </is>
      </c>
      <c r="K32" s="23" t="inlineStr">
        <is>
          <t>Numerical</t>
        </is>
      </c>
      <c r="L32" s="27" t="inlineStr">
        <is>
          <t>○ Partly</t>
        </is>
      </c>
      <c r="M32" s="6" t="inlineStr">
        <is>
          <t>2023-24 5(b) (EEE); 2023-24 8(a) (EEE); 2021-22 8(a) (EEE); 2020-21 3(a) (EEE); 2019-20 3 (EEE); 2017-18 3(b) (EEE); 2016-17 7(c) (EEE); 2015-16 8(b) (EEE); 2014-15 7(c) (EEE); 2013-14 6(c) (EEE); 2010-11 4(a) (EEE)</t>
        </is>
      </c>
      <c r="N32" s="22" t="b">
        <v>0</v>
      </c>
      <c r="O32" s="23" t="n"/>
      <c r="P32" s="23" t="n"/>
      <c r="Q32" s="6" t="n"/>
    </row>
    <row r="33">
      <c r="A33" s="23" t="n">
        <v>30</v>
      </c>
      <c r="B33" s="23" t="inlineStr">
        <is>
          <t>2019-20</t>
        </is>
      </c>
      <c r="C33" s="23" t="inlineStr">
        <is>
          <t>EEE 211</t>
        </is>
      </c>
      <c r="D33" s="23" t="inlineStr">
        <is>
          <t>3</t>
        </is>
      </c>
      <c r="E33" s="6" t="inlineStr">
        <is>
          <t>Multipath y = x + a x(t−T): H(s); inverse system as feedback; its h; causal &amp; stable condition</t>
        </is>
      </c>
      <c r="F33" s="6" t="inlineStr">
        <is>
          <t>LTI systems, ODEs, circuits, feedback — Lec 7, sl. 20–28 + textbook</t>
        </is>
      </c>
      <c r="G33" s="23" t="inlineStr">
        <is>
          <t>L16</t>
        </is>
      </c>
      <c r="H33" s="23" t="n">
        <v>35</v>
      </c>
      <c r="I33" s="23" t="inlineStr">
        <is>
          <t>EEE p.23</t>
        </is>
      </c>
      <c r="J33" s="24" t="inlineStr">
        <is>
          <t>★★★ High</t>
        </is>
      </c>
      <c r="K33" s="23" t="inlineStr">
        <is>
          <t>Numerical</t>
        </is>
      </c>
      <c r="L33" s="26" t="inlineStr">
        <is>
          <t>◐ Method</t>
        </is>
      </c>
      <c r="M33" s="6" t="inlineStr">
        <is>
          <t>2023-24 5(b) (EEE); 2023-24 8(a) (EEE); 2021-22 8(a) (EEE); 2020-21 3(a) (EEE); 2020-21 4(a) (EEE); 2017-18 3(b) (EEE); 2016-17 7(c) (EEE); 2015-16 8(b) (EEE); 2014-15 7(c) (EEE); 2013-14 6(c) (EEE); 2010-11 4(a) (EEE)</t>
        </is>
      </c>
      <c r="N33" s="22" t="b">
        <v>0</v>
      </c>
      <c r="O33" s="23" t="n"/>
      <c r="P33" s="23" t="n"/>
      <c r="Q33" s="6" t="n"/>
    </row>
    <row r="34">
      <c r="A34" s="23" t="n">
        <v>31</v>
      </c>
      <c r="B34" s="23" t="inlineStr">
        <is>
          <t>2018-19</t>
        </is>
      </c>
      <c r="C34" s="23" t="inlineStr">
        <is>
          <t>EEE 211</t>
        </is>
      </c>
      <c r="D34" s="23" t="inlineStr">
        <is>
          <t>5(a)</t>
        </is>
      </c>
      <c r="E34" s="6" t="inlineStr">
        <is>
          <t>X(s): two poles, no finite zeros, pole at −1+j, e^{2t}x not abs. integrable, X(0)=5: X(s), ROC</t>
        </is>
      </c>
      <c r="F34" s="6" t="inlineStr">
        <is>
          <t>LTI systems, ODEs, circuits, feedback — Lec 7, sl. 20–28 + textbook</t>
        </is>
      </c>
      <c r="G34" s="23" t="inlineStr">
        <is>
          <t>L16</t>
        </is>
      </c>
      <c r="H34" s="23" t="n">
        <v>15</v>
      </c>
      <c r="I34" s="23" t="inlineStr">
        <is>
          <t>EEE p.29</t>
        </is>
      </c>
      <c r="J34" s="25" t="inlineStr">
        <is>
          <t>★★ Medium</t>
        </is>
      </c>
      <c r="K34" s="23" t="inlineStr">
        <is>
          <t>Numerical</t>
        </is>
      </c>
      <c r="L34" s="27" t="inlineStr">
        <is>
          <t>○ Partly</t>
        </is>
      </c>
      <c r="M34" s="6" t="inlineStr">
        <is>
          <t>2022-23 1(a) (EEE); 2012-13 7(c) (EEE); 2011-12 3(a) (EEE)</t>
        </is>
      </c>
      <c r="N34" s="22" t="b">
        <v>0</v>
      </c>
      <c r="O34" s="23" t="n"/>
      <c r="P34" s="23" t="n"/>
      <c r="Q34" s="6" t="n"/>
    </row>
    <row r="35">
      <c r="A35" s="23" t="n">
        <v>32</v>
      </c>
      <c r="B35" s="23" t="inlineStr">
        <is>
          <t>2018-19</t>
        </is>
      </c>
      <c r="C35" s="23" t="inlineStr">
        <is>
          <t>EEE 211</t>
        </is>
      </c>
      <c r="D35" s="23" t="inlineStr">
        <is>
          <t>5(b)</t>
        </is>
      </c>
      <c r="E35" s="6" t="inlineStr">
        <is>
          <t>i_s = 2 A (t≤0), 4e^{−2t} A (t≥0) into R = 2 Ω ∥ L = 2 H: i_L(t) by LT</t>
        </is>
      </c>
      <c r="F35" s="6" t="inlineStr">
        <is>
          <t>LTI systems, ODEs, circuits, feedback — Lec 7, sl. 20–28 + textbook</t>
        </is>
      </c>
      <c r="G35" s="23" t="inlineStr">
        <is>
          <t>L16</t>
        </is>
      </c>
      <c r="H35" s="23" t="n">
        <v>20</v>
      </c>
      <c r="I35" s="23" t="inlineStr">
        <is>
          <t>EEE p.29–30</t>
        </is>
      </c>
      <c r="J35" s="25" t="inlineStr">
        <is>
          <t>★★ Medium</t>
        </is>
      </c>
      <c r="K35" s="23" t="inlineStr">
        <is>
          <t>Numerical</t>
        </is>
      </c>
      <c r="L35" s="26" t="inlineStr">
        <is>
          <t>◐ Method</t>
        </is>
      </c>
      <c r="M35" s="6" t="inlineStr">
        <is>
          <t>2023-24 4(a) (EEE); 2022-23 3(a) (EEE); 2020-21 3(b) (EEE); 2017-18 3(a) (EEE); 2016-17 8(b) (EEE); 2015-16 8(a) (EEE); 2014-15 8(a) (EEE); 2013-14 5(a) (EEE); 2012-13 8(b) (EEE)</t>
        </is>
      </c>
      <c r="N35" s="22" t="b">
        <v>0</v>
      </c>
      <c r="O35" s="23" t="n"/>
      <c r="P35" s="23" t="n"/>
      <c r="Q35" s="6" t="n"/>
    </row>
    <row r="36">
      <c r="A36" s="23" t="n">
        <v>33</v>
      </c>
      <c r="B36" s="23" t="inlineStr">
        <is>
          <t>2018-19</t>
        </is>
      </c>
      <c r="C36" s="23" t="inlineStr">
        <is>
          <t>EEE 211</t>
        </is>
      </c>
      <c r="D36" s="23" t="inlineStr">
        <is>
          <t>8(a)</t>
        </is>
      </c>
      <c r="E36" s="6" t="inlineStr">
        <is>
          <t>y''+3y'+Ky = x'': K for BIBO stability; ZIR for y(0⁺)=0, y'(0⁺)=1, K=2</t>
        </is>
      </c>
      <c r="F36" s="6" t="inlineStr">
        <is>
          <t>LTI systems, ODEs, circuits, feedback — Lec 7, sl. 20–28 + textbook</t>
        </is>
      </c>
      <c r="G36" s="23" t="inlineStr">
        <is>
          <t>L16</t>
        </is>
      </c>
      <c r="H36" s="23" t="n">
        <v>15</v>
      </c>
      <c r="I36" s="23" t="inlineStr">
        <is>
          <t>EEE p.31</t>
        </is>
      </c>
      <c r="J36" s="25" t="inlineStr">
        <is>
          <t>★★ Medium</t>
        </is>
      </c>
      <c r="K36" s="23" t="inlineStr">
        <is>
          <t>Numerical</t>
        </is>
      </c>
      <c r="L36" s="27" t="inlineStr">
        <is>
          <t>○ Partly</t>
        </is>
      </c>
      <c r="M36" s="6" t="inlineStr">
        <is>
          <t>2023-24 6(a); 2023-24 8(b) (EEE); 2021-22 7(c) (EEE); 2017-18 4(b) (EEE); 2015-16 7(b) (EEE); 2014-15 7(a) (EEE); 2013-14 6(a) (EEE); 2011-12 3(b) (EEE); 2011-12 4(a) (EEE); 2011-12 8(a) (EEE); 2010-11 3(a) (EEE)</t>
        </is>
      </c>
      <c r="N36" s="22" t="b">
        <v>0</v>
      </c>
      <c r="O36" s="23" t="n"/>
      <c r="P36" s="23" t="n"/>
      <c r="Q36" s="6" t="n"/>
    </row>
    <row r="37">
      <c r="A37" s="23" t="n">
        <v>34</v>
      </c>
      <c r="B37" s="23" t="inlineStr">
        <is>
          <t>2017-18</t>
        </is>
      </c>
      <c r="C37" s="23" t="inlineStr">
        <is>
          <t>EEE 211</t>
        </is>
      </c>
      <c r="D37" s="23" t="inlineStr">
        <is>
          <t>3(a)</t>
        </is>
      </c>
      <c r="E37" s="6" t="inlineStr">
        <is>
          <t>s-domain circuit, x = cos t u(t), v_C(0⁻)=1, i_L(0⁻)=2: y(t)</t>
        </is>
      </c>
      <c r="F37" s="6" t="inlineStr">
        <is>
          <t>LTI systems, ODEs, circuits, feedback — Lec 7, sl. 20–28 + textbook</t>
        </is>
      </c>
      <c r="G37" s="23" t="inlineStr">
        <is>
          <t>L16</t>
        </is>
      </c>
      <c r="H37" s="23" t="n">
        <v>17</v>
      </c>
      <c r="I37" s="23" t="inlineStr">
        <is>
          <t>EEE p.33</t>
        </is>
      </c>
      <c r="J37" s="25" t="inlineStr">
        <is>
          <t>★★ Medium</t>
        </is>
      </c>
      <c r="K37" s="23" t="inlineStr">
        <is>
          <t>Numerical</t>
        </is>
      </c>
      <c r="L37" s="26" t="inlineStr">
        <is>
          <t>◐ Method</t>
        </is>
      </c>
      <c r="M37" s="6" t="inlineStr">
        <is>
          <t>2023-24 4(a) (EEE); 2022-23 3(a) (EEE); 2020-21 3(b) (EEE); 2018-19 5(b) (EEE); 2016-17 8(b) (EEE); 2015-16 8(a) (EEE); 2014-15 8(a) (EEE); 2013-14 5(a) (EEE); 2012-13 8(b) (EEE)</t>
        </is>
      </c>
      <c r="N37" s="22" t="b">
        <v>0</v>
      </c>
      <c r="O37" s="23" t="n"/>
      <c r="P37" s="23" t="n"/>
      <c r="Q37" s="6" t="n"/>
    </row>
    <row r="38">
      <c r="A38" s="23" t="n">
        <v>35</v>
      </c>
      <c r="B38" s="23" t="inlineStr">
        <is>
          <t>2017-18</t>
        </is>
      </c>
      <c r="C38" s="23" t="inlineStr">
        <is>
          <t>EEE 211</t>
        </is>
      </c>
      <c r="D38" s="23" t="inlineStr">
        <is>
          <t>3(b)</t>
        </is>
      </c>
      <c r="E38" s="6" t="inlineStr">
        <is>
          <t>H₁ = 1/(s²+bs+(b−2)), H₂ = −1: H(s); b for stability</t>
        </is>
      </c>
      <c r="F38" s="6" t="inlineStr">
        <is>
          <t>LTI systems, ODEs, circuits, feedback — Lec 7, sl. 20–28 + textbook</t>
        </is>
      </c>
      <c r="G38" s="23" t="inlineStr">
        <is>
          <t>L16</t>
        </is>
      </c>
      <c r="H38" s="23" t="n">
        <v>18</v>
      </c>
      <c r="I38" s="23" t="inlineStr">
        <is>
          <t>EEE p.33</t>
        </is>
      </c>
      <c r="J38" s="25" t="inlineStr">
        <is>
          <t>★★ Medium</t>
        </is>
      </c>
      <c r="K38" s="23" t="inlineStr">
        <is>
          <t>Numerical</t>
        </is>
      </c>
      <c r="L38" s="26" t="inlineStr">
        <is>
          <t>◐ Method</t>
        </is>
      </c>
      <c r="M38" s="6" t="inlineStr">
        <is>
          <t>2023-24 5(b) (EEE); 2023-24 8(a) (EEE); 2021-22 8(a) (EEE); 2020-21 3(a) (EEE); 2020-21 4(a) (EEE); 2019-20 3 (EEE); 2016-17 7(c) (EEE); 2015-16 8(b) (EEE); 2014-15 7(c) (EEE); 2013-14 6(c) (EEE); 2010-11 4(a) (EEE)</t>
        </is>
      </c>
      <c r="N38" s="22" t="b">
        <v>0</v>
      </c>
      <c r="O38" s="23" t="n"/>
      <c r="P38" s="23" t="n"/>
      <c r="Q38" s="6" t="n"/>
    </row>
    <row r="39">
      <c r="A39" s="23" t="n">
        <v>36</v>
      </c>
      <c r="B39" s="23" t="inlineStr">
        <is>
          <t>2017-18</t>
        </is>
      </c>
      <c r="C39" s="23" t="inlineStr">
        <is>
          <t>EEE 211</t>
        </is>
      </c>
      <c r="D39" s="23" t="inlineStr">
        <is>
          <t>4(b)</t>
        </is>
      </c>
      <c r="E39" s="6" t="inlineStr">
        <is>
          <t>y''+3y'+2y = 2x'+x: transfer function and h(t)</t>
        </is>
      </c>
      <c r="F39" s="6" t="inlineStr">
        <is>
          <t>LTI systems, ODEs, circuits, feedback — Lec 7, sl. 20–28 + textbook</t>
        </is>
      </c>
      <c r="G39" s="23" t="inlineStr">
        <is>
          <t>L16</t>
        </is>
      </c>
      <c r="H39" s="23" t="n">
        <v>13</v>
      </c>
      <c r="I39" s="23" t="inlineStr">
        <is>
          <t>EEE p.34</t>
        </is>
      </c>
      <c r="J39" s="25" t="inlineStr">
        <is>
          <t>★★ Medium</t>
        </is>
      </c>
      <c r="K39" s="23" t="inlineStr">
        <is>
          <t>Numerical</t>
        </is>
      </c>
      <c r="L39" s="21" t="inlineStr">
        <is>
          <t>✔ Solved</t>
        </is>
      </c>
      <c r="M39" s="6" t="inlineStr">
        <is>
          <t>2023-24 6(a); 2023-24 8(b) (EEE); 2021-22 7(c) (EEE); 2018-19 8(a) (EEE); 2015-16 7(b) (EEE); 2014-15 7(a) (EEE); 2013-14 6(a) (EEE); 2011-12 3(b) (EEE); 2011-12 4(a) (EEE); 2011-12 8(a) (EEE); 2010-11 3(a) (EEE)</t>
        </is>
      </c>
      <c r="N39" s="22" t="b">
        <v>0</v>
      </c>
      <c r="O39" s="23" t="n"/>
      <c r="P39" s="23" t="n"/>
      <c r="Q39" s="6" t="n"/>
    </row>
    <row r="40">
      <c r="A40" s="23" t="n">
        <v>37</v>
      </c>
      <c r="B40" s="23" t="inlineStr">
        <is>
          <t>2016-17</t>
        </is>
      </c>
      <c r="C40" s="23" t="inlineStr">
        <is>
          <t>EEE 211</t>
        </is>
      </c>
      <c r="D40" s="23" t="inlineStr">
        <is>
          <t>7(c)</t>
        </is>
      </c>
      <c r="E40" s="6" t="inlineStr">
        <is>
          <t>u(t) → δ(t−1) → [δ(t) ∥ e^{−2t}u(t)]: Y(s), y(t)</t>
        </is>
      </c>
      <c r="F40" s="6" t="inlineStr">
        <is>
          <t>LTI systems, ODEs, circuits, feedback — Lec 7, sl. 20–28 + textbook</t>
        </is>
      </c>
      <c r="G40" s="23" t="inlineStr">
        <is>
          <t>L16</t>
        </is>
      </c>
      <c r="H40" s="23" t="n">
        <v>12</v>
      </c>
      <c r="I40" s="23" t="inlineStr">
        <is>
          <t>EEE p.40</t>
        </is>
      </c>
      <c r="J40" s="25" t="inlineStr">
        <is>
          <t>★★ Medium</t>
        </is>
      </c>
      <c r="K40" s="23" t="inlineStr">
        <is>
          <t>Numerical</t>
        </is>
      </c>
      <c r="L40" s="26" t="inlineStr">
        <is>
          <t>◐ Method</t>
        </is>
      </c>
      <c r="M40" s="6" t="inlineStr">
        <is>
          <t>2023-24 5(b) (EEE); 2023-24 8(a) (EEE); 2021-22 8(a) (EEE); 2020-21 3(a) (EEE); 2020-21 4(a) (EEE); 2019-20 3 (EEE); 2017-18 3(b) (EEE); 2015-16 8(b) (EEE); 2014-15 7(c) (EEE); 2013-14 6(c) (EEE); 2010-11 4(a) (EEE)</t>
        </is>
      </c>
      <c r="N40" s="22" t="b">
        <v>0</v>
      </c>
      <c r="O40" s="23" t="n"/>
      <c r="P40" s="23" t="n"/>
      <c r="Q40" s="6" t="n"/>
    </row>
    <row r="41">
      <c r="A41" s="23" t="n">
        <v>38</v>
      </c>
      <c r="B41" s="23" t="inlineStr">
        <is>
          <t>2016-17</t>
        </is>
      </c>
      <c r="C41" s="23" t="inlineStr">
        <is>
          <t>EEE 211</t>
        </is>
      </c>
      <c r="D41" s="23" t="inlineStr">
        <is>
          <t>8(b)</t>
        </is>
      </c>
      <c r="E41" s="6" t="inlineStr">
        <is>
          <t>RLC circuit (L=2, R=1, C=2): H(s) and h(t)</t>
        </is>
      </c>
      <c r="F41" s="6" t="inlineStr">
        <is>
          <t>LTI systems, ODEs, circuits, feedback — Lec 7, sl. 20–28 + textbook</t>
        </is>
      </c>
      <c r="G41" s="23" t="inlineStr">
        <is>
          <t>L16</t>
        </is>
      </c>
      <c r="H41" s="23" t="n">
        <v>12</v>
      </c>
      <c r="I41" s="23" t="inlineStr">
        <is>
          <t>EEE p.41</t>
        </is>
      </c>
      <c r="J41" s="25" t="inlineStr">
        <is>
          <t>★★ Medium</t>
        </is>
      </c>
      <c r="K41" s="23" t="inlineStr">
        <is>
          <t>Numerical</t>
        </is>
      </c>
      <c r="L41" s="26" t="inlineStr">
        <is>
          <t>◐ Method</t>
        </is>
      </c>
      <c r="M41" s="6" t="inlineStr">
        <is>
          <t>2023-24 4(a) (EEE); 2022-23 3(a) (EEE); 2020-21 3(b) (EEE); 2018-19 5(b) (EEE); 2017-18 3(a) (EEE); 2015-16 8(a) (EEE); 2014-15 8(a) (EEE); 2013-14 5(a) (EEE); 2012-13 8(b) (EEE)</t>
        </is>
      </c>
      <c r="N41" s="22" t="b">
        <v>0</v>
      </c>
      <c r="O41" s="23" t="n"/>
      <c r="P41" s="23" t="n"/>
      <c r="Q41" s="6" t="n"/>
    </row>
    <row r="42">
      <c r="A42" s="23" t="n">
        <v>39</v>
      </c>
      <c r="B42" s="23" t="inlineStr">
        <is>
          <t>2015-16</t>
        </is>
      </c>
      <c r="C42" s="23" t="inlineStr">
        <is>
          <t>EEE 301</t>
        </is>
      </c>
      <c r="D42" s="23" t="inlineStr">
        <is>
          <t>7(b)</t>
        </is>
      </c>
      <c r="E42" s="6" t="inlineStr">
        <is>
          <t>y''+5y'+6y = 2e^{−t}u, y'(0⁻) = −2, y(0⁻) = 3 by LT</t>
        </is>
      </c>
      <c r="F42" s="6" t="inlineStr">
        <is>
          <t>LTI systems, ODEs, circuits, feedback — Lec 7, sl. 20–28 + textbook</t>
        </is>
      </c>
      <c r="G42" s="23" t="inlineStr">
        <is>
          <t>L16</t>
        </is>
      </c>
      <c r="H42" s="23" t="n">
        <v>13</v>
      </c>
      <c r="I42" s="23" t="inlineStr">
        <is>
          <t>EEE p.45</t>
        </is>
      </c>
      <c r="J42" s="25" t="inlineStr">
        <is>
          <t>★★ Medium</t>
        </is>
      </c>
      <c r="K42" s="23" t="inlineStr">
        <is>
          <t>Numerical</t>
        </is>
      </c>
      <c r="L42" s="21" t="inlineStr">
        <is>
          <t>✔ Solved</t>
        </is>
      </c>
      <c r="M42" s="6" t="inlineStr">
        <is>
          <t>2023-24 6(a); 2023-24 8(b) (EEE); 2021-22 7(c) (EEE); 2018-19 8(a) (EEE); 2017-18 4(b) (EEE); 2014-15 7(a) (EEE); 2013-14 6(a) (EEE); 2011-12 3(b) (EEE); 2011-12 4(a) (EEE); 2011-12 8(a) (EEE); 2010-11 3(a) (EEE)</t>
        </is>
      </c>
      <c r="N42" s="22" t="b">
        <v>0</v>
      </c>
      <c r="O42" s="23" t="n"/>
      <c r="P42" s="23" t="n"/>
      <c r="Q42" s="6" t="n"/>
    </row>
    <row r="43">
      <c r="A43" s="23" t="n">
        <v>40</v>
      </c>
      <c r="B43" s="23" t="inlineStr">
        <is>
          <t>2015-16</t>
        </is>
      </c>
      <c r="C43" s="23" t="inlineStr">
        <is>
          <t>EEE 301</t>
        </is>
      </c>
      <c r="D43" s="23" t="inlineStr">
        <is>
          <t>8(a)</t>
        </is>
      </c>
      <c r="E43" s="6" t="inlineStr">
        <is>
          <t>Circuit with v_C(0⁻)=1, i_L(0⁻)=2, x=u(t): y(t) by LT</t>
        </is>
      </c>
      <c r="F43" s="6" t="inlineStr">
        <is>
          <t>LTI systems, ODEs, circuits, feedback — Lec 7, sl. 20–28 + textbook</t>
        </is>
      </c>
      <c r="G43" s="23" t="inlineStr">
        <is>
          <t>L16</t>
        </is>
      </c>
      <c r="H43" s="23" t="n">
        <v>15</v>
      </c>
      <c r="I43" s="23" t="inlineStr">
        <is>
          <t>EEE p.45</t>
        </is>
      </c>
      <c r="J43" s="25" t="inlineStr">
        <is>
          <t>★★ Medium</t>
        </is>
      </c>
      <c r="K43" s="23" t="inlineStr">
        <is>
          <t>Numerical</t>
        </is>
      </c>
      <c r="L43" s="26" t="inlineStr">
        <is>
          <t>◐ Method</t>
        </is>
      </c>
      <c r="M43" s="6" t="inlineStr">
        <is>
          <t>2023-24 4(a) (EEE); 2022-23 3(a) (EEE); 2020-21 3(b) (EEE); 2018-19 5(b) (EEE); 2017-18 3(a) (EEE); 2016-17 8(b) (EEE); 2014-15 8(a) (EEE); 2013-14 5(a) (EEE); 2012-13 8(b) (EEE)</t>
        </is>
      </c>
      <c r="N43" s="22" t="b">
        <v>0</v>
      </c>
      <c r="O43" s="23" t="n"/>
      <c r="P43" s="23" t="n"/>
      <c r="Q43" s="6" t="n"/>
    </row>
    <row r="44">
      <c r="A44" s="23" t="n">
        <v>41</v>
      </c>
      <c r="B44" s="23" t="inlineStr">
        <is>
          <t>2015-16</t>
        </is>
      </c>
      <c r="C44" s="23" t="inlineStr">
        <is>
          <t>EEE 301</t>
        </is>
      </c>
      <c r="D44" s="23" t="inlineStr">
        <is>
          <t>8(b)</t>
        </is>
      </c>
      <c r="E44" s="6" t="inlineStr">
        <is>
          <t>Block diagram G₁, G₂, G₃: Y(s) and final value</t>
        </is>
      </c>
      <c r="F44" s="6" t="inlineStr">
        <is>
          <t>LTI systems, ODEs, circuits, feedback — Lec 7, sl. 20–28 + textbook</t>
        </is>
      </c>
      <c r="G44" s="23" t="inlineStr">
        <is>
          <t>L16</t>
        </is>
      </c>
      <c r="H44" s="23" t="n">
        <v>10</v>
      </c>
      <c r="I44" s="23" t="inlineStr">
        <is>
          <t>EEE p.45</t>
        </is>
      </c>
      <c r="J44" s="25" t="inlineStr">
        <is>
          <t>★★ Medium</t>
        </is>
      </c>
      <c r="K44" s="23" t="inlineStr">
        <is>
          <t>Numerical</t>
        </is>
      </c>
      <c r="L44" s="26" t="inlineStr">
        <is>
          <t>◐ Method</t>
        </is>
      </c>
      <c r="M44" s="6" t="inlineStr">
        <is>
          <t>2023-24 5(b) (EEE); 2023-24 8(a) (EEE); 2021-22 8(a) (EEE); 2020-21 3(a) (EEE); 2020-21 4(a) (EEE); 2019-20 3 (EEE); 2017-18 3(b) (EEE); 2016-17 7(c) (EEE); 2014-15 7(c) (EEE); 2013-14 6(c) (EEE); 2010-11 4(a) (EEE)</t>
        </is>
      </c>
      <c r="N44" s="22" t="b">
        <v>0</v>
      </c>
      <c r="O44" s="23" t="n"/>
      <c r="P44" s="23" t="n"/>
      <c r="Q44" s="6" t="n"/>
    </row>
    <row r="45">
      <c r="A45" s="23" t="n">
        <v>42</v>
      </c>
      <c r="B45" s="23" t="inlineStr">
        <is>
          <t>2014-15</t>
        </is>
      </c>
      <c r="C45" s="23" t="inlineStr">
        <is>
          <t>EEE 301</t>
        </is>
      </c>
      <c r="D45" s="23" t="inlineStr">
        <is>
          <t>7(a)</t>
        </is>
      </c>
      <c r="E45" s="6" t="inlineStr">
        <is>
          <t>y''+4y'+3y = e^{−3t}u, y(0⁻)=0, y'(0⁻)=1 by LT</t>
        </is>
      </c>
      <c r="F45" s="6" t="inlineStr">
        <is>
          <t>LTI systems, ODEs, circuits, feedback — Lec 7, sl. 20–28 + textbook</t>
        </is>
      </c>
      <c r="G45" s="23" t="inlineStr">
        <is>
          <t>L16</t>
        </is>
      </c>
      <c r="H45" s="23" t="n">
        <v>15</v>
      </c>
      <c r="I45" s="23" t="inlineStr">
        <is>
          <t>EEE p.49</t>
        </is>
      </c>
      <c r="J45" s="25" t="inlineStr">
        <is>
          <t>★★ Medium</t>
        </is>
      </c>
      <c r="K45" s="23" t="inlineStr">
        <is>
          <t>Numerical</t>
        </is>
      </c>
      <c r="L45" s="21" t="inlineStr">
        <is>
          <t>✔ Solved</t>
        </is>
      </c>
      <c r="M45" s="6" t="inlineStr">
        <is>
          <t>2023-24 6(a); 2023-24 8(b) (EEE); 2021-22 7(c) (EEE); 2018-19 8(a) (EEE); 2017-18 4(b) (EEE); 2015-16 7(b) (EEE); 2013-14 6(a) (EEE); 2011-12 3(b) (EEE); 2011-12 4(a) (EEE); 2011-12 8(a) (EEE); 2010-11 3(a) (EEE)</t>
        </is>
      </c>
      <c r="N45" s="22" t="b">
        <v>0</v>
      </c>
      <c r="O45" s="23" t="n"/>
      <c r="P45" s="23" t="n"/>
      <c r="Q45" s="6" t="n"/>
    </row>
    <row r="46">
      <c r="A46" s="23" t="n">
        <v>43</v>
      </c>
      <c r="B46" s="23" t="inlineStr">
        <is>
          <t>2014-15</t>
        </is>
      </c>
      <c r="C46" s="23" t="inlineStr">
        <is>
          <t>EEE 301</t>
        </is>
      </c>
      <c r="D46" s="23" t="inlineStr">
        <is>
          <t>7(c)</t>
        </is>
      </c>
      <c r="E46" s="6" t="inlineStr">
        <is>
          <t>Block diagram 1/(s+2), s/(s+3), gain 2: Y(s)</t>
        </is>
      </c>
      <c r="F46" s="6" t="inlineStr">
        <is>
          <t>LTI systems, ODEs, circuits, feedback — Lec 7, sl. 20–28 + textbook</t>
        </is>
      </c>
      <c r="G46" s="23" t="inlineStr">
        <is>
          <t>L16</t>
        </is>
      </c>
      <c r="H46" s="23" t="n">
        <v>13</v>
      </c>
      <c r="I46" s="23" t="inlineStr">
        <is>
          <t>EEE p.50</t>
        </is>
      </c>
      <c r="J46" s="25" t="inlineStr">
        <is>
          <t>★★ Medium</t>
        </is>
      </c>
      <c r="K46" s="23" t="inlineStr">
        <is>
          <t>Numerical</t>
        </is>
      </c>
      <c r="L46" s="27" t="inlineStr">
        <is>
          <t>○ Partly</t>
        </is>
      </c>
      <c r="M46" s="6" t="inlineStr">
        <is>
          <t>2023-24 5(b) (EEE); 2023-24 8(a) (EEE); 2021-22 8(a) (EEE); 2020-21 3(a) (EEE); 2020-21 4(a) (EEE); 2019-20 3 (EEE); 2017-18 3(b) (EEE); 2016-17 7(c) (EEE); 2015-16 8(b) (EEE); 2013-14 6(c) (EEE); 2010-11 4(a) (EEE)</t>
        </is>
      </c>
      <c r="N46" s="22" t="b">
        <v>0</v>
      </c>
      <c r="O46" s="23" t="n"/>
      <c r="P46" s="23" t="n"/>
      <c r="Q46" s="6" t="n"/>
    </row>
    <row r="47">
      <c r="A47" s="23" t="n">
        <v>44</v>
      </c>
      <c r="B47" s="23" t="inlineStr">
        <is>
          <t>2014-15</t>
        </is>
      </c>
      <c r="C47" s="23" t="inlineStr">
        <is>
          <t>EEE 301</t>
        </is>
      </c>
      <c r="D47" s="23" t="inlineStr">
        <is>
          <t>8(a)</t>
        </is>
      </c>
      <c r="E47" s="6" t="inlineStr">
        <is>
          <t>Circuit with initial energy: transformed model, Y(s), y(t)</t>
        </is>
      </c>
      <c r="F47" s="6" t="inlineStr">
        <is>
          <t>LTI systems, ODEs, circuits, feedback — Lec 7, sl. 20–28 + textbook</t>
        </is>
      </c>
      <c r="G47" s="23" t="inlineStr">
        <is>
          <t>L16</t>
        </is>
      </c>
      <c r="H47" s="23" t="n">
        <v>13</v>
      </c>
      <c r="I47" s="23" t="inlineStr">
        <is>
          <t>EEE p.50</t>
        </is>
      </c>
      <c r="J47" s="25" t="inlineStr">
        <is>
          <t>★★ Medium</t>
        </is>
      </c>
      <c r="K47" s="23" t="inlineStr">
        <is>
          <t>Numerical</t>
        </is>
      </c>
      <c r="L47" s="26" t="inlineStr">
        <is>
          <t>◐ Method</t>
        </is>
      </c>
      <c r="M47" s="6" t="inlineStr">
        <is>
          <t>2023-24 4(a) (EEE); 2022-23 3(a) (EEE); 2020-21 3(b) (EEE); 2018-19 5(b) (EEE); 2017-18 3(a) (EEE); 2016-17 8(b) (EEE); 2015-16 8(a) (EEE); 2013-14 5(a) (EEE); 2012-13 8(b) (EEE)</t>
        </is>
      </c>
      <c r="N47" s="22" t="b">
        <v>0</v>
      </c>
      <c r="O47" s="23" t="n"/>
      <c r="P47" s="23" t="n"/>
      <c r="Q47" s="6" t="n"/>
    </row>
    <row r="48">
      <c r="A48" s="23" t="n">
        <v>45</v>
      </c>
      <c r="B48" s="23" t="inlineStr">
        <is>
          <t>2013-14</t>
        </is>
      </c>
      <c r="C48" s="23" t="inlineStr">
        <is>
          <t>EEE 301</t>
        </is>
      </c>
      <c r="D48" s="23" t="inlineStr">
        <is>
          <t>5(a)</t>
        </is>
      </c>
      <c r="E48" s="6" t="inlineStr">
        <is>
          <t>Circuit, v_C(0⁻) = ½, i_L(0⁻) = −1, x = u(t): Y(s), y(t)</t>
        </is>
      </c>
      <c r="F48" s="6" t="inlineStr">
        <is>
          <t>LTI systems, ODEs, circuits, feedback — Lec 7, sl. 20–28 + textbook</t>
        </is>
      </c>
      <c r="G48" s="23" t="inlineStr">
        <is>
          <t>L16</t>
        </is>
      </c>
      <c r="H48" s="23" t="n">
        <v>18</v>
      </c>
      <c r="I48" s="23" t="inlineStr">
        <is>
          <t>EEE p.52</t>
        </is>
      </c>
      <c r="J48" s="25" t="inlineStr">
        <is>
          <t>★★ Medium</t>
        </is>
      </c>
      <c r="K48" s="23" t="inlineStr">
        <is>
          <t>Numerical</t>
        </is>
      </c>
      <c r="L48" s="26" t="inlineStr">
        <is>
          <t>◐ Method</t>
        </is>
      </c>
      <c r="M48" s="6" t="inlineStr">
        <is>
          <t>2023-24 4(a) (EEE); 2022-23 3(a) (EEE); 2020-21 3(b) (EEE); 2018-19 5(b) (EEE); 2017-18 3(a) (EEE); 2016-17 8(b) (EEE); 2015-16 8(a) (EEE); 2014-15 8(a) (EEE); 2012-13 8(b) (EEE)</t>
        </is>
      </c>
      <c r="N48" s="22" t="b">
        <v>0</v>
      </c>
      <c r="O48" s="23" t="n"/>
      <c r="P48" s="23" t="n"/>
      <c r="Q48" s="6" t="n"/>
    </row>
    <row r="49">
      <c r="A49" s="23" t="n">
        <v>46</v>
      </c>
      <c r="B49" s="23" t="inlineStr">
        <is>
          <t>2013-14</t>
        </is>
      </c>
      <c r="C49" s="23" t="inlineStr">
        <is>
          <t>EEE 301</t>
        </is>
      </c>
      <c r="D49" s="23" t="inlineStr">
        <is>
          <t>6(a)</t>
        </is>
      </c>
      <c r="E49" s="6" t="inlineStr">
        <is>
          <t>y''+4y'+3y = u(t), y(0⁻)=2, y'(0⁻)=1 by LT</t>
        </is>
      </c>
      <c r="F49" s="6" t="inlineStr">
        <is>
          <t>LTI systems, ODEs, circuits, feedback — Lec 7, sl. 20–28 + textbook</t>
        </is>
      </c>
      <c r="G49" s="23" t="inlineStr">
        <is>
          <t>L16</t>
        </is>
      </c>
      <c r="H49" s="23" t="n">
        <v>13</v>
      </c>
      <c r="I49" s="23" t="inlineStr">
        <is>
          <t>EEE p.53</t>
        </is>
      </c>
      <c r="J49" s="25" t="inlineStr">
        <is>
          <t>★★ Medium</t>
        </is>
      </c>
      <c r="K49" s="23" t="inlineStr">
        <is>
          <t>Numerical</t>
        </is>
      </c>
      <c r="L49" s="21" t="inlineStr">
        <is>
          <t>✔ Solved</t>
        </is>
      </c>
      <c r="M49" s="6" t="inlineStr">
        <is>
          <t>2023-24 6(a); 2023-24 8(b) (EEE); 2021-22 7(c) (EEE); 2018-19 8(a) (EEE); 2017-18 4(b) (EEE); 2015-16 7(b) (EEE); 2014-15 7(a) (EEE); 2011-12 3(b) (EEE); 2011-12 4(a) (EEE); 2011-12 8(a) (EEE); 2010-11 3(a) (EEE)</t>
        </is>
      </c>
      <c r="N49" s="22" t="b">
        <v>0</v>
      </c>
      <c r="O49" s="23" t="n"/>
      <c r="P49" s="23" t="n"/>
      <c r="Q49" s="6" t="n"/>
    </row>
    <row r="50">
      <c r="A50" s="23" t="n">
        <v>47</v>
      </c>
      <c r="B50" s="23" t="inlineStr">
        <is>
          <t>2013-14</t>
        </is>
      </c>
      <c r="C50" s="23" t="inlineStr">
        <is>
          <t>EEE 301</t>
        </is>
      </c>
      <c r="D50" s="23" t="inlineStr">
        <is>
          <t>6(c)</t>
        </is>
      </c>
      <c r="E50" s="6" t="inlineStr">
        <is>
          <t>Block diagram with disturbance: Y(s), lim y(t)</t>
        </is>
      </c>
      <c r="F50" s="6" t="inlineStr">
        <is>
          <t>LTI systems, ODEs, circuits, feedback — Lec 7, sl. 20–28 + textbook</t>
        </is>
      </c>
      <c r="G50" s="23" t="inlineStr">
        <is>
          <t>L16</t>
        </is>
      </c>
      <c r="H50" s="23" t="n">
        <v>15</v>
      </c>
      <c r="I50" s="23" t="inlineStr">
        <is>
          <t>EEE p.53</t>
        </is>
      </c>
      <c r="J50" s="25" t="inlineStr">
        <is>
          <t>★★ Medium</t>
        </is>
      </c>
      <c r="K50" s="23" t="inlineStr">
        <is>
          <t>Numerical</t>
        </is>
      </c>
      <c r="L50" s="27" t="inlineStr">
        <is>
          <t>○ Partly</t>
        </is>
      </c>
      <c r="M50" s="6" t="inlineStr">
        <is>
          <t>2023-24 5(b) (EEE); 2023-24 8(a) (EEE); 2021-22 8(a) (EEE); 2020-21 3(a) (EEE); 2020-21 4(a) (EEE); 2019-20 3 (EEE); 2017-18 3(b) (EEE); 2016-17 7(c) (EEE); 2015-16 8(b) (EEE); 2014-15 7(c) (EEE); 2010-11 4(a) (EEE)</t>
        </is>
      </c>
      <c r="N50" s="22" t="b">
        <v>0</v>
      </c>
      <c r="O50" s="23" t="n"/>
      <c r="P50" s="23" t="n"/>
      <c r="Q50" s="6" t="n"/>
    </row>
    <row r="51">
      <c r="A51" s="23" t="n">
        <v>48</v>
      </c>
      <c r="B51" s="23" t="inlineStr">
        <is>
          <t>2012-13</t>
        </is>
      </c>
      <c r="C51" s="23" t="inlineStr">
        <is>
          <t>EEE 301</t>
        </is>
      </c>
      <c r="D51" s="23" t="inlineStr">
        <is>
          <t>7(c)</t>
        </is>
      </c>
      <c r="E51" s="6" t="inlineStr">
        <is>
          <t>Impulse response from input e^{−2t}u and output (e^{−t}−3e^{−2t})u</t>
        </is>
      </c>
      <c r="F51" s="6" t="inlineStr">
        <is>
          <t>LTI systems, ODEs, circuits, feedback — Lec 7, sl. 20–28 + textbook</t>
        </is>
      </c>
      <c r="G51" s="23" t="inlineStr">
        <is>
          <t>L16</t>
        </is>
      </c>
      <c r="H51" s="23" t="n">
        <v>5</v>
      </c>
      <c r="I51" s="23" t="inlineStr">
        <is>
          <t>EEE p.57</t>
        </is>
      </c>
      <c r="J51" s="25" t="inlineStr">
        <is>
          <t>★★ Medium</t>
        </is>
      </c>
      <c r="K51" s="23" t="inlineStr">
        <is>
          <t>Numerical</t>
        </is>
      </c>
      <c r="L51" s="21" t="inlineStr">
        <is>
          <t>✔ Solved</t>
        </is>
      </c>
      <c r="M51" s="6" t="inlineStr">
        <is>
          <t>2022-23 1(a) (EEE); 2018-19 5(a) (EEE); 2011-12 3(a) (EEE)</t>
        </is>
      </c>
      <c r="N51" s="22" t="b">
        <v>0</v>
      </c>
      <c r="O51" s="23" t="n"/>
      <c r="P51" s="23" t="n"/>
      <c r="Q51" s="6" t="n"/>
    </row>
    <row r="52">
      <c r="A52" s="23" t="n">
        <v>49</v>
      </c>
      <c r="B52" s="23" t="inlineStr">
        <is>
          <t>2012-13</t>
        </is>
      </c>
      <c r="C52" s="23" t="inlineStr">
        <is>
          <t>EEE 301</t>
        </is>
      </c>
      <c r="D52" s="23" t="inlineStr">
        <is>
          <t>8(b)</t>
        </is>
      </c>
      <c r="E52" s="6" t="inlineStr">
        <is>
          <t>Circuit, v_C(0⁻)=1, i_L(0⁻)=2, x=u: transformed model, Y(s), y(t)</t>
        </is>
      </c>
      <c r="F52" s="6" t="inlineStr">
        <is>
          <t>LTI systems, ODEs, circuits, feedback — Lec 7, sl. 20–28 + textbook</t>
        </is>
      </c>
      <c r="G52" s="23" t="inlineStr">
        <is>
          <t>L16</t>
        </is>
      </c>
      <c r="H52" s="23" t="n">
        <v>15</v>
      </c>
      <c r="I52" s="23" t="inlineStr">
        <is>
          <t>EEE p.58, 60</t>
        </is>
      </c>
      <c r="J52" s="25" t="inlineStr">
        <is>
          <t>★★ Medium</t>
        </is>
      </c>
      <c r="K52" s="23" t="inlineStr">
        <is>
          <t>Numerical</t>
        </is>
      </c>
      <c r="L52" s="26" t="inlineStr">
        <is>
          <t>◐ Method</t>
        </is>
      </c>
      <c r="M52" s="6" t="inlineStr">
        <is>
          <t>2023-24 4(a) (EEE); 2022-23 3(a) (EEE); 2020-21 3(b) (EEE); 2018-19 5(b) (EEE); 2017-18 3(a) (EEE); 2016-17 8(b) (EEE); 2015-16 8(a) (EEE); 2014-15 8(a) (EEE); 2013-14 5(a) (EEE)</t>
        </is>
      </c>
      <c r="N52" s="22" t="b">
        <v>0</v>
      </c>
      <c r="O52" s="23" t="n"/>
      <c r="P52" s="23" t="n"/>
      <c r="Q52" s="6" t="n"/>
    </row>
    <row r="53">
      <c r="A53" s="23" t="n">
        <v>50</v>
      </c>
      <c r="B53" s="23" t="inlineStr">
        <is>
          <t>2011-12</t>
        </is>
      </c>
      <c r="C53" s="23" t="inlineStr">
        <is>
          <t>EEE 301</t>
        </is>
      </c>
      <c r="D53" s="23" t="inlineStr">
        <is>
          <t>3(a)</t>
        </is>
      </c>
      <c r="E53" s="6" t="inlineStr">
        <is>
          <t>Causal, poles −2 and 4, x = 1 → y = 0, h(0⁺) = 4: H(s)</t>
        </is>
      </c>
      <c r="F53" s="6" t="inlineStr">
        <is>
          <t>LTI systems, ODEs, circuits, feedback — Lec 7, sl. 20–28 + textbook</t>
        </is>
      </c>
      <c r="G53" s="23" t="inlineStr">
        <is>
          <t>L16</t>
        </is>
      </c>
      <c r="H53" s="23" t="n">
        <v>18</v>
      </c>
      <c r="I53" s="23" t="inlineStr">
        <is>
          <t>EEE p.62</t>
        </is>
      </c>
      <c r="J53" s="25" t="inlineStr">
        <is>
          <t>★★ Medium</t>
        </is>
      </c>
      <c r="K53" s="23" t="inlineStr">
        <is>
          <t>Numerical</t>
        </is>
      </c>
      <c r="L53" s="27" t="inlineStr">
        <is>
          <t>○ Partly</t>
        </is>
      </c>
      <c r="M53" s="6" t="inlineStr">
        <is>
          <t>2022-23 1(a) (EEE); 2018-19 5(a) (EEE); 2012-13 7(c) (EEE)</t>
        </is>
      </c>
      <c r="N53" s="22" t="b">
        <v>0</v>
      </c>
      <c r="O53" s="23" t="n"/>
      <c r="P53" s="23" t="n"/>
      <c r="Q53" s="6" t="n"/>
    </row>
    <row r="54">
      <c r="A54" s="23" t="n">
        <v>51</v>
      </c>
      <c r="B54" s="23" t="inlineStr">
        <is>
          <t>2011-12</t>
        </is>
      </c>
      <c r="C54" s="23" t="inlineStr">
        <is>
          <t>EEE 301</t>
        </is>
      </c>
      <c r="D54" s="23" t="inlineStr">
        <is>
          <t>3(b)</t>
        </is>
      </c>
      <c r="E54" s="6" t="inlineStr">
        <is>
          <t>Direct form II diagram → DE; steady-state &amp; transient to 2cos4t u(t)</t>
        </is>
      </c>
      <c r="F54" s="6" t="inlineStr">
        <is>
          <t>LTI systems, ODEs, circuits, feedback — Lec 7, sl. 20–28 + textbook</t>
        </is>
      </c>
      <c r="G54" s="23" t="inlineStr">
        <is>
          <t>L16</t>
        </is>
      </c>
      <c r="H54" s="23" t="n">
        <v>17</v>
      </c>
      <c r="I54" s="23" t="inlineStr">
        <is>
          <t>EEE p.62</t>
        </is>
      </c>
      <c r="J54" s="25" t="inlineStr">
        <is>
          <t>★★ Medium</t>
        </is>
      </c>
      <c r="K54" s="23" t="inlineStr">
        <is>
          <t>Numerical</t>
        </is>
      </c>
      <c r="L54" s="27" t="inlineStr">
        <is>
          <t>○ Partly</t>
        </is>
      </c>
      <c r="M54" s="6" t="inlineStr">
        <is>
          <t>2023-24 6(a); 2023-24 8(b) (EEE); 2021-22 7(c) (EEE); 2018-19 8(a) (EEE); 2017-18 4(b) (EEE); 2015-16 7(b) (EEE); 2014-15 7(a) (EEE); 2013-14 6(a) (EEE); 2011-12 4(a) (EEE); 2011-12 8(a) (EEE); 2010-11 3(a) (EEE)</t>
        </is>
      </c>
      <c r="N54" s="22" t="b">
        <v>0</v>
      </c>
      <c r="O54" s="23" t="n"/>
      <c r="P54" s="23" t="n"/>
      <c r="Q54" s="6" t="n"/>
    </row>
    <row r="55">
      <c r="A55" s="23" t="n">
        <v>52</v>
      </c>
      <c r="B55" s="23" t="inlineStr">
        <is>
          <t>2011-12</t>
        </is>
      </c>
      <c r="C55" s="23" t="inlineStr">
        <is>
          <t>EEE 301</t>
        </is>
      </c>
      <c r="D55" s="23" t="inlineStr">
        <is>
          <t>4(a)</t>
        </is>
      </c>
      <c r="E55" s="6" t="inlineStr">
        <is>
          <t>y''+y'−6y = x'−x (one causal pole), x = e^{−t}u + e^{t}u(−t−2): ROC of Y, y(t)</t>
        </is>
      </c>
      <c r="F55" s="6" t="inlineStr">
        <is>
          <t>LTI systems, ODEs, circuits, feedback — Lec 7, sl. 20–28 + textbook</t>
        </is>
      </c>
      <c r="G55" s="23" t="inlineStr">
        <is>
          <t>L16</t>
        </is>
      </c>
      <c r="H55" s="23" t="n">
        <v>18</v>
      </c>
      <c r="I55" s="23" t="inlineStr">
        <is>
          <t>EEE p.62</t>
        </is>
      </c>
      <c r="J55" s="25" t="inlineStr">
        <is>
          <t>★★ Medium</t>
        </is>
      </c>
      <c r="K55" s="23" t="inlineStr">
        <is>
          <t>Numerical</t>
        </is>
      </c>
      <c r="L55" s="27" t="inlineStr">
        <is>
          <t>○ Partly</t>
        </is>
      </c>
      <c r="M55" s="6" t="inlineStr">
        <is>
          <t>2023-24 6(a); 2023-24 8(b) (EEE); 2021-22 7(c) (EEE); 2018-19 8(a) (EEE); 2017-18 4(b) (EEE); 2015-16 7(b) (EEE); 2014-15 7(a) (EEE); 2013-14 6(a) (EEE); 2011-12 3(b) (EEE); 2011-12 8(a) (EEE); 2010-11 3(a) (EEE)</t>
        </is>
      </c>
      <c r="N55" s="22" t="b">
        <v>0</v>
      </c>
      <c r="O55" s="23" t="n"/>
      <c r="P55" s="23" t="n"/>
      <c r="Q55" s="6" t="n"/>
    </row>
    <row r="56">
      <c r="A56" s="23" t="n">
        <v>53</v>
      </c>
      <c r="B56" s="23" t="inlineStr">
        <is>
          <t>2011-12</t>
        </is>
      </c>
      <c r="C56" s="23" t="inlineStr">
        <is>
          <t>EEE 301</t>
        </is>
      </c>
      <c r="D56" s="23" t="inlineStr">
        <is>
          <t>8(a)</t>
        </is>
      </c>
      <c r="E56" s="6" t="inlineStr">
        <is>
          <t>y''+5y'+6y = x''+5x'+5x: impulse response</t>
        </is>
      </c>
      <c r="F56" s="6" t="inlineStr">
        <is>
          <t>LTI systems, ODEs, circuits, feedback — Lec 7, sl. 20–28 + textbook</t>
        </is>
      </c>
      <c r="G56" s="23" t="inlineStr">
        <is>
          <t>L16</t>
        </is>
      </c>
      <c r="H56" s="23" t="n">
        <v>17</v>
      </c>
      <c r="I56" s="23" t="inlineStr">
        <is>
          <t>EEE p.64</t>
        </is>
      </c>
      <c r="J56" s="25" t="inlineStr">
        <is>
          <t>★★ Medium</t>
        </is>
      </c>
      <c r="K56" s="23" t="inlineStr">
        <is>
          <t>Numerical</t>
        </is>
      </c>
      <c r="L56" s="21" t="inlineStr">
        <is>
          <t>✔ Solved</t>
        </is>
      </c>
      <c r="M56" s="6" t="inlineStr">
        <is>
          <t>2023-24 6(a); 2023-24 8(b) (EEE); 2021-22 7(c) (EEE); 2018-19 8(a) (EEE); 2017-18 4(b) (EEE); 2015-16 7(b) (EEE); 2014-15 7(a) (EEE); 2013-14 6(a) (EEE); 2011-12 3(b) (EEE); 2011-12 4(a) (EEE); 2010-11 3(a) (EEE)</t>
        </is>
      </c>
      <c r="N56" s="22" t="b">
        <v>0</v>
      </c>
      <c r="O56" s="23" t="n"/>
      <c r="P56" s="23" t="n"/>
      <c r="Q56" s="6" t="n"/>
    </row>
    <row r="57">
      <c r="A57" s="23" t="n">
        <v>54</v>
      </c>
      <c r="B57" s="23" t="inlineStr">
        <is>
          <t>2010-11</t>
        </is>
      </c>
      <c r="C57" s="23" t="inlineStr">
        <is>
          <t>EEE 301</t>
        </is>
      </c>
      <c r="D57" s="23" t="inlineStr">
        <is>
          <t>3(a)</t>
        </is>
      </c>
      <c r="E57" s="6" t="inlineStr">
        <is>
          <t>y''+3y'+2y = 0, y(0⁻)=3, y'(0⁻)=1: Y(s); H(s) for x = e^{−3t}u; final value</t>
        </is>
      </c>
      <c r="F57" s="6" t="inlineStr">
        <is>
          <t>LTI systems, ODEs, circuits, feedback — Lec 7, sl. 20–28 + textbook</t>
        </is>
      </c>
      <c r="G57" s="23" t="inlineStr">
        <is>
          <t>L16</t>
        </is>
      </c>
      <c r="H57" s="23" t="n">
        <v>12</v>
      </c>
      <c r="I57" s="23" t="inlineStr">
        <is>
          <t>EEE p.67</t>
        </is>
      </c>
      <c r="J57" s="25" t="inlineStr">
        <is>
          <t>★★ Medium</t>
        </is>
      </c>
      <c r="K57" s="23" t="inlineStr">
        <is>
          <t>Numerical</t>
        </is>
      </c>
      <c r="L57" s="21" t="inlineStr">
        <is>
          <t>✔ Solved</t>
        </is>
      </c>
      <c r="M57" s="6" t="inlineStr">
        <is>
          <t>2023-24 6(a); 2023-24 8(b) (EEE); 2021-22 7(c) (EEE); 2018-19 8(a) (EEE); 2017-18 4(b) (EEE); 2015-16 7(b) (EEE); 2014-15 7(a) (EEE); 2013-14 6(a) (EEE); 2011-12 3(b) (EEE); 2011-12 4(a) (EEE); 2011-12 8(a) (EEE)</t>
        </is>
      </c>
      <c r="N57" s="22" t="b">
        <v>0</v>
      </c>
      <c r="O57" s="23" t="n"/>
      <c r="P57" s="23" t="n"/>
      <c r="Q57" s="6" t="n"/>
    </row>
    <row r="58">
      <c r="A58" s="23" t="n">
        <v>55</v>
      </c>
      <c r="B58" s="23" t="inlineStr">
        <is>
          <t>2010-11</t>
        </is>
      </c>
      <c r="C58" s="23" t="inlineStr">
        <is>
          <t>EEE 301</t>
        </is>
      </c>
      <c r="D58" s="23" t="inlineStr">
        <is>
          <t>4(a)</t>
        </is>
      </c>
      <c r="E58" s="6" t="inlineStr">
        <is>
          <t>Feedback with r = Au, w = Bu: Y(s); final value</t>
        </is>
      </c>
      <c r="F58" s="6" t="inlineStr">
        <is>
          <t>LTI systems, ODEs, circuits, feedback — Lec 7, sl. 20–28 + textbook</t>
        </is>
      </c>
      <c r="G58" s="23" t="inlineStr">
        <is>
          <t>L16</t>
        </is>
      </c>
      <c r="H58" s="23" t="n">
        <v>20</v>
      </c>
      <c r="I58" s="23" t="inlineStr">
        <is>
          <t>EEE p.67–68</t>
        </is>
      </c>
      <c r="J58" s="25" t="inlineStr">
        <is>
          <t>★★ Medium</t>
        </is>
      </c>
      <c r="K58" s="23" t="inlineStr">
        <is>
          <t>Numerical</t>
        </is>
      </c>
      <c r="L58" s="27" t="inlineStr">
        <is>
          <t>○ Partly</t>
        </is>
      </c>
      <c r="M58" s="6" t="inlineStr">
        <is>
          <t>2023-24 5(b) (EEE); 2023-24 8(a) (EEE); 2021-22 8(a) (EEE); 2020-21 3(a) (EEE); 2020-21 4(a) (EEE); 2019-20 3 (EEE); 2017-18 3(b) (EEE); 2016-17 7(c) (EEE); 2015-16 8(b) (EEE); 2014-15 7(c) (EEE); 2013-14 6(c) (EEE)</t>
        </is>
      </c>
      <c r="N58" s="22" t="b">
        <v>0</v>
      </c>
      <c r="O58" s="23" t="n"/>
      <c r="P58" s="23" t="n"/>
      <c r="Q58" s="6" t="n"/>
    </row>
  </sheetData>
  <autoFilter ref="A3:Q58"/>
  <conditionalFormatting sqref="A4:Q58">
    <cfRule type="expression" priority="1" dxfId="0">
      <formula>$N4=TRUE</formula>
    </cfRule>
  </conditionalFormatting>
  <conditionalFormatting sqref="O4:O58">
    <cfRule type="cellIs" priority="2" operator="equal" dxfId="1">
      <formula>"Weak"</formula>
    </cfRule>
    <cfRule type="cellIs" priority="3" operator="equal" dxfId="2">
      <formula>"Strong"</formula>
    </cfRule>
  </conditionalFormatting>
  <dataValidations count="2">
    <dataValidation sqref="N4:N58" showDropDown="0" showInputMessage="0" showErrorMessage="0" allowBlank="1" type="list">
      <formula1>"TRUE,FALSE"</formula1>
    </dataValidation>
    <dataValidation sqref="O4:O58" showDropDown="0" showInputMessage="0" showErrorMessage="0" allowBlank="1" type="list">
      <formula1>"Weak,OK,Strong"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1"/>
  <sheetViews>
    <sheetView zoomScale="9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58" customWidth="1" min="5" max="5"/>
    <col width="40" customWidth="1" min="6" max="6"/>
    <col width="8" customWidth="1" min="7" max="7"/>
    <col width="7" customWidth="1" min="8" max="8"/>
    <col width="8" customWidth="1" min="9" max="9"/>
    <col width="12" customWidth="1" min="10" max="10"/>
    <col width="11" customWidth="1" min="11" max="11"/>
    <col width="11" customWidth="1" min="12" max="12"/>
    <col width="30" customWidth="1" min="13" max="13"/>
    <col width="7" customWidth="1" min="14" max="14"/>
    <col width="12" customWidth="1" min="15" max="15"/>
    <col width="11" customWidth="1" min="16" max="16"/>
    <col width="32" customWidth="1" min="17" max="17"/>
  </cols>
  <sheetData>
    <row r="1">
      <c r="A1" s="18" t="inlineStr">
        <is>
          <t>Lec 8 — z-transform</t>
        </is>
      </c>
    </row>
    <row r="2">
      <c r="A2" s="2" t="inlineStr">
        <is>
          <t>Note file: CSE219_Ashraf_ZTransform_Notes.docx   ·   Solve after finishing the matching lesson. Filter Priority → ★★★ High first.</t>
        </is>
      </c>
    </row>
    <row r="3" ht="30" customHeight="1">
      <c r="A3" s="7" t="inlineStr">
        <is>
          <t>Q No.</t>
        </is>
      </c>
      <c r="B3" s="7" t="inlineStr">
        <is>
          <t>Year</t>
        </is>
      </c>
      <c r="C3" s="7" t="inlineStr">
        <is>
          <t>Course</t>
        </is>
      </c>
      <c r="D3" s="7" t="inlineStr">
        <is>
          <t>Ques No.</t>
        </is>
      </c>
      <c r="E3" s="7" t="inlineStr">
        <is>
          <t>Short Question</t>
        </is>
      </c>
      <c r="F3" s="7" t="inlineStr">
        <is>
          <t>Topic (slide PDF · slides)</t>
        </is>
      </c>
      <c r="G3" s="7" t="inlineStr">
        <is>
          <t>Lesson</t>
        </is>
      </c>
      <c r="H3" s="7" t="inlineStr">
        <is>
          <t>Marks</t>
        </is>
      </c>
      <c r="I3" s="7" t="inlineStr">
        <is>
          <t>TF Page</t>
        </is>
      </c>
      <c r="J3" s="7" t="inlineStr">
        <is>
          <t>Priority</t>
        </is>
      </c>
      <c r="K3" s="7" t="inlineStr">
        <is>
          <t>Type</t>
        </is>
      </c>
      <c r="L3" s="7" t="inlineStr">
        <is>
          <t>In Notes</t>
        </is>
      </c>
      <c r="M3" s="7" t="inlineStr">
        <is>
          <t>Same Type Also In</t>
        </is>
      </c>
      <c r="N3" s="7" t="inlineStr">
        <is>
          <t>Done</t>
        </is>
      </c>
      <c r="O3" s="7" t="inlineStr">
        <is>
          <t>Confidence</t>
        </is>
      </c>
      <c r="P3" s="7" t="inlineStr">
        <is>
          <t>Date</t>
        </is>
      </c>
      <c r="Q3" s="7" t="inlineStr">
        <is>
          <t>My Notes</t>
        </is>
      </c>
    </row>
    <row r="4">
      <c r="A4" s="19" t="n">
        <v>1</v>
      </c>
      <c r="B4" s="19" t="inlineStr">
        <is>
          <t>2023-24</t>
        </is>
      </c>
      <c r="C4" s="19" t="inlineStr">
        <is>
          <t>CSE 219</t>
        </is>
      </c>
      <c r="D4" s="19" t="inlineStr">
        <is>
          <t>8(a)</t>
        </is>
      </c>
      <c r="E4" s="20" t="inlineStr">
        <is>
          <t>All possible ROCs of X(z) = (1+2z⁻¹−z⁻²)/(1−(11/6)z⁻¹+z⁻²−(1/6)z⁻³)</t>
        </is>
      </c>
      <c r="F4" s="20" t="inlineStr">
        <is>
          <t>z-transform definition and ROC — Lec 8, sl. 4–26</t>
        </is>
      </c>
      <c r="G4" s="19" t="inlineStr">
        <is>
          <t>L17</t>
        </is>
      </c>
      <c r="H4" s="19" t="n">
        <v>12</v>
      </c>
      <c r="I4" s="19" t="inlineStr">
        <is>
          <t>22 batch p.4</t>
        </is>
      </c>
      <c r="J4" s="24" t="inlineStr">
        <is>
          <t>★★★ High</t>
        </is>
      </c>
      <c r="K4" s="19" t="inlineStr">
        <is>
          <t>Numerical</t>
        </is>
      </c>
      <c r="L4" s="21" t="inlineStr">
        <is>
          <t>✔ Solved</t>
        </is>
      </c>
      <c r="M4" s="20" t="inlineStr">
        <is>
          <t>2022-23 1(a); 2022-23 3(a)</t>
        </is>
      </c>
      <c r="N4" s="22" t="b">
        <v>0</v>
      </c>
      <c r="O4" s="19" t="n"/>
      <c r="P4" s="19" t="n"/>
      <c r="Q4" s="20" t="n"/>
    </row>
    <row r="5">
      <c r="A5" s="19" t="n">
        <v>2</v>
      </c>
      <c r="B5" s="19" t="inlineStr">
        <is>
          <t>2023-24</t>
        </is>
      </c>
      <c r="C5" s="19" t="inlineStr">
        <is>
          <t>CSE 219</t>
        </is>
      </c>
      <c r="D5" s="19" t="inlineStr">
        <is>
          <t>8(d)</t>
        </is>
      </c>
      <c r="E5" s="20" t="inlineStr">
        <is>
          <t>Laplace vs z-transform; why z for discrete time</t>
        </is>
      </c>
      <c r="F5" s="20" t="inlineStr">
        <is>
          <t>z-transform definition and ROC — Lec 8, sl. 4–26</t>
        </is>
      </c>
      <c r="G5" s="19" t="inlineStr">
        <is>
          <t>L17</t>
        </is>
      </c>
      <c r="H5" s="19" t="n">
        <v>5</v>
      </c>
      <c r="I5" s="19" t="inlineStr">
        <is>
          <t>22 batch p.5</t>
        </is>
      </c>
      <c r="J5" s="24" t="inlineStr">
        <is>
          <t>★★★ High</t>
        </is>
      </c>
      <c r="K5" s="19" t="inlineStr">
        <is>
          <t>Theory</t>
        </is>
      </c>
      <c r="L5" s="21" t="inlineStr">
        <is>
          <t>✔ Solved</t>
        </is>
      </c>
      <c r="M5" s="20" t="inlineStr">
        <is>
          <t>—</t>
        </is>
      </c>
      <c r="N5" s="22" t="b">
        <v>0</v>
      </c>
      <c r="O5" s="19" t="n"/>
      <c r="P5" s="19" t="n"/>
      <c r="Q5" s="20" t="n"/>
    </row>
    <row r="6">
      <c r="A6" s="19" t="n">
        <v>3</v>
      </c>
      <c r="B6" s="19" t="inlineStr">
        <is>
          <t>2022-23</t>
        </is>
      </c>
      <c r="C6" s="19" t="inlineStr">
        <is>
          <t>CSE 219</t>
        </is>
      </c>
      <c r="D6" s="19" t="inlineStr">
        <is>
          <t>1(a)</t>
        </is>
      </c>
      <c r="E6" s="20" t="inlineStr">
        <is>
          <t>z-transform and ROC of x[n] = aⁿu[n]</t>
        </is>
      </c>
      <c r="F6" s="20" t="inlineStr">
        <is>
          <t>z-transform definition and ROC — Lec 8, sl. 4–26</t>
        </is>
      </c>
      <c r="G6" s="19" t="inlineStr">
        <is>
          <t>L17</t>
        </is>
      </c>
      <c r="H6" s="19" t="n">
        <v>10</v>
      </c>
      <c r="I6" s="19" t="n">
        <v>1</v>
      </c>
      <c r="J6" s="24" t="inlineStr">
        <is>
          <t>★★★ High</t>
        </is>
      </c>
      <c r="K6" s="19" t="inlineStr">
        <is>
          <t>Numerical</t>
        </is>
      </c>
      <c r="L6" s="21" t="inlineStr">
        <is>
          <t>✔ Solved</t>
        </is>
      </c>
      <c r="M6" s="20" t="inlineStr">
        <is>
          <t>2022-23 3(a); 2023-24 8(a)</t>
        </is>
      </c>
      <c r="N6" s="22" t="b">
        <v>0</v>
      </c>
      <c r="O6" s="19" t="n"/>
      <c r="P6" s="19" t="n"/>
      <c r="Q6" s="20" t="n"/>
    </row>
    <row r="7">
      <c r="A7" s="19" t="n">
        <v>4</v>
      </c>
      <c r="B7" s="19" t="inlineStr">
        <is>
          <t>2022-23</t>
        </is>
      </c>
      <c r="C7" s="19" t="inlineStr">
        <is>
          <t>CSE 219</t>
        </is>
      </c>
      <c r="D7" s="19" t="inlineStr">
        <is>
          <t>3(a)</t>
        </is>
      </c>
      <c r="E7" s="20" t="inlineStr">
        <is>
          <t>x[n] = aⁿ, 0≤n≤N−1: show the ROC excludes z = 0</t>
        </is>
      </c>
      <c r="F7" s="20" t="inlineStr">
        <is>
          <t>z-transform definition and ROC — Lec 8, sl. 4–26</t>
        </is>
      </c>
      <c r="G7" s="19" t="inlineStr">
        <is>
          <t>L17</t>
        </is>
      </c>
      <c r="H7" s="19" t="n">
        <v>10</v>
      </c>
      <c r="I7" s="19" t="n">
        <v>2</v>
      </c>
      <c r="J7" s="24" t="inlineStr">
        <is>
          <t>★★★ High</t>
        </is>
      </c>
      <c r="K7" s="19" t="inlineStr">
        <is>
          <t>Theory</t>
        </is>
      </c>
      <c r="L7" s="21" t="inlineStr">
        <is>
          <t>✔ Solved</t>
        </is>
      </c>
      <c r="M7" s="20" t="inlineStr">
        <is>
          <t>2022-23 1(a); 2023-24 8(a)</t>
        </is>
      </c>
      <c r="N7" s="22" t="b">
        <v>0</v>
      </c>
      <c r="O7" s="19" t="n"/>
      <c r="P7" s="19" t="n"/>
      <c r="Q7" s="20" t="n"/>
    </row>
    <row r="8">
      <c r="A8" s="23" t="n">
        <v>5</v>
      </c>
      <c r="B8" s="23" t="inlineStr">
        <is>
          <t>2022-23</t>
        </is>
      </c>
      <c r="C8" s="23" t="inlineStr">
        <is>
          <t>CSE 219</t>
        </is>
      </c>
      <c r="D8" s="23" t="inlineStr">
        <is>
          <t>3(b)</t>
        </is>
      </c>
      <c r="E8" s="6" t="inlineStr">
        <is>
          <t>Derive the contour-integral formula of the inverse z-transform</t>
        </is>
      </c>
      <c r="F8" s="6" t="inlineStr">
        <is>
          <t>Inverse z-transform — Lec 8, sl. 28–32</t>
        </is>
      </c>
      <c r="G8" s="23" t="inlineStr">
        <is>
          <t>L18</t>
        </is>
      </c>
      <c r="H8" s="23" t="n">
        <v>10</v>
      </c>
      <c r="I8" s="23" t="n">
        <v>2</v>
      </c>
      <c r="J8" s="24" t="inlineStr">
        <is>
          <t>★★★ High</t>
        </is>
      </c>
      <c r="K8" s="23" t="inlineStr">
        <is>
          <t>Derivation</t>
        </is>
      </c>
      <c r="L8" s="21" t="inlineStr">
        <is>
          <t>✔ Solved</t>
        </is>
      </c>
      <c r="M8" s="6" t="inlineStr">
        <is>
          <t>2022-23 3(c)</t>
        </is>
      </c>
      <c r="N8" s="22" t="b">
        <v>0</v>
      </c>
      <c r="O8" s="23" t="n"/>
      <c r="P8" s="23" t="n"/>
      <c r="Q8" s="6" t="n"/>
    </row>
    <row r="9">
      <c r="A9" s="23" t="n">
        <v>6</v>
      </c>
      <c r="B9" s="23" t="inlineStr">
        <is>
          <t>2022-23</t>
        </is>
      </c>
      <c r="C9" s="23" t="inlineStr">
        <is>
          <t>CSE 219</t>
        </is>
      </c>
      <c r="D9" s="23" t="inlineStr">
        <is>
          <t>3(c)</t>
        </is>
      </c>
      <c r="E9" s="6" t="inlineStr">
        <is>
          <t>Inverse z-transform of log(1+az^{−1}), |z|&gt;|a|</t>
        </is>
      </c>
      <c r="F9" s="6" t="inlineStr">
        <is>
          <t>Inverse z-transform — Lec 8, sl. 28–32</t>
        </is>
      </c>
      <c r="G9" s="23" t="inlineStr">
        <is>
          <t>L18</t>
        </is>
      </c>
      <c r="H9" s="23" t="n">
        <v>15</v>
      </c>
      <c r="I9" s="23" t="n">
        <v>2</v>
      </c>
      <c r="J9" s="24" t="inlineStr">
        <is>
          <t>★★★ High</t>
        </is>
      </c>
      <c r="K9" s="23" t="inlineStr">
        <is>
          <t>Numerical</t>
        </is>
      </c>
      <c r="L9" s="21" t="inlineStr">
        <is>
          <t>✔ Solved</t>
        </is>
      </c>
      <c r="M9" s="6" t="inlineStr">
        <is>
          <t>2022-23 3(b)</t>
        </is>
      </c>
      <c r="N9" s="22" t="b">
        <v>0</v>
      </c>
      <c r="O9" s="23" t="n"/>
      <c r="P9" s="23" t="n"/>
      <c r="Q9" s="6" t="n"/>
    </row>
    <row r="10">
      <c r="A10" s="19" t="n">
        <v>7</v>
      </c>
      <c r="B10" s="19" t="inlineStr">
        <is>
          <t>2023-24</t>
        </is>
      </c>
      <c r="C10" s="19" t="inlineStr">
        <is>
          <t>CSE 219</t>
        </is>
      </c>
      <c r="D10" s="19" t="inlineStr">
        <is>
          <t>8(b)</t>
        </is>
      </c>
      <c r="E10" s="20" t="inlineStr">
        <is>
          <t>Poles 1/3, 2/3, 2: ROC for right-sided, FT converges, FT diverges, left-sided</t>
        </is>
      </c>
      <c r="F10" s="20" t="inlineStr">
        <is>
          <t>z properties and LTI systems — Lec 8, sl. 34–47</t>
        </is>
      </c>
      <c r="G10" s="19" t="inlineStr">
        <is>
          <t>L19</t>
        </is>
      </c>
      <c r="H10" s="19" t="n">
        <v>8</v>
      </c>
      <c r="I10" s="19" t="inlineStr">
        <is>
          <t>22 batch p.5</t>
        </is>
      </c>
      <c r="J10" s="24" t="inlineStr">
        <is>
          <t>★★★ High</t>
        </is>
      </c>
      <c r="K10" s="19" t="inlineStr">
        <is>
          <t>Theory</t>
        </is>
      </c>
      <c r="L10" s="21" t="inlineStr">
        <is>
          <t>✔ Solved</t>
        </is>
      </c>
      <c r="M10" s="20" t="inlineStr">
        <is>
          <t>—</t>
        </is>
      </c>
      <c r="N10" s="22" t="b">
        <v>0</v>
      </c>
      <c r="O10" s="19" t="n"/>
      <c r="P10" s="19" t="n"/>
      <c r="Q10" s="20" t="n"/>
    </row>
    <row r="11">
      <c r="A11" s="19" t="n">
        <v>8</v>
      </c>
      <c r="B11" s="19" t="inlineStr">
        <is>
          <t>2023-24</t>
        </is>
      </c>
      <c r="C11" s="19" t="inlineStr">
        <is>
          <t>CSE 219</t>
        </is>
      </c>
      <c r="D11" s="19" t="inlineStr">
        <is>
          <t>8(c)</t>
        </is>
      </c>
      <c r="E11" s="20" t="inlineStr">
        <is>
          <t>z-transform of |n|(½)^{|n|}; pole-zero plot</t>
        </is>
      </c>
      <c r="F11" s="20" t="inlineStr">
        <is>
          <t>z properties and LTI systems — Lec 8, sl. 34–47</t>
        </is>
      </c>
      <c r="G11" s="19" t="inlineStr">
        <is>
          <t>L19</t>
        </is>
      </c>
      <c r="H11" s="19" t="n">
        <v>10</v>
      </c>
      <c r="I11" s="19" t="inlineStr">
        <is>
          <t>22 batch p.5</t>
        </is>
      </c>
      <c r="J11" s="24" t="inlineStr">
        <is>
          <t>★★★ High</t>
        </is>
      </c>
      <c r="K11" s="19" t="inlineStr">
        <is>
          <t>Numerical</t>
        </is>
      </c>
      <c r="L11" s="21" t="inlineStr">
        <is>
          <t>✔ Solved</t>
        </is>
      </c>
      <c r="M11" s="20" t="inlineStr">
        <is>
          <t>—</t>
        </is>
      </c>
      <c r="N11" s="22" t="b">
        <v>0</v>
      </c>
      <c r="O11" s="19" t="n"/>
      <c r="P11" s="19" t="n"/>
      <c r="Q11" s="20" t="n"/>
    </row>
  </sheetData>
  <autoFilter ref="A3:Q11"/>
  <conditionalFormatting sqref="A4:Q11">
    <cfRule type="expression" priority="1" dxfId="0">
      <formula>$N4=TRUE</formula>
    </cfRule>
  </conditionalFormatting>
  <conditionalFormatting sqref="O4:O11">
    <cfRule type="cellIs" priority="2" operator="equal" dxfId="1">
      <formula>"Weak"</formula>
    </cfRule>
    <cfRule type="cellIs" priority="3" operator="equal" dxfId="2">
      <formula>"Strong"</formula>
    </cfRule>
  </conditionalFormatting>
  <dataValidations count="2">
    <dataValidation sqref="N4:N11" showDropDown="0" showInputMessage="0" showErrorMessage="0" allowBlank="1" type="list">
      <formula1>"TRUE,FALSE"</formula1>
    </dataValidation>
    <dataValidation sqref="O4:O11" showDropDown="0" showInputMessage="0" showErrorMessage="0" allowBlank="1" type="list">
      <formula1>"Weak,OK,Strong"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58" customWidth="1" min="5" max="5"/>
    <col width="34" customWidth="1" min="6" max="6"/>
    <col width="7" customWidth="1" min="7" max="7"/>
    <col width="8" customWidth="1" min="8" max="8"/>
    <col width="7" customWidth="1" min="9" max="9"/>
    <col width="32" customWidth="1" min="10" max="10"/>
  </cols>
  <sheetData>
    <row r="1">
      <c r="A1" s="18" t="inlineStr">
        <is>
          <t>Ashraf-section questions on topics NOT in the current slides</t>
        </is>
      </c>
    </row>
    <row r="2">
      <c r="A2" s="2" t="inlineStr">
        <is>
          <t>Mostly older papers. Ask sir/ma'am whether these topics are in this term's syllabus before practising them.</t>
        </is>
      </c>
    </row>
    <row r="3">
      <c r="A3" s="7" t="inlineStr">
        <is>
          <t>Q No.</t>
        </is>
      </c>
      <c r="B3" s="7" t="inlineStr">
        <is>
          <t>Year</t>
        </is>
      </c>
      <c r="C3" s="7" t="inlineStr">
        <is>
          <t>Course</t>
        </is>
      </c>
      <c r="D3" s="7" t="inlineStr">
        <is>
          <t>Ques No.</t>
        </is>
      </c>
      <c r="E3" s="7" t="inlineStr">
        <is>
          <t>Short Question</t>
        </is>
      </c>
      <c r="F3" s="7" t="inlineStr">
        <is>
          <t>Topic Area</t>
        </is>
      </c>
      <c r="G3" s="7" t="inlineStr">
        <is>
          <t>Marks</t>
        </is>
      </c>
      <c r="H3" s="7" t="inlineStr">
        <is>
          <t>TF Page</t>
        </is>
      </c>
      <c r="I3" s="7" t="inlineStr">
        <is>
          <t>Done</t>
        </is>
      </c>
      <c r="J3" s="7" t="inlineStr">
        <is>
          <t>My Notes</t>
        </is>
      </c>
    </row>
    <row r="4">
      <c r="A4" s="23" t="n">
        <v>1</v>
      </c>
      <c r="B4" s="23" t="inlineStr">
        <is>
          <t>2023-24</t>
        </is>
      </c>
      <c r="C4" s="23" t="inlineStr">
        <is>
          <t>EEE 211</t>
        </is>
      </c>
      <c r="D4" s="23" t="inlineStr">
        <is>
          <t>3(a)</t>
        </is>
      </c>
      <c r="E4" s="6" t="inlineStr">
        <is>
          <t>First canonical state model of y'''−2y''+y'+4y = x''+5x; stability</t>
        </is>
      </c>
      <c r="F4" s="6" t="inlineStr">
        <is>
          <t>State-space models (not in slides)</t>
        </is>
      </c>
      <c r="G4" s="23" t="n">
        <v>18</v>
      </c>
      <c r="H4" s="23" t="inlineStr">
        <is>
          <t>EEE p.2</t>
        </is>
      </c>
      <c r="I4" s="22" t="b">
        <v>0</v>
      </c>
      <c r="J4" s="6" t="n"/>
    </row>
    <row r="5">
      <c r="A5" s="23" t="n">
        <v>2</v>
      </c>
      <c r="B5" s="23" t="inlineStr">
        <is>
          <t>2023-24</t>
        </is>
      </c>
      <c r="C5" s="23" t="inlineStr">
        <is>
          <t>EEE 211</t>
        </is>
      </c>
      <c r="D5" s="23" t="inlineStr">
        <is>
          <t>3(b)</t>
        </is>
      </c>
      <c r="E5" s="6" t="inlineStr">
        <is>
          <t>Impulse response from state equations via Cayley–Hamilton</t>
        </is>
      </c>
      <c r="F5" s="6" t="inlineStr">
        <is>
          <t>State-space models (not in slides)</t>
        </is>
      </c>
      <c r="G5" s="23" t="n">
        <v>17</v>
      </c>
      <c r="H5" s="23" t="inlineStr">
        <is>
          <t>EEE p.2</t>
        </is>
      </c>
      <c r="I5" s="22" t="b">
        <v>0</v>
      </c>
      <c r="J5" s="6" t="n"/>
    </row>
    <row r="6">
      <c r="A6" s="23" t="n">
        <v>3</v>
      </c>
      <c r="B6" s="23" t="inlineStr">
        <is>
          <t>2023-24</t>
        </is>
      </c>
      <c r="C6" s="23" t="inlineStr">
        <is>
          <t>EEE 211</t>
        </is>
      </c>
      <c r="D6" s="23" t="inlineStr">
        <is>
          <t>4(b)</t>
        </is>
      </c>
      <c r="E6" s="6" t="inlineStr">
        <is>
          <t>Force–voltage analogue of a mechanical system</t>
        </is>
      </c>
      <c r="F6" s="6" t="inlineStr">
        <is>
          <t>Mechanical–electrical analogues / D'Alembert (not in slides)</t>
        </is>
      </c>
      <c r="G6" s="23" t="n">
        <v>17</v>
      </c>
      <c r="H6" s="23" t="inlineStr">
        <is>
          <t>EEE p.3</t>
        </is>
      </c>
      <c r="I6" s="22" t="b">
        <v>0</v>
      </c>
      <c r="J6" s="6" t="n"/>
    </row>
    <row r="7">
      <c r="A7" s="23" t="n">
        <v>4</v>
      </c>
      <c r="B7" s="23" t="inlineStr">
        <is>
          <t>2022-23</t>
        </is>
      </c>
      <c r="C7" s="23" t="inlineStr">
        <is>
          <t>EEE 211</t>
        </is>
      </c>
      <c r="D7" s="23" t="inlineStr">
        <is>
          <t>1(b)</t>
        </is>
      </c>
      <c r="E7" s="6" t="inlineStr">
        <is>
          <t>f–i electrical equivalent of a pulley–mass system</t>
        </is>
      </c>
      <c r="F7" s="6" t="inlineStr">
        <is>
          <t>Mechanical–electrical analogues / D'Alembert (not in slides)</t>
        </is>
      </c>
      <c r="G7" s="23" t="n">
        <v>17</v>
      </c>
      <c r="H7" s="23" t="inlineStr">
        <is>
          <t>EEE p.7</t>
        </is>
      </c>
      <c r="I7" s="22" t="b">
        <v>0</v>
      </c>
      <c r="J7" s="6" t="n"/>
    </row>
    <row r="8">
      <c r="A8" s="23" t="n">
        <v>5</v>
      </c>
      <c r="B8" s="23" t="inlineStr">
        <is>
          <t>2022-23</t>
        </is>
      </c>
      <c r="C8" s="23" t="inlineStr">
        <is>
          <t>EEE 211</t>
        </is>
      </c>
      <c r="D8" s="23" t="inlineStr">
        <is>
          <t>3(b)</t>
        </is>
      </c>
      <c r="E8" s="6" t="inlineStr">
        <is>
          <t>State model (A,b,c,d) → H(s), h(t); ROC of the step response</t>
        </is>
      </c>
      <c r="F8" s="6" t="inlineStr">
        <is>
          <t>State-space models (not in slides)</t>
        </is>
      </c>
      <c r="G8" s="23" t="n">
        <v>17</v>
      </c>
      <c r="H8" s="23" t="inlineStr">
        <is>
          <t>EEE p.9</t>
        </is>
      </c>
      <c r="I8" s="22" t="b">
        <v>0</v>
      </c>
      <c r="J8" s="6" t="n"/>
    </row>
    <row r="9">
      <c r="A9" s="23" t="n">
        <v>6</v>
      </c>
      <c r="B9" s="23" t="inlineStr">
        <is>
          <t>2022-23</t>
        </is>
      </c>
      <c r="C9" s="23" t="inlineStr">
        <is>
          <t>EEE 211</t>
        </is>
      </c>
      <c r="D9" s="23" t="inlineStr">
        <is>
          <t>4(b)</t>
        </is>
      </c>
      <c r="E9" s="6" t="inlineStr">
        <is>
          <t>Second canonical simulation diagram and state equation</t>
        </is>
      </c>
      <c r="F9" s="6" t="inlineStr">
        <is>
          <t>State-space models (not in slides)</t>
        </is>
      </c>
      <c r="G9" s="23" t="n">
        <v>20</v>
      </c>
      <c r="H9" s="23" t="inlineStr">
        <is>
          <t>EEE p.9</t>
        </is>
      </c>
      <c r="I9" s="22" t="b">
        <v>0</v>
      </c>
      <c r="J9" s="6" t="n"/>
    </row>
    <row r="10">
      <c r="A10" s="23" t="n">
        <v>7</v>
      </c>
      <c r="B10" s="23" t="inlineStr">
        <is>
          <t>2022-23</t>
        </is>
      </c>
      <c r="C10" s="23" t="inlineStr">
        <is>
          <t>EEE 211</t>
        </is>
      </c>
      <c r="D10" s="23" t="inlineStr">
        <is>
          <t>6(b)</t>
        </is>
      </c>
      <c r="E10" s="6" t="inlineStr">
        <is>
          <t>State transformation z = Pv: A₁, b₁, c₁, d₁</t>
        </is>
      </c>
      <c r="F10" s="6" t="inlineStr">
        <is>
          <t>State-space models (not in slides)</t>
        </is>
      </c>
      <c r="G10" s="23" t="n">
        <v>15</v>
      </c>
      <c r="H10" s="23" t="inlineStr">
        <is>
          <t>EEE p.11</t>
        </is>
      </c>
      <c r="I10" s="22" t="b">
        <v>0</v>
      </c>
      <c r="J10" s="6" t="n"/>
    </row>
    <row r="11">
      <c r="A11" s="23" t="n">
        <v>8</v>
      </c>
      <c r="B11" s="23" t="inlineStr">
        <is>
          <t>2021-22</t>
        </is>
      </c>
      <c r="C11" s="23" t="inlineStr">
        <is>
          <t>EEE 211</t>
        </is>
      </c>
      <c r="D11" s="23" t="inlineStr">
        <is>
          <t>4</t>
        </is>
      </c>
      <c r="E11" s="6" t="inlineStr">
        <is>
          <t>y''+7y'−12y = x''+3x'+4x: canonical form, state eq., STM, h(t), stability</t>
        </is>
      </c>
      <c r="F11" s="6" t="inlineStr">
        <is>
          <t>State-space models (not in slides)</t>
        </is>
      </c>
      <c r="G11" s="23" t="n">
        <v>35</v>
      </c>
      <c r="H11" s="23" t="inlineStr">
        <is>
          <t>EEE p.13</t>
        </is>
      </c>
      <c r="I11" s="22" t="b">
        <v>0</v>
      </c>
      <c r="J11" s="6" t="n"/>
    </row>
    <row r="12">
      <c r="A12" s="23" t="n">
        <v>9</v>
      </c>
      <c r="B12" s="23" t="inlineStr">
        <is>
          <t>2021-22</t>
        </is>
      </c>
      <c r="C12" s="23" t="inlineStr">
        <is>
          <t>EEE 211</t>
        </is>
      </c>
      <c r="D12" s="23" t="inlineStr">
        <is>
          <t>8(b)</t>
        </is>
      </c>
      <c r="E12" s="6" t="inlineStr">
        <is>
          <t>Force–voltage analogue of a mass–spring system</t>
        </is>
      </c>
      <c r="F12" s="6" t="inlineStr">
        <is>
          <t>Mechanical–electrical analogues / D'Alembert (not in slides)</t>
        </is>
      </c>
      <c r="G12" s="23" t="n">
        <v>17</v>
      </c>
      <c r="H12" s="23" t="inlineStr">
        <is>
          <t>EEE p.16</t>
        </is>
      </c>
      <c r="I12" s="22" t="b">
        <v>0</v>
      </c>
      <c r="J12" s="6" t="n"/>
    </row>
    <row r="13">
      <c r="A13" s="23" t="n">
        <v>10</v>
      </c>
      <c r="B13" s="23" t="inlineStr">
        <is>
          <t>2020-21</t>
        </is>
      </c>
      <c r="C13" s="23" t="inlineStr">
        <is>
          <t>EEE 211</t>
        </is>
      </c>
      <c r="D13" s="23" t="inlineStr">
        <is>
          <t>4(b)</t>
        </is>
      </c>
      <c r="E13" s="6" t="inlineStr">
        <is>
          <t>Torque–current analogue of a rotational system</t>
        </is>
      </c>
      <c r="F13" s="6" t="inlineStr">
        <is>
          <t>Mechanical–electrical analogues / D'Alembert (not in slides)</t>
        </is>
      </c>
      <c r="G13" s="23" t="n">
        <v>15</v>
      </c>
      <c r="H13" s="23" t="inlineStr">
        <is>
          <t>EEE p.19</t>
        </is>
      </c>
      <c r="I13" s="22" t="b">
        <v>0</v>
      </c>
      <c r="J13" s="6" t="n"/>
    </row>
    <row r="14">
      <c r="A14" s="23" t="n">
        <v>11</v>
      </c>
      <c r="B14" s="23" t="inlineStr">
        <is>
          <t>2020-21</t>
        </is>
      </c>
      <c r="C14" s="23" t="inlineStr">
        <is>
          <t>EEE 211</t>
        </is>
      </c>
      <c r="D14" s="23" t="inlineStr">
        <is>
          <t>8(a)–(b)</t>
        </is>
      </c>
      <c r="E14" s="6" t="inlineStr">
        <is>
          <t>y''+6y'+8y = x'+x: state-variable h(t) (Cayley–Hamilton), STM, step response</t>
        </is>
      </c>
      <c r="F14" s="6" t="inlineStr">
        <is>
          <t>State-space models (not in slides)</t>
        </is>
      </c>
      <c r="G14" s="23" t="n">
        <v>35</v>
      </c>
      <c r="H14" s="23" t="inlineStr">
        <is>
          <t>EEE p.21</t>
        </is>
      </c>
      <c r="I14" s="22" t="b">
        <v>0</v>
      </c>
      <c r="J14" s="6" t="n"/>
    </row>
    <row r="15">
      <c r="A15" s="23" t="n">
        <v>12</v>
      </c>
      <c r="B15" s="23" t="inlineStr">
        <is>
          <t>2019-20</t>
        </is>
      </c>
      <c r="C15" s="23" t="inlineStr">
        <is>
          <t>EEE 211</t>
        </is>
      </c>
      <c r="D15" s="23" t="inlineStr">
        <is>
          <t>4</t>
        </is>
      </c>
      <c r="E15" s="6" t="inlineStr">
        <is>
          <t>Mechanical system: f–v analogue, state model, impulse response</t>
        </is>
      </c>
      <c r="F15" s="6" t="inlineStr">
        <is>
          <t>Mechanical–electrical analogues / D'Alembert (not in slides)</t>
        </is>
      </c>
      <c r="G15" s="23" t="n">
        <v>35</v>
      </c>
      <c r="H15" s="23" t="inlineStr">
        <is>
          <t>EEE p.23–24</t>
        </is>
      </c>
      <c r="I15" s="22" t="b">
        <v>0</v>
      </c>
      <c r="J15" s="6" t="n"/>
    </row>
    <row r="16">
      <c r="A16" s="23" t="n">
        <v>13</v>
      </c>
      <c r="B16" s="23" t="inlineStr">
        <is>
          <t>2018-19</t>
        </is>
      </c>
      <c r="C16" s="23" t="inlineStr">
        <is>
          <t>EEE 211</t>
        </is>
      </c>
      <c r="D16" s="23" t="inlineStr">
        <is>
          <t>4(b)</t>
        </is>
      </c>
      <c r="E16" s="6" t="inlineStr">
        <is>
          <t>Mechanical system: equations of motion, f–i and f–v analogues</t>
        </is>
      </c>
      <c r="F16" s="6" t="inlineStr">
        <is>
          <t>Mechanical–electrical analogues / D'Alembert (not in slides)</t>
        </is>
      </c>
      <c r="G16" s="23" t="n">
        <v>18</v>
      </c>
      <c r="H16" s="23" t="inlineStr">
        <is>
          <t>EEE p.29</t>
        </is>
      </c>
      <c r="I16" s="22" t="b">
        <v>0</v>
      </c>
      <c r="J16" s="6" t="n"/>
    </row>
    <row r="17">
      <c r="A17" s="23" t="n">
        <v>14</v>
      </c>
      <c r="B17" s="23" t="inlineStr">
        <is>
          <t>2018-19</t>
        </is>
      </c>
      <c r="C17" s="23" t="inlineStr">
        <is>
          <t>EEE 211</t>
        </is>
      </c>
      <c r="D17" s="23" t="inlineStr">
        <is>
          <t>8(b)</t>
        </is>
      </c>
      <c r="E17" s="6" t="inlineStr">
        <is>
          <t>RLC state model and closed-form STM</t>
        </is>
      </c>
      <c r="F17" s="6" t="inlineStr">
        <is>
          <t>State-space models (not in slides)</t>
        </is>
      </c>
      <c r="G17" s="23" t="n">
        <v>20</v>
      </c>
      <c r="H17" s="23" t="inlineStr">
        <is>
          <t>EEE p.31</t>
        </is>
      </c>
      <c r="I17" s="22" t="b">
        <v>0</v>
      </c>
      <c r="J17" s="6" t="n"/>
    </row>
    <row r="18">
      <c r="A18" s="23" t="n">
        <v>15</v>
      </c>
      <c r="B18" s="23" t="inlineStr">
        <is>
          <t>2017-18</t>
        </is>
      </c>
      <c r="C18" s="23" t="inlineStr">
        <is>
          <t>EEE 211</t>
        </is>
      </c>
      <c r="D18" s="23" t="inlineStr">
        <is>
          <t>8(a)</t>
        </is>
      </c>
      <c r="E18" s="6" t="inlineStr">
        <is>
          <t>Simulation diagram → DE; state-variable impulse response</t>
        </is>
      </c>
      <c r="F18" s="6" t="inlineStr">
        <is>
          <t>State-space models (not in slides)</t>
        </is>
      </c>
      <c r="G18" s="23" t="n">
        <v>20</v>
      </c>
      <c r="H18" s="23" t="inlineStr">
        <is>
          <t>EEE p.36</t>
        </is>
      </c>
      <c r="I18" s="22" t="b">
        <v>0</v>
      </c>
      <c r="J18" s="6" t="n"/>
    </row>
    <row r="19">
      <c r="A19" s="23" t="n">
        <v>16</v>
      </c>
      <c r="B19" s="23" t="inlineStr">
        <is>
          <t>2017-18</t>
        </is>
      </c>
      <c r="C19" s="23" t="inlineStr">
        <is>
          <t>EEE 211</t>
        </is>
      </c>
      <c r="D19" s="23" t="inlineStr">
        <is>
          <t>8(b)</t>
        </is>
      </c>
      <c r="E19" s="6" t="inlineStr">
        <is>
          <t>f–i analogue mechanical system of a circuit</t>
        </is>
      </c>
      <c r="F19" s="6" t="inlineStr">
        <is>
          <t>Mechanical–electrical analogues / D'Alembert (not in slides)</t>
        </is>
      </c>
      <c r="G19" s="23" t="n">
        <v>15</v>
      </c>
      <c r="H19" s="23" t="inlineStr">
        <is>
          <t>EEE p.36</t>
        </is>
      </c>
      <c r="I19" s="22" t="b">
        <v>0</v>
      </c>
      <c r="J19" s="6" t="n"/>
    </row>
    <row r="20">
      <c r="A20" s="23" t="n">
        <v>17</v>
      </c>
      <c r="B20" s="23" t="inlineStr">
        <is>
          <t>2016-17</t>
        </is>
      </c>
      <c r="C20" s="23" t="inlineStr">
        <is>
          <t>EEE 211</t>
        </is>
      </c>
      <c r="D20" s="23" t="inlineStr">
        <is>
          <t>4(a)–(c)</t>
        </is>
      </c>
      <c r="E20" s="6" t="inlineStr">
        <is>
          <t>Circuit state model; STM properties; canonical simulation diagrams</t>
        </is>
      </c>
      <c r="F20" s="6" t="inlineStr">
        <is>
          <t>State-space models (not in slides)</t>
        </is>
      </c>
      <c r="G20" s="23" t="n">
        <v>35</v>
      </c>
      <c r="H20" s="23" t="inlineStr">
        <is>
          <t>EEE p.39</t>
        </is>
      </c>
      <c r="I20" s="22" t="b">
        <v>0</v>
      </c>
      <c r="J20" s="6" t="n"/>
    </row>
    <row r="21">
      <c r="A21" s="23" t="n">
        <v>18</v>
      </c>
      <c r="B21" s="23" t="inlineStr">
        <is>
          <t>2016-17</t>
        </is>
      </c>
      <c r="C21" s="23" t="inlineStr">
        <is>
          <t>EEE 211</t>
        </is>
      </c>
      <c r="D21" s="23" t="inlineStr">
        <is>
          <t>8(c)</t>
        </is>
      </c>
      <c r="E21" s="6" t="inlineStr">
        <is>
          <t>f–i analogue and equations of motion</t>
        </is>
      </c>
      <c r="F21" s="6" t="inlineStr">
        <is>
          <t>Mechanical–electrical analogues / D'Alembert (not in slides)</t>
        </is>
      </c>
      <c r="G21" s="23" t="n">
        <v>11</v>
      </c>
      <c r="H21" s="23" t="inlineStr">
        <is>
          <t>EEE p.41</t>
        </is>
      </c>
      <c r="I21" s="22" t="b">
        <v>0</v>
      </c>
      <c r="J21" s="6" t="n"/>
    </row>
    <row r="22">
      <c r="A22" s="23" t="n">
        <v>19</v>
      </c>
      <c r="B22" s="23" t="inlineStr">
        <is>
          <t>2015-16</t>
        </is>
      </c>
      <c r="C22" s="23" t="inlineStr">
        <is>
          <t>EEE 301</t>
        </is>
      </c>
      <c r="D22" s="23" t="inlineStr">
        <is>
          <t>3(a)</t>
        </is>
      </c>
      <c r="E22" s="6" t="inlineStr">
        <is>
          <t>y''+6y'+9y = 2x'+8x: simulation diagram, state eq., STM, stability</t>
        </is>
      </c>
      <c r="F22" s="6" t="inlineStr">
        <is>
          <t>State-space models (not in slides)</t>
        </is>
      </c>
      <c r="G22" s="23" t="n">
        <v>20</v>
      </c>
      <c r="H22" s="23" t="inlineStr">
        <is>
          <t>EEE p.43</t>
        </is>
      </c>
      <c r="I22" s="22" t="b">
        <v>0</v>
      </c>
      <c r="J22" s="6" t="n"/>
    </row>
    <row r="23">
      <c r="A23" s="23" t="n">
        <v>20</v>
      </c>
      <c r="B23" s="23" t="inlineStr">
        <is>
          <t>2015-16</t>
        </is>
      </c>
      <c r="C23" s="23" t="inlineStr">
        <is>
          <t>EEE 301</t>
        </is>
      </c>
      <c r="D23" s="23" t="inlineStr">
        <is>
          <t>7(a)</t>
        </is>
      </c>
      <c r="E23" s="6" t="inlineStr">
        <is>
          <t>State model → H(s), h(t)</t>
        </is>
      </c>
      <c r="F23" s="6" t="inlineStr">
        <is>
          <t>State-space models (not in slides)</t>
        </is>
      </c>
      <c r="G23" s="23" t="n">
        <v>17</v>
      </c>
      <c r="H23" s="23" t="inlineStr">
        <is>
          <t>EEE p.45</t>
        </is>
      </c>
      <c r="I23" s="22" t="b">
        <v>0</v>
      </c>
      <c r="J23" s="6" t="n"/>
    </row>
    <row r="24">
      <c r="A24" s="23" t="n">
        <v>21</v>
      </c>
      <c r="B24" s="23" t="inlineStr">
        <is>
          <t>2015-16</t>
        </is>
      </c>
      <c r="C24" s="23" t="inlineStr">
        <is>
          <t>EEE 301</t>
        </is>
      </c>
      <c r="D24" s="23" t="inlineStr">
        <is>
          <t>7(c)</t>
        </is>
      </c>
      <c r="E24" s="6" t="inlineStr">
        <is>
          <t>D'Alembert's principle</t>
        </is>
      </c>
      <c r="F24" s="6" t="inlineStr">
        <is>
          <t>Mechanical–electrical analogues / D'Alembert (not in slides)</t>
        </is>
      </c>
      <c r="G24" s="23" t="n">
        <v>5</v>
      </c>
      <c r="H24" s="23" t="inlineStr">
        <is>
          <t>EEE p.45</t>
        </is>
      </c>
      <c r="I24" s="22" t="b">
        <v>0</v>
      </c>
      <c r="J24" s="6" t="n"/>
    </row>
    <row r="25">
      <c r="A25" s="23" t="n">
        <v>22</v>
      </c>
      <c r="B25" s="23" t="inlineStr">
        <is>
          <t>2015-16</t>
        </is>
      </c>
      <c r="C25" s="23" t="inlineStr">
        <is>
          <t>EEE 301</t>
        </is>
      </c>
      <c r="D25" s="23" t="inlineStr">
        <is>
          <t>8(c)</t>
        </is>
      </c>
      <c r="E25" s="6" t="inlineStr">
        <is>
          <t>f–v analogue of a mechanical system</t>
        </is>
      </c>
      <c r="F25" s="6" t="inlineStr">
        <is>
          <t>Mechanical–electrical analogues / D'Alembert (not in slides)</t>
        </is>
      </c>
      <c r="G25" s="23" t="n">
        <v>10</v>
      </c>
      <c r="H25" s="23" t="inlineStr">
        <is>
          <t>EEE p.46</t>
        </is>
      </c>
      <c r="I25" s="22" t="b">
        <v>0</v>
      </c>
      <c r="J25" s="6" t="n"/>
    </row>
    <row r="26">
      <c r="A26" s="23" t="n">
        <v>23</v>
      </c>
      <c r="B26" s="23" t="inlineStr">
        <is>
          <t>2014-15</t>
        </is>
      </c>
      <c r="C26" s="23" t="inlineStr">
        <is>
          <t>EEE 301</t>
        </is>
      </c>
      <c r="D26" s="23" t="inlineStr">
        <is>
          <t>3</t>
        </is>
      </c>
      <c r="E26" s="6" t="inlineStr">
        <is>
          <t>y''+6y'+8y = x'−x: canonical form, state eq., STM, stability, transformation</t>
        </is>
      </c>
      <c r="F26" s="6" t="inlineStr">
        <is>
          <t>State-space models (not in slides)</t>
        </is>
      </c>
      <c r="G26" s="23" t="n">
        <v>35</v>
      </c>
      <c r="H26" s="23" t="inlineStr">
        <is>
          <t>EEE p.48</t>
        </is>
      </c>
      <c r="I26" s="22" t="b">
        <v>0</v>
      </c>
      <c r="J26" s="6" t="n"/>
    </row>
    <row r="27">
      <c r="A27" s="23" t="n">
        <v>24</v>
      </c>
      <c r="B27" s="23" t="inlineStr">
        <is>
          <t>2014-15</t>
        </is>
      </c>
      <c r="C27" s="23" t="inlineStr">
        <is>
          <t>EEE 301</t>
        </is>
      </c>
      <c r="D27" s="23" t="inlineStr">
        <is>
          <t>6(c)</t>
        </is>
      </c>
      <c r="E27" s="6" t="inlineStr">
        <is>
          <t>D'Alembert's principle</t>
        </is>
      </c>
      <c r="F27" s="6" t="inlineStr">
        <is>
          <t>Mechanical–electrical analogues / D'Alembert (not in slides)</t>
        </is>
      </c>
      <c r="G27" s="23" t="n">
        <v>4</v>
      </c>
      <c r="H27" s="23" t="inlineStr">
        <is>
          <t>EEE p.49</t>
        </is>
      </c>
      <c r="I27" s="22" t="b">
        <v>0</v>
      </c>
      <c r="J27" s="6" t="n"/>
    </row>
    <row r="28">
      <c r="A28" s="23" t="n">
        <v>25</v>
      </c>
      <c r="B28" s="23" t="inlineStr">
        <is>
          <t>2014-15</t>
        </is>
      </c>
      <c r="C28" s="23" t="inlineStr">
        <is>
          <t>EEE 301</t>
        </is>
      </c>
      <c r="D28" s="23" t="inlineStr">
        <is>
          <t>8(b)–(c)</t>
        </is>
      </c>
      <c r="E28" s="6" t="inlineStr">
        <is>
          <t>State model H(s), stability, step response; analogue circuit</t>
        </is>
      </c>
      <c r="F28" s="6" t="inlineStr">
        <is>
          <t>State-space models (not in slides)</t>
        </is>
      </c>
      <c r="G28" s="23" t="n">
        <v>22</v>
      </c>
      <c r="H28" s="23" t="inlineStr">
        <is>
          <t>EEE p.50</t>
        </is>
      </c>
      <c r="I28" s="22" t="b">
        <v>0</v>
      </c>
      <c r="J28" s="6" t="n"/>
    </row>
    <row r="29">
      <c r="A29" s="23" t="n">
        <v>26</v>
      </c>
      <c r="B29" s="23" t="inlineStr">
        <is>
          <t>2013-14</t>
        </is>
      </c>
      <c r="C29" s="23" t="inlineStr">
        <is>
          <t>EEE 301</t>
        </is>
      </c>
      <c r="D29" s="23" t="inlineStr">
        <is>
          <t>4(a)</t>
        </is>
      </c>
      <c r="E29" s="6" t="inlineStr">
        <is>
          <t>Circuit state equations; stability from A</t>
        </is>
      </c>
      <c r="F29" s="6" t="inlineStr">
        <is>
          <t>State-space models (not in slides)</t>
        </is>
      </c>
      <c r="G29" s="23" t="n">
        <v>18</v>
      </c>
      <c r="H29" s="23" t="inlineStr">
        <is>
          <t>EEE p.52</t>
        </is>
      </c>
      <c r="I29" s="22" t="b">
        <v>0</v>
      </c>
      <c r="J29" s="6" t="n"/>
    </row>
    <row r="30">
      <c r="A30" s="23" t="n">
        <v>27</v>
      </c>
      <c r="B30" s="23" t="inlineStr">
        <is>
          <t>2013-14</t>
        </is>
      </c>
      <c r="C30" s="23" t="inlineStr">
        <is>
          <t>EEE 301</t>
        </is>
      </c>
      <c r="D30" s="23" t="inlineStr">
        <is>
          <t>5(b)</t>
        </is>
      </c>
      <c r="E30" s="6" t="inlineStr">
        <is>
          <t>State model H(s), stability, step response</t>
        </is>
      </c>
      <c r="F30" s="6" t="inlineStr">
        <is>
          <t>State-space models (not in slides)</t>
        </is>
      </c>
      <c r="G30" s="23" t="n">
        <v>17</v>
      </c>
      <c r="H30" s="23" t="inlineStr">
        <is>
          <t>EEE p.53</t>
        </is>
      </c>
      <c r="I30" s="22" t="b">
        <v>0</v>
      </c>
      <c r="J30" s="6" t="n"/>
    </row>
    <row r="31">
      <c r="A31" s="23" t="n">
        <v>28</v>
      </c>
      <c r="B31" s="23" t="inlineStr">
        <is>
          <t>2013-14</t>
        </is>
      </c>
      <c r="C31" s="23" t="inlineStr">
        <is>
          <t>EEE 301</t>
        </is>
      </c>
      <c r="D31" s="23" t="inlineStr">
        <is>
          <t>8(b)–(c)</t>
        </is>
      </c>
      <c r="E31" s="6" t="inlineStr">
        <is>
          <t>f–i analogue mechanical system; analogue circuit</t>
        </is>
      </c>
      <c r="F31" s="6" t="inlineStr">
        <is>
          <t>Mechanical–electrical analogues / D'Alembert (not in slides)</t>
        </is>
      </c>
      <c r="G31" s="23" t="n">
        <v>18</v>
      </c>
      <c r="H31" s="23" t="inlineStr">
        <is>
          <t>EEE p.54</t>
        </is>
      </c>
      <c r="I31" s="22" t="b">
        <v>0</v>
      </c>
      <c r="J31" s="6" t="n"/>
    </row>
    <row r="32">
      <c r="A32" s="23" t="n">
        <v>29</v>
      </c>
      <c r="B32" s="23" t="inlineStr">
        <is>
          <t>2012-13</t>
        </is>
      </c>
      <c r="C32" s="23" t="inlineStr">
        <is>
          <t>EEE 301</t>
        </is>
      </c>
      <c r="D32" s="23" t="inlineStr">
        <is>
          <t>3</t>
        </is>
      </c>
      <c r="E32" s="6" t="inlineStr">
        <is>
          <t>y'''+3y''−y'−2y = 3x''−x: canonical form II, state eq., STM</t>
        </is>
      </c>
      <c r="F32" s="6" t="inlineStr">
        <is>
          <t>State-space models (not in slides)</t>
        </is>
      </c>
      <c r="G32" s="23" t="n">
        <v>35</v>
      </c>
      <c r="H32" s="23" t="inlineStr">
        <is>
          <t>EEE p.56</t>
        </is>
      </c>
      <c r="I32" s="22" t="b">
        <v>0</v>
      </c>
      <c r="J32" s="6" t="n"/>
    </row>
    <row r="33">
      <c r="A33" s="23" t="n">
        <v>30</v>
      </c>
      <c r="B33" s="23" t="inlineStr">
        <is>
          <t>2012-13</t>
        </is>
      </c>
      <c r="C33" s="23" t="inlineStr">
        <is>
          <t>EEE 301</t>
        </is>
      </c>
      <c r="D33" s="23" t="inlineStr">
        <is>
          <t>7(d)</t>
        </is>
      </c>
      <c r="E33" s="6" t="inlineStr">
        <is>
          <t>f–v / f–i analogues; force on the mass</t>
        </is>
      </c>
      <c r="F33" s="6" t="inlineStr">
        <is>
          <t>Mechanical–electrical analogues / D'Alembert (not in slides)</t>
        </is>
      </c>
      <c r="G33" s="23" t="n">
        <v>15</v>
      </c>
      <c r="H33" s="23" t="inlineStr">
        <is>
          <t>EEE p.57, 60</t>
        </is>
      </c>
      <c r="I33" s="22" t="b">
        <v>0</v>
      </c>
      <c r="J33" s="6" t="n"/>
    </row>
    <row r="34">
      <c r="A34" s="23" t="n">
        <v>31</v>
      </c>
      <c r="B34" s="23" t="inlineStr">
        <is>
          <t>2012-13</t>
        </is>
      </c>
      <c r="C34" s="23" t="inlineStr">
        <is>
          <t>EEE 301</t>
        </is>
      </c>
      <c r="D34" s="23" t="inlineStr">
        <is>
          <t>8(a)</t>
        </is>
      </c>
      <c r="E34" s="6" t="inlineStr">
        <is>
          <t>State model H(s), stability, step response</t>
        </is>
      </c>
      <c r="F34" s="6" t="inlineStr">
        <is>
          <t>State-space models (not in slides)</t>
        </is>
      </c>
      <c r="G34" s="23" t="n">
        <v>20</v>
      </c>
      <c r="H34" s="23" t="inlineStr">
        <is>
          <t>EEE p.58</t>
        </is>
      </c>
      <c r="I34" s="22" t="b">
        <v>0</v>
      </c>
      <c r="J34" s="6" t="n"/>
    </row>
    <row r="35">
      <c r="A35" s="23" t="n">
        <v>32</v>
      </c>
      <c r="B35" s="23" t="inlineStr">
        <is>
          <t>2011-12</t>
        </is>
      </c>
      <c r="C35" s="23" t="inlineStr">
        <is>
          <t>EEE 301</t>
        </is>
      </c>
      <c r="D35" s="23" t="inlineStr">
        <is>
          <t>5(a)–(d)</t>
        </is>
      </c>
      <c r="E35" s="6" t="inlineStr">
        <is>
          <t>State solution; RLC state model; STM by Cayley–Hamilton; h(t)</t>
        </is>
      </c>
      <c r="F35" s="6" t="inlineStr">
        <is>
          <t>State-space models (not in slides)</t>
        </is>
      </c>
      <c r="G35" s="23" t="n">
        <v>35</v>
      </c>
      <c r="H35" s="23" t="inlineStr">
        <is>
          <t>EEE p.62–63</t>
        </is>
      </c>
      <c r="I35" s="22" t="b">
        <v>0</v>
      </c>
      <c r="J35" s="6" t="n"/>
    </row>
    <row r="36">
      <c r="A36" s="23" t="n">
        <v>33</v>
      </c>
      <c r="B36" s="23" t="inlineStr">
        <is>
          <t>2011-12</t>
        </is>
      </c>
      <c r="C36" s="23" t="inlineStr">
        <is>
          <t>EEE 301</t>
        </is>
      </c>
      <c r="D36" s="23" t="inlineStr">
        <is>
          <t>7(b)</t>
        </is>
      </c>
      <c r="E36" s="6" t="inlineStr">
        <is>
          <t>Canonical form I simulation diagram; adders, integrators</t>
        </is>
      </c>
      <c r="F36" s="6" t="inlineStr">
        <is>
          <t>State-space models (not in slides)</t>
        </is>
      </c>
      <c r="G36" s="23" t="n">
        <v>10</v>
      </c>
      <c r="H36" s="23" t="inlineStr">
        <is>
          <t>EEE p.64</t>
        </is>
      </c>
      <c r="I36" s="22" t="b">
        <v>0</v>
      </c>
      <c r="J36" s="6" t="n"/>
    </row>
    <row r="37">
      <c r="A37" s="23" t="n">
        <v>34</v>
      </c>
      <c r="B37" s="23" t="inlineStr">
        <is>
          <t>2011-12</t>
        </is>
      </c>
      <c r="C37" s="23" t="inlineStr">
        <is>
          <t>EEE 301</t>
        </is>
      </c>
      <c r="D37" s="23" t="inlineStr">
        <is>
          <t>8(b)–(c)</t>
        </is>
      </c>
      <c r="E37" s="6" t="inlineStr">
        <is>
          <t>Analogous mechanical system; f–i analogue</t>
        </is>
      </c>
      <c r="F37" s="6" t="inlineStr">
        <is>
          <t>Mechanical–electrical analogues / D'Alembert (not in slides)</t>
        </is>
      </c>
      <c r="G37" s="23" t="n">
        <v>18</v>
      </c>
      <c r="H37" s="23" t="inlineStr">
        <is>
          <t>EEE p.65</t>
        </is>
      </c>
      <c r="I37" s="22" t="b">
        <v>0</v>
      </c>
      <c r="J37" s="6" t="n"/>
    </row>
    <row r="38">
      <c r="A38" s="23" t="n">
        <v>35</v>
      </c>
      <c r="B38" s="23" t="inlineStr">
        <is>
          <t>2010-11</t>
        </is>
      </c>
      <c r="C38" s="23" t="inlineStr">
        <is>
          <t>EEE 301</t>
        </is>
      </c>
      <c r="D38" s="23" t="inlineStr">
        <is>
          <t>4(b)</t>
        </is>
      </c>
      <c r="E38" s="6" t="inlineStr">
        <is>
          <t>D'Alembert; f–v analogue</t>
        </is>
      </c>
      <c r="F38" s="6" t="inlineStr">
        <is>
          <t>Mechanical–electrical analogues / D'Alembert (not in slides)</t>
        </is>
      </c>
      <c r="G38" s="23" t="n">
        <v>15</v>
      </c>
      <c r="H38" s="23" t="inlineStr">
        <is>
          <t>EEE p.68</t>
        </is>
      </c>
      <c r="I38" s="22" t="b">
        <v>0</v>
      </c>
      <c r="J38" s="6" t="n"/>
    </row>
    <row r="39">
      <c r="A39" s="23" t="n">
        <v>36</v>
      </c>
      <c r="B39" s="23" t="inlineStr">
        <is>
          <t>2010-11</t>
        </is>
      </c>
      <c r="C39" s="23" t="inlineStr">
        <is>
          <t>EEE 301</t>
        </is>
      </c>
      <c r="D39" s="23" t="inlineStr">
        <is>
          <t>7(b)–8</t>
        </is>
      </c>
      <c r="E39" s="6" t="inlineStr">
        <is>
          <t>State-variable impulse response; canonical forms; STM; transformation</t>
        </is>
      </c>
      <c r="F39" s="6" t="inlineStr">
        <is>
          <t>State-space models (not in slides)</t>
        </is>
      </c>
      <c r="G39" s="23" t="n">
        <v>60</v>
      </c>
      <c r="H39" s="23" t="inlineStr">
        <is>
          <t>EEE p.69–70</t>
        </is>
      </c>
      <c r="I39" s="22" t="b">
        <v>0</v>
      </c>
      <c r="J39" s="6" t="n"/>
    </row>
  </sheetData>
  <autoFilter ref="A3:J39"/>
  <conditionalFormatting sqref="A4:J39">
    <cfRule type="expression" priority="1" dxfId="3">
      <formula>$I4=TRUE</formula>
    </cfRule>
  </conditionalFormatting>
  <dataValidations count="1">
    <dataValidation sqref="I4:I39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2026-10-21T16:44:59Z</dcterms:created>
  <dcterms:modified xmlns:dcterms="http://purl.org/dc/terms/" xmlns:xsi="http://www.w3.org/2001/XMLSchema-instance" xsi:type="dcterms:W3CDTF">2026-10-21T16:44:59Z</dcterms:modified>
</cp:coreProperties>
</file>