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DTFT + DFT" sheetId="3" state="visible" r:id="rId3"/>
    <sheet xmlns:r="http://schemas.openxmlformats.org/officeDocument/2006/relationships" name="2 FFT" sheetId="4" state="visible" r:id="rId4"/>
    <sheet xmlns:r="http://schemas.openxmlformats.org/officeDocument/2006/relationships" name="3 Sampling" sheetId="5" state="visible" r:id="rId5"/>
    <sheet xmlns:r="http://schemas.openxmlformats.org/officeDocument/2006/relationships" name="4 Laplace" sheetId="6" state="visible" r:id="rId6"/>
    <sheet xmlns:r="http://schemas.openxmlformats.org/officeDocument/2006/relationships" name="5 z-Transform" sheetId="7" state="visible" r:id="rId7"/>
    <sheet xmlns:r="http://schemas.openxmlformats.org/officeDocument/2006/relationships" name="Outside Notes" sheetId="8" state="visible" r:id="rId8"/>
  </sheets>
  <definedNames>
    <definedName name="_xlnm._FilterDatabase" localSheetId="2" hidden="1">'1 DTFT + DFT'!$A$3:$Q$4</definedName>
    <definedName name="_xlnm._FilterDatabase" localSheetId="3" hidden="1">'2 FFT'!$A$3:$Q$7</definedName>
    <definedName name="_xlnm._FilterDatabase" localSheetId="4" hidden="1">'3 Sampling'!$A$3:$Q$17</definedName>
    <definedName name="_xlnm._FilterDatabase" localSheetId="5" hidden="1">'4 Laplace'!$A$3:$Q$28</definedName>
    <definedName name="_xlnm._FilterDatabase" localSheetId="6" hidden="1">'5 z-Transform'!$A$3:$Q$11</definedName>
    <definedName name="_xlnm._FilterDatabase" localSheetId="7" hidden="1">'Outside Notes'!$A$3:$J$17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/>
    </xf>
    <xf numFmtId="9" fontId="5" fillId="10" borderId="1" applyAlignment="1" pivotButton="0" quotePrefix="0" xfId="0">
      <alignment horizontal="center"/>
    </xf>
    <xf numFmtId="0" fontId="6" fillId="0" borderId="0" pivotButton="0" quotePrefix="0" xfId="0"/>
    <xf numFmtId="0" fontId="0" fillId="11" borderId="1" applyAlignment="1" pivotButton="0" quotePrefix="0" xfId="0">
      <alignment horizontal="center"/>
    </xf>
    <xf numFmtId="9" fontId="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219 (Ashraf Sir part) — TF Practice Tracker</t>
        </is>
      </c>
    </row>
    <row r="3">
      <c r="B3" s="2" t="inlineStr">
        <is>
          <t>Every Ashraf-part question in CSE 219 All Merged Questions.pdf (22-batch and EEE pages as written in TF Page),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1–5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219 All Merged Questions.pdf (22-batch and EEE pages as written in TF Page)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CSE 219 = current course; EEE 211 / EEE 301 = predecessor course (same content, TF Page = 'EEE p.N' in EEE 211 - TF Questions 2023-24 to 2010-11.pdf); CSE 311 = Data Communication papers in the merged PDF (only their signals/Fourier/sampling parts are listed).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Ashraf-section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1–5.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DTFT + DFT</t>
        </is>
      </c>
      <c r="C5" s="8">
        <f>COUNTA('1 DTFT + DFT'!$E$4:$E$4)</f>
        <v/>
      </c>
      <c r="D5" s="8">
        <f>COUNTIF('1 DTFT + DFT'!$N$4:$N$4,TRUE())</f>
        <v/>
      </c>
      <c r="E5" s="10">
        <f>IF(C5=0,0,D5/C5)</f>
        <v/>
      </c>
      <c r="F5" s="8">
        <f>SUM('1 DTFT + DFT'!$H$4:$H$4)</f>
        <v/>
      </c>
      <c r="G5" s="8">
        <f>SUMIF('1 DTFT + DFT'!$N$4:$N$4,TRUE(),'1 DTFT + DFT'!$H$4:$H$4)</f>
        <v/>
      </c>
      <c r="H5" s="8">
        <f>COUNTIFS('1 DTFT + DFT'!$J$4:$J$4,"★★★ High",'1 DTFT + DFT'!$N$4:$N$4,FALSE())</f>
        <v/>
      </c>
      <c r="I5" s="8">
        <f>COUNTIF('1 DTFT + DFT'!$O$4:$O$4,"Weak")</f>
        <v/>
      </c>
      <c r="J5" s="9">
        <f>IFERROR("Q"&amp;INDEX('1 DTFT + DFT'!$A$4:$A$4,MATCH(FALSE(),'1 DTFT + DFT'!$N$4:$N$4,0))&amp;" · "&amp;INDEX('1 DTFT + DFT'!$B$4:$B$4,MATCH(FALSE(),'1 DTFT + DFT'!$N$4:$N$4,0))&amp;" "&amp;INDEX('1 DTFT + DFT'!$D$4:$D$4,MATCH(FALSE(),'1 DTFT + DFT'!$N$4:$N$4,0))&amp;" · TF p."&amp;INDEX('1 DTFT + DFT'!$I$4:$I$4,MATCH(FALSE(),'1 DTFT + DFT'!$N$4:$N$4,0)),"All done ✔")</f>
        <v/>
      </c>
    </row>
    <row r="6">
      <c r="A6" s="8" t="n">
        <v>2</v>
      </c>
      <c r="B6" s="9" t="inlineStr">
        <is>
          <t>2 FFT</t>
        </is>
      </c>
      <c r="C6" s="8">
        <f>COUNTA('2 FFT'!$E$4:$E$7)</f>
        <v/>
      </c>
      <c r="D6" s="8">
        <f>COUNTIF('2 FFT'!$N$4:$N$7,TRUE())</f>
        <v/>
      </c>
      <c r="E6" s="10">
        <f>IF(C6=0,0,D6/C6)</f>
        <v/>
      </c>
      <c r="F6" s="8">
        <f>SUM('2 FFT'!$H$4:$H$7)</f>
        <v/>
      </c>
      <c r="G6" s="8">
        <f>SUMIF('2 FFT'!$N$4:$N$7,TRUE(),'2 FFT'!$H$4:$H$7)</f>
        <v/>
      </c>
      <c r="H6" s="8">
        <f>COUNTIFS('2 FFT'!$J$4:$J$7,"★★★ High",'2 FFT'!$N$4:$N$7,FALSE())</f>
        <v/>
      </c>
      <c r="I6" s="8">
        <f>COUNTIF('2 FFT'!$O$4:$O$7,"Weak")</f>
        <v/>
      </c>
      <c r="J6" s="9">
        <f>IFERROR("Q"&amp;INDEX('2 FFT'!$A$4:$A$7,MATCH(FALSE(),'2 FFT'!$N$4:$N$7,0))&amp;" · "&amp;INDEX('2 FFT'!$B$4:$B$7,MATCH(FALSE(),'2 FFT'!$N$4:$N$7,0))&amp;" "&amp;INDEX('2 FFT'!$D$4:$D$7,MATCH(FALSE(),'2 FFT'!$N$4:$N$7,0))&amp;" · TF p."&amp;INDEX('2 FFT'!$I$4:$I$7,MATCH(FALSE(),'2 FFT'!$N$4:$N$7,0)),"All done ✔")</f>
        <v/>
      </c>
    </row>
    <row r="7">
      <c r="A7" s="8" t="n">
        <v>3</v>
      </c>
      <c r="B7" s="9" t="inlineStr">
        <is>
          <t>3 Sampling</t>
        </is>
      </c>
      <c r="C7" s="8">
        <f>COUNTA('3 Sampling'!$E$4:$E$17)</f>
        <v/>
      </c>
      <c r="D7" s="8">
        <f>COUNTIF('3 Sampling'!$N$4:$N$17,TRUE())</f>
        <v/>
      </c>
      <c r="E7" s="10">
        <f>IF(C7=0,0,D7/C7)</f>
        <v/>
      </c>
      <c r="F7" s="8">
        <f>SUM('3 Sampling'!$H$4:$H$17)</f>
        <v/>
      </c>
      <c r="G7" s="8">
        <f>SUMIF('3 Sampling'!$N$4:$N$17,TRUE(),'3 Sampling'!$H$4:$H$17)</f>
        <v/>
      </c>
      <c r="H7" s="8">
        <f>COUNTIFS('3 Sampling'!$J$4:$J$17,"★★★ High",'3 Sampling'!$N$4:$N$17,FALSE())</f>
        <v/>
      </c>
      <c r="I7" s="8">
        <f>COUNTIF('3 Sampling'!$O$4:$O$17,"Weak")</f>
        <v/>
      </c>
      <c r="J7" s="9">
        <f>IFERROR("Q"&amp;INDEX('3 Sampling'!$A$4:$A$17,MATCH(FALSE(),'3 Sampling'!$N$4:$N$17,0))&amp;" · "&amp;INDEX('3 Sampling'!$B$4:$B$17,MATCH(FALSE(),'3 Sampling'!$N$4:$N$17,0))&amp;" "&amp;INDEX('3 Sampling'!$D$4:$D$17,MATCH(FALSE(),'3 Sampling'!$N$4:$N$17,0))&amp;" · TF p."&amp;INDEX('3 Sampling'!$I$4:$I$17,MATCH(FALSE(),'3 Sampling'!$N$4:$N$17,0)),"All done ✔")</f>
        <v/>
      </c>
    </row>
    <row r="8">
      <c r="A8" s="8" t="n">
        <v>4</v>
      </c>
      <c r="B8" s="9" t="inlineStr">
        <is>
          <t>4 Laplace</t>
        </is>
      </c>
      <c r="C8" s="8">
        <f>COUNTA('4 Laplace'!$E$4:$E$28)</f>
        <v/>
      </c>
      <c r="D8" s="8">
        <f>COUNTIF('4 Laplace'!$N$4:$N$28,TRUE())</f>
        <v/>
      </c>
      <c r="E8" s="10">
        <f>IF(C8=0,0,D8/C8)</f>
        <v/>
      </c>
      <c r="F8" s="8">
        <f>SUM('4 Laplace'!$H$4:$H$28)</f>
        <v/>
      </c>
      <c r="G8" s="8">
        <f>SUMIF('4 Laplace'!$N$4:$N$28,TRUE(),'4 Laplace'!$H$4:$H$28)</f>
        <v/>
      </c>
      <c r="H8" s="8">
        <f>COUNTIFS('4 Laplace'!$J$4:$J$28,"★★★ High",'4 Laplace'!$N$4:$N$28,FALSE())</f>
        <v/>
      </c>
      <c r="I8" s="8">
        <f>COUNTIF('4 Laplace'!$O$4:$O$28,"Weak")</f>
        <v/>
      </c>
      <c r="J8" s="9">
        <f>IFERROR("Q"&amp;INDEX('4 Laplace'!$A$4:$A$28,MATCH(FALSE(),'4 Laplace'!$N$4:$N$28,0))&amp;" · "&amp;INDEX('4 Laplace'!$B$4:$B$28,MATCH(FALSE(),'4 Laplace'!$N$4:$N$28,0))&amp;" "&amp;INDEX('4 Laplace'!$D$4:$D$28,MATCH(FALSE(),'4 Laplace'!$N$4:$N$28,0))&amp;" · TF p."&amp;INDEX('4 Laplace'!$I$4:$I$28,MATCH(FALSE(),'4 Laplace'!$N$4:$N$28,0)),"All done ✔")</f>
        <v/>
      </c>
    </row>
    <row r="9">
      <c r="A9" s="8" t="n">
        <v>5</v>
      </c>
      <c r="B9" s="9" t="inlineStr">
        <is>
          <t>5 z-Transform</t>
        </is>
      </c>
      <c r="C9" s="8">
        <f>COUNTA('5 z-Transform'!$E$4:$E$11)</f>
        <v/>
      </c>
      <c r="D9" s="8">
        <f>COUNTIF('5 z-Transform'!$N$4:$N$11,TRUE())</f>
        <v/>
      </c>
      <c r="E9" s="10">
        <f>IF(C9=0,0,D9/C9)</f>
        <v/>
      </c>
      <c r="F9" s="8">
        <f>SUM('5 z-Transform'!$H$4:$H$11)</f>
        <v/>
      </c>
      <c r="G9" s="8">
        <f>SUMIF('5 z-Transform'!$N$4:$N$11,TRUE(),'5 z-Transform'!$H$4:$H$11)</f>
        <v/>
      </c>
      <c r="H9" s="8">
        <f>COUNTIFS('5 z-Transform'!$J$4:$J$11,"★★★ High",'5 z-Transform'!$N$4:$N$11,FALSE())</f>
        <v/>
      </c>
      <c r="I9" s="8">
        <f>COUNTIF('5 z-Transform'!$O$4:$O$11,"Weak")</f>
        <v/>
      </c>
      <c r="J9" s="9">
        <f>IFERROR("Q"&amp;INDEX('5 z-Transform'!$A$4:$A$11,MATCH(FALSE(),'5 z-Transform'!$N$4:$N$11,0))&amp;" · "&amp;INDEX('5 z-Transform'!$B$4:$B$11,MATCH(FALSE(),'5 z-Transform'!$N$4:$N$11,0))&amp;" "&amp;INDEX('5 z-Transform'!$D$4:$D$11,MATCH(FALSE(),'5 z-Transform'!$N$4:$N$11,0))&amp;" · TF p."&amp;INDEX('5 z-Transform'!$I$4:$I$11,MATCH(FALSE(),'5 z-Transform'!$N$4:$N$11,0)),"All done ✔")</f>
        <v/>
      </c>
    </row>
    <row r="10">
      <c r="B10" s="11" t="inlineStr">
        <is>
          <t>TOTAL</t>
        </is>
      </c>
      <c r="C10" s="11">
        <f>SUM(C5:C9)</f>
        <v/>
      </c>
      <c r="D10" s="11">
        <f>SUM(D5:D9)</f>
        <v/>
      </c>
      <c r="E10" s="12">
        <f>IF(C10=0,0,D10/C10)</f>
        <v/>
      </c>
      <c r="F10" s="11">
        <f>SUM(F5:F9)</f>
        <v/>
      </c>
      <c r="G10" s="11">
        <f>SUM(G5:G9)</f>
        <v/>
      </c>
      <c r="H10" s="11">
        <f>SUM(H5:H9)</f>
        <v/>
      </c>
      <c r="I10" s="11">
        <f>SUM(I5:I9)</f>
        <v/>
      </c>
    </row>
    <row r="12">
      <c r="A12" s="13" t="inlineStr">
        <is>
          <t>Questions by year (tabs 1–5)</t>
        </is>
      </c>
    </row>
    <row r="13">
      <c r="A13" s="7" t="inlineStr">
        <is>
          <t>#</t>
        </is>
      </c>
      <c r="B13" s="7" t="inlineStr">
        <is>
          <t>Year</t>
        </is>
      </c>
      <c r="C13" s="7" t="inlineStr">
        <is>
          <t>Questions</t>
        </is>
      </c>
      <c r="D13" s="7" t="inlineStr">
        <is>
          <t>Done</t>
        </is>
      </c>
      <c r="E13" s="7" t="inlineStr">
        <is>
          <t>% Done</t>
        </is>
      </c>
      <c r="F13" s="7" t="inlineStr">
        <is>
          <t>Marks (total)</t>
        </is>
      </c>
    </row>
    <row r="14">
      <c r="A14" s="14" t="n">
        <v>1</v>
      </c>
      <c r="B14" s="14" t="inlineStr">
        <is>
          <t>2023-24</t>
        </is>
      </c>
      <c r="C14" s="14">
        <f>COUNTIF('1 DTFT + DFT'!$B$4:$B$4,$B14)+COUNTIF('2 FFT'!$B$4:$B$7,$B14)+COUNTIF('3 Sampling'!$B$4:$B$17,$B14)+COUNTIF('4 Laplace'!$B$4:$B$28,$B14)+COUNTIF('5 z-Transform'!$B$4:$B$11,$B14)</f>
        <v/>
      </c>
      <c r="D14" s="14">
        <f>COUNTIFS('1 DTFT + DFT'!$B$4:$B$4,$B14,'1 DTFT + DFT'!$N$4:$N$4,TRUE())+COUNTIFS('2 FFT'!$B$4:$B$7,$B14,'2 FFT'!$N$4:$N$7,TRUE())+COUNTIFS('3 Sampling'!$B$4:$B$17,$B14,'3 Sampling'!$N$4:$N$17,TRUE())+COUNTIFS('4 Laplace'!$B$4:$B$28,$B14,'4 Laplace'!$N$4:$N$28,TRUE())+COUNTIFS('5 z-Transform'!$B$4:$B$11,$B14,'5 z-Transform'!$N$4:$N$11,TRUE())</f>
        <v/>
      </c>
      <c r="E14" s="15">
        <f>IF(C14=0,0,D14/C14)</f>
        <v/>
      </c>
      <c r="F14" s="14">
        <f>SUMIF('1 DTFT + DFT'!$B$4:$B$4,$B14,'1 DTFT + DFT'!$H$4:$H$4)+SUMIF('2 FFT'!$B$4:$B$7,$B14,'2 FFT'!$H$4:$H$7)+SUMIF('3 Sampling'!$B$4:$B$17,$B14,'3 Sampling'!$H$4:$H$17)+SUMIF('4 Laplace'!$B$4:$B$28,$B14,'4 Laplace'!$H$4:$H$28)+SUMIF('5 z-Transform'!$B$4:$B$11,$B14,'5 z-Transform'!$H$4:$H$11)</f>
        <v/>
      </c>
    </row>
    <row r="15">
      <c r="A15" s="14" t="n">
        <v>2</v>
      </c>
      <c r="B15" s="14" t="inlineStr">
        <is>
          <t>2022-23</t>
        </is>
      </c>
      <c r="C15" s="14">
        <f>COUNTIF('1 DTFT + DFT'!$B$4:$B$4,$B15)+COUNTIF('2 FFT'!$B$4:$B$7,$B15)+COUNTIF('3 Sampling'!$B$4:$B$17,$B15)+COUNTIF('4 Laplace'!$B$4:$B$28,$B15)+COUNTIF('5 z-Transform'!$B$4:$B$11,$B15)</f>
        <v/>
      </c>
      <c r="D15" s="14">
        <f>COUNTIFS('1 DTFT + DFT'!$B$4:$B$4,$B15,'1 DTFT + DFT'!$N$4:$N$4,TRUE())+COUNTIFS('2 FFT'!$B$4:$B$7,$B15,'2 FFT'!$N$4:$N$7,TRUE())+COUNTIFS('3 Sampling'!$B$4:$B$17,$B15,'3 Sampling'!$N$4:$N$17,TRUE())+COUNTIFS('4 Laplace'!$B$4:$B$28,$B15,'4 Laplace'!$N$4:$N$28,TRUE())+COUNTIFS('5 z-Transform'!$B$4:$B$11,$B15,'5 z-Transform'!$N$4:$N$11,TRUE())</f>
        <v/>
      </c>
      <c r="E15" s="15">
        <f>IF(C15=0,0,D15/C15)</f>
        <v/>
      </c>
      <c r="F15" s="14">
        <f>SUMIF('1 DTFT + DFT'!$B$4:$B$4,$B15,'1 DTFT + DFT'!$H$4:$H$4)+SUMIF('2 FFT'!$B$4:$B$7,$B15,'2 FFT'!$H$4:$H$7)+SUMIF('3 Sampling'!$B$4:$B$17,$B15,'3 Sampling'!$H$4:$H$17)+SUMIF('4 Laplace'!$B$4:$B$28,$B15,'4 Laplace'!$H$4:$H$28)+SUMIF('5 z-Transform'!$B$4:$B$11,$B15,'5 z-Transform'!$H$4:$H$11)</f>
        <v/>
      </c>
    </row>
    <row r="16">
      <c r="A16" s="14" t="n">
        <v>3</v>
      </c>
      <c r="B16" s="14" t="inlineStr">
        <is>
          <t>2021-22</t>
        </is>
      </c>
      <c r="C16" s="14">
        <f>COUNTIF('1 DTFT + DFT'!$B$4:$B$4,$B16)+COUNTIF('2 FFT'!$B$4:$B$7,$B16)+COUNTIF('3 Sampling'!$B$4:$B$17,$B16)+COUNTIF('4 Laplace'!$B$4:$B$28,$B16)+COUNTIF('5 z-Transform'!$B$4:$B$11,$B16)</f>
        <v/>
      </c>
      <c r="D16" s="14">
        <f>COUNTIFS('1 DTFT + DFT'!$B$4:$B$4,$B16,'1 DTFT + DFT'!$N$4:$N$4,TRUE())+COUNTIFS('2 FFT'!$B$4:$B$7,$B16,'2 FFT'!$N$4:$N$7,TRUE())+COUNTIFS('3 Sampling'!$B$4:$B$17,$B16,'3 Sampling'!$N$4:$N$17,TRUE())+COUNTIFS('4 Laplace'!$B$4:$B$28,$B16,'4 Laplace'!$N$4:$N$28,TRUE())+COUNTIFS('5 z-Transform'!$B$4:$B$11,$B16,'5 z-Transform'!$N$4:$N$11,TRUE())</f>
        <v/>
      </c>
      <c r="E16" s="15">
        <f>IF(C16=0,0,D16/C16)</f>
        <v/>
      </c>
      <c r="F16" s="14">
        <f>SUMIF('1 DTFT + DFT'!$B$4:$B$4,$B16,'1 DTFT + DFT'!$H$4:$H$4)+SUMIF('2 FFT'!$B$4:$B$7,$B16,'2 FFT'!$H$4:$H$7)+SUMIF('3 Sampling'!$B$4:$B$17,$B16,'3 Sampling'!$H$4:$H$17)+SUMIF('4 Laplace'!$B$4:$B$28,$B16,'4 Laplace'!$H$4:$H$28)+SUMIF('5 z-Transform'!$B$4:$B$11,$B16,'5 z-Transform'!$H$4:$H$11)</f>
        <v/>
      </c>
    </row>
    <row r="17">
      <c r="A17" s="14" t="n">
        <v>4</v>
      </c>
      <c r="B17" s="14" t="inlineStr">
        <is>
          <t>2020-21</t>
        </is>
      </c>
      <c r="C17" s="14">
        <f>COUNTIF('1 DTFT + DFT'!$B$4:$B$4,$B17)+COUNTIF('2 FFT'!$B$4:$B$7,$B17)+COUNTIF('3 Sampling'!$B$4:$B$17,$B17)+COUNTIF('4 Laplace'!$B$4:$B$28,$B17)+COUNTIF('5 z-Transform'!$B$4:$B$11,$B17)</f>
        <v/>
      </c>
      <c r="D17" s="14">
        <f>COUNTIFS('1 DTFT + DFT'!$B$4:$B$4,$B17,'1 DTFT + DFT'!$N$4:$N$4,TRUE())+COUNTIFS('2 FFT'!$B$4:$B$7,$B17,'2 FFT'!$N$4:$N$7,TRUE())+COUNTIFS('3 Sampling'!$B$4:$B$17,$B17,'3 Sampling'!$N$4:$N$17,TRUE())+COUNTIFS('4 Laplace'!$B$4:$B$28,$B17,'4 Laplace'!$N$4:$N$28,TRUE())+COUNTIFS('5 z-Transform'!$B$4:$B$11,$B17,'5 z-Transform'!$N$4:$N$11,TRUE())</f>
        <v/>
      </c>
      <c r="E17" s="15">
        <f>IF(C17=0,0,D17/C17)</f>
        <v/>
      </c>
      <c r="F17" s="14">
        <f>SUMIF('1 DTFT + DFT'!$B$4:$B$4,$B17,'1 DTFT + DFT'!$H$4:$H$4)+SUMIF('2 FFT'!$B$4:$B$7,$B17,'2 FFT'!$H$4:$H$7)+SUMIF('3 Sampling'!$B$4:$B$17,$B17,'3 Sampling'!$H$4:$H$17)+SUMIF('4 Laplace'!$B$4:$B$28,$B17,'4 Laplace'!$H$4:$H$28)+SUMIF('5 z-Transform'!$B$4:$B$11,$B17,'5 z-Transform'!$H$4:$H$11)</f>
        <v/>
      </c>
    </row>
    <row r="18">
      <c r="A18" s="14" t="n">
        <v>5</v>
      </c>
      <c r="B18" s="14" t="inlineStr">
        <is>
          <t>2019-20</t>
        </is>
      </c>
      <c r="C18" s="14">
        <f>COUNTIF('1 DTFT + DFT'!$B$4:$B$4,$B18)+COUNTIF('2 FFT'!$B$4:$B$7,$B18)+COUNTIF('3 Sampling'!$B$4:$B$17,$B18)+COUNTIF('4 Laplace'!$B$4:$B$28,$B18)+COUNTIF('5 z-Transform'!$B$4:$B$11,$B18)</f>
        <v/>
      </c>
      <c r="D18" s="14">
        <f>COUNTIFS('1 DTFT + DFT'!$B$4:$B$4,$B18,'1 DTFT + DFT'!$N$4:$N$4,TRUE())+COUNTIFS('2 FFT'!$B$4:$B$7,$B18,'2 FFT'!$N$4:$N$7,TRUE())+COUNTIFS('3 Sampling'!$B$4:$B$17,$B18,'3 Sampling'!$N$4:$N$17,TRUE())+COUNTIFS('4 Laplace'!$B$4:$B$28,$B18,'4 Laplace'!$N$4:$N$28,TRUE())+COUNTIFS('5 z-Transform'!$B$4:$B$11,$B18,'5 z-Transform'!$N$4:$N$11,TRUE())</f>
        <v/>
      </c>
      <c r="E18" s="15">
        <f>IF(C18=0,0,D18/C18)</f>
        <v/>
      </c>
      <c r="F18" s="14">
        <f>SUMIF('1 DTFT + DFT'!$B$4:$B$4,$B18,'1 DTFT + DFT'!$H$4:$H$4)+SUMIF('2 FFT'!$B$4:$B$7,$B18,'2 FFT'!$H$4:$H$7)+SUMIF('3 Sampling'!$B$4:$B$17,$B18,'3 Sampling'!$H$4:$H$17)+SUMIF('4 Laplace'!$B$4:$B$28,$B18,'4 Laplace'!$H$4:$H$28)+SUMIF('5 z-Transform'!$B$4:$B$11,$B18,'5 z-Transform'!$H$4:$H$11)</f>
        <v/>
      </c>
    </row>
    <row r="19">
      <c r="A19" s="16" t="n">
        <v>6</v>
      </c>
      <c r="B19" s="16" t="inlineStr">
        <is>
          <t>2018-19</t>
        </is>
      </c>
      <c r="C19" s="16">
        <f>COUNTIF('1 DTFT + DFT'!$B$4:$B$4,$B19)+COUNTIF('2 FFT'!$B$4:$B$7,$B19)+COUNTIF('3 Sampling'!$B$4:$B$17,$B19)+COUNTIF('4 Laplace'!$B$4:$B$28,$B19)+COUNTIF('5 z-Transform'!$B$4:$B$11,$B19)</f>
        <v/>
      </c>
      <c r="D19" s="16">
        <f>COUNTIFS('1 DTFT + DFT'!$B$4:$B$4,$B19,'1 DTFT + DFT'!$N$4:$N$4,TRUE())+COUNTIFS('2 FFT'!$B$4:$B$7,$B19,'2 FFT'!$N$4:$N$7,TRUE())+COUNTIFS('3 Sampling'!$B$4:$B$17,$B19,'3 Sampling'!$N$4:$N$17,TRUE())+COUNTIFS('4 Laplace'!$B$4:$B$28,$B19,'4 Laplace'!$N$4:$N$28,TRUE())+COUNTIFS('5 z-Transform'!$B$4:$B$11,$B19,'5 z-Transform'!$N$4:$N$11,TRUE())</f>
        <v/>
      </c>
      <c r="E19" s="17">
        <f>IF(C19=0,0,D19/C19)</f>
        <v/>
      </c>
      <c r="F19" s="16">
        <f>SUMIF('1 DTFT + DFT'!$B$4:$B$4,$B19,'1 DTFT + DFT'!$H$4:$H$4)+SUMIF('2 FFT'!$B$4:$B$7,$B19,'2 FFT'!$H$4:$H$7)+SUMIF('3 Sampling'!$B$4:$B$17,$B19,'3 Sampling'!$H$4:$H$17)+SUMIF('4 Laplace'!$B$4:$B$28,$B19,'4 Laplace'!$H$4:$H$28)+SUMIF('5 z-Transform'!$B$4:$B$11,$B19,'5 z-Transform'!$H$4:$H$11)</f>
        <v/>
      </c>
    </row>
    <row r="20">
      <c r="B20" s="2" t="inlineStr">
        <is>
          <t>Shaded years = ★★★ High priority (2019-20 onward).</t>
        </is>
      </c>
    </row>
    <row r="21">
      <c r="B21" s="2" t="inlineStr">
        <is>
          <t>2023-24 CSE 219 pages are in 'CSE 219 (22 batch).pdf' (TF Page '22 batch p.N').</t>
        </is>
      </c>
    </row>
    <row r="22">
      <c r="B22" s="2" t="inlineStr">
        <is>
          <t>Section split: Anik Sir = signals, LTI, Fourier series/transform; Ashraf Sir = DFT/FFT, sampling, Laplace, z.</t>
        </is>
      </c>
    </row>
  </sheetData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E14:E19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0–2 — DTFT, DFT, circular convolution</t>
        </is>
      </c>
    </row>
    <row r="2">
      <c r="A2" s="2" t="inlineStr">
        <is>
          <t>Note file: CSE219_Ashraf_DTFT_DFT_Notes.docx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219</t>
        </is>
      </c>
      <c r="D4" s="19" t="inlineStr">
        <is>
          <t>5(b)</t>
        </is>
      </c>
      <c r="E4" s="20" t="inlineStr">
        <is>
          <t>Linear convolution of {1,2} and {1,1} using the DFT</t>
        </is>
      </c>
      <c r="F4" s="20" t="inlineStr">
        <is>
          <t>Circular convolution, DFT filtering — Lec 2, sl. 13–23</t>
        </is>
      </c>
      <c r="G4" s="19" t="inlineStr">
        <is>
          <t>L4</t>
        </is>
      </c>
      <c r="H4" s="19" t="n">
        <v>10</v>
      </c>
      <c r="I4" s="19" t="inlineStr">
        <is>
          <t>22 batch p.3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</sheetData>
  <autoFilter ref="A3:Q4"/>
  <conditionalFormatting sqref="A4:Q4">
    <cfRule type="expression" priority="1" dxfId="0">
      <formula>$N4=TRUE</formula>
    </cfRule>
  </conditionalFormatting>
  <conditionalFormatting sqref="O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" showDropDown="0" showInputMessage="0" showErrorMessage="0" allowBlank="1" type="list">
      <formula1>"TRUE,FALSE"</formula1>
    </dataValidation>
    <dataValidation sqref="O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3–4 — Fast Fourier Transform</t>
        </is>
      </c>
    </row>
    <row r="2">
      <c r="A2" s="2" t="inlineStr">
        <is>
          <t>Note file: CSE219_Ashraf_FFT_Notes.docx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219</t>
        </is>
      </c>
      <c r="D4" s="19" t="inlineStr">
        <is>
          <t>5(a)</t>
        </is>
      </c>
      <c r="E4" s="20" t="inlineStr">
        <is>
          <t>8-point DFT of {1,2,3,4,3,2} by radix-2 DIT FFT with all butterflies</t>
        </is>
      </c>
      <c r="F4" s="20" t="inlineStr">
        <is>
          <t>Radix-2 DIT FFT — Lec 3, sl. 4–15</t>
        </is>
      </c>
      <c r="G4" s="19" t="inlineStr">
        <is>
          <t>L5</t>
        </is>
      </c>
      <c r="H4" s="19" t="n">
        <v>15</v>
      </c>
      <c r="I4" s="19" t="inlineStr">
        <is>
          <t>22 batch p.3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CSE 219</t>
        </is>
      </c>
      <c r="D5" s="19" t="inlineStr">
        <is>
          <t>4(c)</t>
        </is>
      </c>
      <c r="E5" s="20" t="inlineStr">
        <is>
          <t>Compare computational complexity of direct DFT and radix-2 FFT</t>
        </is>
      </c>
      <c r="F5" s="20" t="inlineStr">
        <is>
          <t>Radix-2 DIT FFT — Lec 3, sl. 4–15</t>
        </is>
      </c>
      <c r="G5" s="19" t="inlineStr">
        <is>
          <t>L5</t>
        </is>
      </c>
      <c r="H5" s="19" t="n">
        <v>15</v>
      </c>
      <c r="I5" s="19" t="n">
        <v>2</v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CSE 219</t>
        </is>
      </c>
      <c r="D6" s="24" t="inlineStr">
        <is>
          <t>7(a)</t>
        </is>
      </c>
      <c r="E6" s="6" t="inlineStr">
        <is>
          <t>2×4 Cooley–Tukey (matrix) DFT of {1,2,3,4,9,0,7,8}, steps i–iii</t>
        </is>
      </c>
      <c r="F6" s="6" t="inlineStr">
        <is>
          <t>Matrix (Cooley–Tukey/Bailey) FFT — Lec 4, sl. 5–14</t>
        </is>
      </c>
      <c r="G6" s="24" t="inlineStr">
        <is>
          <t>L7</t>
        </is>
      </c>
      <c r="H6" s="24" t="n">
        <v>15</v>
      </c>
      <c r="I6" s="24" t="inlineStr">
        <is>
          <t>22 batch p.4</t>
        </is>
      </c>
      <c r="J6" s="21" t="inlineStr">
        <is>
          <t>★★★ High</t>
        </is>
      </c>
      <c r="K6" s="24" t="inlineStr">
        <is>
          <t>Numerical</t>
        </is>
      </c>
      <c r="L6" s="22" t="inlineStr">
        <is>
          <t>✔ Solved</t>
        </is>
      </c>
      <c r="M6" s="6" t="inlineStr">
        <is>
          <t>—</t>
        </is>
      </c>
      <c r="N6" s="23" t="b">
        <v>0</v>
      </c>
      <c r="O6" s="24" t="n"/>
      <c r="P6" s="24" t="n"/>
      <c r="Q6" s="6" t="n"/>
    </row>
    <row r="7">
      <c r="A7" s="19" t="n">
        <v>4</v>
      </c>
      <c r="B7" s="19" t="inlineStr">
        <is>
          <t>2023-24</t>
        </is>
      </c>
      <c r="C7" s="19" t="inlineStr">
        <is>
          <t>CSE 219</t>
        </is>
      </c>
      <c r="D7" s="19" t="inlineStr">
        <is>
          <t>7(b)</t>
        </is>
      </c>
      <c r="E7" s="20" t="inlineStr">
        <is>
          <t>Chirp-z (Bluestein) derivation; why padding M ≥ 2N−1</t>
        </is>
      </c>
      <c r="F7" s="20" t="inlineStr">
        <is>
          <t>Fast convolution, Bluestein — Lec 4, sl. 16–22</t>
        </is>
      </c>
      <c r="G7" s="19" t="inlineStr">
        <is>
          <t>L8</t>
        </is>
      </c>
      <c r="H7" s="19" t="n">
        <v>10</v>
      </c>
      <c r="I7" s="19" t="inlineStr">
        <is>
          <t>22 batch p.4</t>
        </is>
      </c>
      <c r="J7" s="21" t="inlineStr">
        <is>
          <t>★★★ High</t>
        </is>
      </c>
      <c r="K7" s="19" t="inlineStr">
        <is>
          <t>Derivation</t>
        </is>
      </c>
      <c r="L7" s="22" t="inlineStr">
        <is>
          <t>✔ Solved</t>
        </is>
      </c>
      <c r="M7" s="20" t="inlineStr">
        <is>
          <t>—</t>
        </is>
      </c>
      <c r="N7" s="23" t="b">
        <v>0</v>
      </c>
      <c r="O7" s="19" t="n"/>
      <c r="P7" s="19" t="n"/>
      <c r="Q7" s="20" t="n"/>
    </row>
  </sheetData>
  <autoFilter ref="A3:Q7"/>
  <conditionalFormatting sqref="A4:Q7">
    <cfRule type="expression" priority="1" dxfId="0">
      <formula>$N4=TRUE</formula>
    </cfRule>
  </conditionalFormatting>
  <conditionalFormatting sqref="O4:O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7" showDropDown="0" showInputMessage="0" showErrorMessage="0" allowBlank="1" type="list">
      <formula1>"TRUE,FALSE"</formula1>
    </dataValidation>
    <dataValidation sqref="O4:O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5 — Sampling and reconstruction</t>
        </is>
      </c>
    </row>
    <row r="2">
      <c r="A2" s="2" t="inlineStr">
        <is>
          <t>Note file: CSE219_Ashraf_Sampling_Notes.docx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2019-20</t>
        </is>
      </c>
      <c r="C4" s="19" t="inlineStr">
        <is>
          <t>CSE 311</t>
        </is>
      </c>
      <c r="D4" s="19" t="inlineStr">
        <is>
          <t>3</t>
        </is>
      </c>
      <c r="E4" s="20" t="inlineStr">
        <is>
          <t>FT of 2B sinc(2πBt) / B sinc²(πBt); spectrum when sampled at 1.5× Nyquist; general sampled spectrum</t>
        </is>
      </c>
      <c r="F4" s="20" t="inlineStr">
        <is>
          <t>Impulse-train sampling spectrum — Lec 5, sl. 4–17</t>
        </is>
      </c>
      <c r="G4" s="19" t="inlineStr">
        <is>
          <t>L9</t>
        </is>
      </c>
      <c r="H4" s="19" t="n">
        <v>35</v>
      </c>
      <c r="I4" s="19" t="n">
        <v>15</v>
      </c>
      <c r="J4" s="21" t="inlineStr">
        <is>
          <t>★★★ High</t>
        </is>
      </c>
      <c r="K4" s="19" t="inlineStr">
        <is>
          <t>Numerical</t>
        </is>
      </c>
      <c r="L4" s="25" t="inlineStr">
        <is>
          <t>◐ Method</t>
        </is>
      </c>
      <c r="M4" s="20" t="inlineStr">
        <is>
          <t>2019-20 7(b)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2019-20</t>
        </is>
      </c>
      <c r="C5" s="19" t="inlineStr">
        <is>
          <t>EEE 211</t>
        </is>
      </c>
      <c r="D5" s="19" t="inlineStr">
        <is>
          <t>7(b)</t>
        </is>
      </c>
      <c r="E5" s="20" t="inlineStr">
        <is>
          <t>x = sin(ω_Bt/2)/(πt) × Σδ(t−nπ/ω_B) → h = sin(3ω_Bt/2)/(πt): y(t)</t>
        </is>
      </c>
      <c r="F5" s="20" t="inlineStr">
        <is>
          <t>Impulse-train sampling spectrum — Lec 5, sl. 4–17</t>
        </is>
      </c>
      <c r="G5" s="19" t="inlineStr">
        <is>
          <t>L9</t>
        </is>
      </c>
      <c r="H5" s="19" t="n">
        <v>20</v>
      </c>
      <c r="I5" s="19" t="inlineStr">
        <is>
          <t>EEE p.25</t>
        </is>
      </c>
      <c r="J5" s="21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2019-20 3 (CSE 311)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2019-20</t>
        </is>
      </c>
      <c r="C6" s="19" t="inlineStr">
        <is>
          <t>EEE 211</t>
        </is>
      </c>
      <c r="D6" s="19" t="inlineStr">
        <is>
          <t>8(a)</t>
        </is>
      </c>
      <c r="E6" s="20" t="inlineStr">
        <is>
          <t>FT of an impulse train is an impulse train</t>
        </is>
      </c>
      <c r="F6" s="20" t="inlineStr">
        <is>
          <t>Impulse-train sampling spectrum — Lec 5, sl. 4–17</t>
        </is>
      </c>
      <c r="G6" s="19" t="inlineStr">
        <is>
          <t>L9</t>
        </is>
      </c>
      <c r="H6" s="19" t="n">
        <v>15</v>
      </c>
      <c r="I6" s="19" t="inlineStr">
        <is>
          <t>EEE p.25–26</t>
        </is>
      </c>
      <c r="J6" s="21" t="inlineStr">
        <is>
          <t>★★★ High</t>
        </is>
      </c>
      <c r="K6" s="19" t="inlineStr">
        <is>
          <t>Derivation</t>
        </is>
      </c>
      <c r="L6" s="22" t="inlineStr">
        <is>
          <t>✔ Solved</t>
        </is>
      </c>
      <c r="M6" s="20" t="inlineStr">
        <is>
          <t>2018-19 3(a) (EEE)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2018-19</t>
        </is>
      </c>
      <c r="C7" s="19" t="inlineStr">
        <is>
          <t>EEE 211</t>
        </is>
      </c>
      <c r="D7" s="19" t="inlineStr">
        <is>
          <t>3(a)</t>
        </is>
      </c>
      <c r="E7" s="20" t="inlineStr">
        <is>
          <t>FT of an impulse train is an impulse train; sketch both</t>
        </is>
      </c>
      <c r="F7" s="20" t="inlineStr">
        <is>
          <t>Impulse-train sampling spectrum — Lec 5, sl. 4–17</t>
        </is>
      </c>
      <c r="G7" s="19" t="inlineStr">
        <is>
          <t>L9</t>
        </is>
      </c>
      <c r="H7" s="19" t="n">
        <v>10</v>
      </c>
      <c r="I7" s="19" t="inlineStr">
        <is>
          <t>EEE p.28</t>
        </is>
      </c>
      <c r="J7" s="26" t="inlineStr">
        <is>
          <t>★★ Medium</t>
        </is>
      </c>
      <c r="K7" s="19" t="inlineStr">
        <is>
          <t>Derivation</t>
        </is>
      </c>
      <c r="L7" s="22" t="inlineStr">
        <is>
          <t>✔ Solved</t>
        </is>
      </c>
      <c r="M7" s="20" t="inlineStr">
        <is>
          <t>2019-20 8(a) (EEE)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2023-24</t>
        </is>
      </c>
      <c r="C8" s="24" t="inlineStr">
        <is>
          <t>CSE 219</t>
        </is>
      </c>
      <c r="D8" s="24" t="inlineStr">
        <is>
          <t>7(c)</t>
        </is>
      </c>
      <c r="E8" s="6" t="inlineStr">
        <is>
          <t>Nyquist–Shannon theorem; X_p(jω) satisfying/violating; why aliasing is irrecoverable</t>
        </is>
      </c>
      <c r="F8" s="6" t="inlineStr">
        <is>
          <t>Sampling theorem, aliasing — Lec 5, sl. 19–22</t>
        </is>
      </c>
      <c r="G8" s="24" t="inlineStr">
        <is>
          <t>L10</t>
        </is>
      </c>
      <c r="H8" s="24" t="n">
        <v>10</v>
      </c>
      <c r="I8" s="24" t="inlineStr">
        <is>
          <t>22 batch p.4</t>
        </is>
      </c>
      <c r="J8" s="21" t="inlineStr">
        <is>
          <t>★★★ High</t>
        </is>
      </c>
      <c r="K8" s="24" t="inlineStr">
        <is>
          <t>Theory</t>
        </is>
      </c>
      <c r="L8" s="22" t="inlineStr">
        <is>
          <t>✔ Solved</t>
        </is>
      </c>
      <c r="M8" s="6" t="inlineStr">
        <is>
          <t>2022-23 1(c); 2018-19 3(b) (EEE)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2022-23</t>
        </is>
      </c>
      <c r="C9" s="24" t="inlineStr">
        <is>
          <t>CSE 219</t>
        </is>
      </c>
      <c r="D9" s="24" t="inlineStr">
        <is>
          <t>1(c)</t>
        </is>
      </c>
      <c r="E9" s="6" t="inlineStr">
        <is>
          <t>Band-limited x(t), ω_s &gt; 2ω_M: show x(t) is uniquely determined by x(nT)</t>
        </is>
      </c>
      <c r="F9" s="6" t="inlineStr">
        <is>
          <t>Sampling theorem, aliasing — Lec 5, sl. 19–22</t>
        </is>
      </c>
      <c r="G9" s="24" t="inlineStr">
        <is>
          <t>L10</t>
        </is>
      </c>
      <c r="H9" s="24" t="n">
        <v>15</v>
      </c>
      <c r="I9" s="24" t="n">
        <v>1</v>
      </c>
      <c r="J9" s="21" t="inlineStr">
        <is>
          <t>★★★ High</t>
        </is>
      </c>
      <c r="K9" s="24" t="inlineStr">
        <is>
          <t>Proof</t>
        </is>
      </c>
      <c r="L9" s="22" t="inlineStr">
        <is>
          <t>✔ Solved</t>
        </is>
      </c>
      <c r="M9" s="6" t="inlineStr">
        <is>
          <t>2023-24 7(c); 2018-19 3(b) (EEE)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2022-23</t>
        </is>
      </c>
      <c r="C10" s="24" t="inlineStr">
        <is>
          <t>CSE 219</t>
        </is>
      </c>
      <c r="D10" s="24" t="inlineStr">
        <is>
          <t>4(b)</t>
        </is>
      </c>
      <c r="E10" s="6" t="inlineStr">
        <is>
          <t>X(e^{jω}) = 0 for 2π/9 ≤ |ω| ≤ π: lowest rate at which x[n] can be sampled (decimated)</t>
        </is>
      </c>
      <c r="F10" s="6" t="inlineStr">
        <is>
          <t>Sampling theorem, aliasing — Lec 5, sl. 19–22</t>
        </is>
      </c>
      <c r="G10" s="24" t="inlineStr">
        <is>
          <t>L10</t>
        </is>
      </c>
      <c r="H10" s="24" t="n">
        <v>10</v>
      </c>
      <c r="I10" s="24" t="n">
        <v>2</v>
      </c>
      <c r="J10" s="21" t="inlineStr">
        <is>
          <t>★★★ High</t>
        </is>
      </c>
      <c r="K10" s="24" t="inlineStr">
        <is>
          <t>Numerical</t>
        </is>
      </c>
      <c r="L10" s="22" t="inlineStr">
        <is>
          <t>✔ Solved</t>
        </is>
      </c>
      <c r="M10" s="6" t="inlineStr">
        <is>
          <t>—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2018-19</t>
        </is>
      </c>
      <c r="C11" s="24" t="inlineStr">
        <is>
          <t>CSE 311</t>
        </is>
      </c>
      <c r="D11" s="24" t="inlineStr">
        <is>
          <t>3(b)</t>
        </is>
      </c>
      <c r="E11" s="6" t="inlineStr">
        <is>
          <t>Cause of aliasing, its problems, how compensated</t>
        </is>
      </c>
      <c r="F11" s="6" t="inlineStr">
        <is>
          <t>Sampling theorem, aliasing — Lec 5, sl. 19–22</t>
        </is>
      </c>
      <c r="G11" s="24" t="inlineStr">
        <is>
          <t>L10</t>
        </is>
      </c>
      <c r="H11" s="24" t="n">
        <v>20</v>
      </c>
      <c r="I11" s="24" t="n">
        <v>18</v>
      </c>
      <c r="J11" s="26" t="inlineStr">
        <is>
          <t>★★ Medium</t>
        </is>
      </c>
      <c r="K11" s="24" t="inlineStr">
        <is>
          <t>Theory</t>
        </is>
      </c>
      <c r="L11" s="22" t="inlineStr">
        <is>
          <t>✔ Solved</t>
        </is>
      </c>
      <c r="M11" s="6" t="inlineStr">
        <is>
          <t>2020-21 3(a) (CSE 311)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2018-19</t>
        </is>
      </c>
      <c r="C12" s="24" t="inlineStr">
        <is>
          <t>EEE 211</t>
        </is>
      </c>
      <c r="D12" s="24" t="inlineStr">
        <is>
          <t>3(b)</t>
        </is>
      </c>
      <c r="E12" s="6" t="inlineStr">
        <is>
          <t>FT of sin1000πt + cos1200πt; sampling period for no aliasing</t>
        </is>
      </c>
      <c r="F12" s="6" t="inlineStr">
        <is>
          <t>Sampling theorem, aliasing — Lec 5, sl. 19–22</t>
        </is>
      </c>
      <c r="G12" s="24" t="inlineStr">
        <is>
          <t>L10</t>
        </is>
      </c>
      <c r="H12" s="24" t="n">
        <v>10</v>
      </c>
      <c r="I12" s="24" t="inlineStr">
        <is>
          <t>EEE p.28</t>
        </is>
      </c>
      <c r="J12" s="26" t="inlineStr">
        <is>
          <t>★★ Medium</t>
        </is>
      </c>
      <c r="K12" s="24" t="inlineStr">
        <is>
          <t>Numerical</t>
        </is>
      </c>
      <c r="L12" s="22" t="inlineStr">
        <is>
          <t>✔ Solved</t>
        </is>
      </c>
      <c r="M12" s="6" t="inlineStr">
        <is>
          <t>2022-23 1(c); 2023-24 7(c)</t>
        </is>
      </c>
      <c r="N12" s="23" t="b">
        <v>0</v>
      </c>
      <c r="O12" s="24" t="n"/>
      <c r="P12" s="24" t="n"/>
      <c r="Q12" s="6" t="n"/>
    </row>
    <row r="13">
      <c r="A13" s="19" t="n">
        <v>10</v>
      </c>
      <c r="B13" s="19" t="inlineStr">
        <is>
          <t>2023-24</t>
        </is>
      </c>
      <c r="C13" s="19" t="inlineStr">
        <is>
          <t>CSE 219</t>
        </is>
      </c>
      <c r="D13" s="19" t="inlineStr">
        <is>
          <t>5(c)</t>
        </is>
      </c>
      <c r="E13" s="20" t="inlineStr">
        <is>
          <t>Compare ideal (sinc), ZOH, linear interpolation; choose for a real-time DAC</t>
        </is>
      </c>
      <c r="F13" s="20" t="inlineStr">
        <is>
          <t>Reconstruction: sinc, ZOH, linear — Lec 5, sl. 24–36</t>
        </is>
      </c>
      <c r="G13" s="19" t="inlineStr">
        <is>
          <t>L11</t>
        </is>
      </c>
      <c r="H13" s="19" t="n">
        <v>10</v>
      </c>
      <c r="I13" s="19" t="inlineStr">
        <is>
          <t>22 batch p.3</t>
        </is>
      </c>
      <c r="J13" s="21" t="inlineStr">
        <is>
          <t>★★★ High</t>
        </is>
      </c>
      <c r="K13" s="19" t="inlineStr">
        <is>
          <t>Theory</t>
        </is>
      </c>
      <c r="L13" s="22" t="inlineStr">
        <is>
          <t>✔ Solved</t>
        </is>
      </c>
      <c r="M13" s="20" t="inlineStr">
        <is>
          <t>2020-21 1(b) (CSE 311)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2021-22</t>
        </is>
      </c>
      <c r="C14" s="19" t="inlineStr">
        <is>
          <t>CSE 311</t>
        </is>
      </c>
      <c r="D14" s="19" t="inlineStr">
        <is>
          <t>3(b)</t>
        </is>
      </c>
      <c r="E14" s="20" t="inlineStr">
        <is>
          <t>Nyquist-rate samples all zero except g(0) = A: find g(t)</t>
        </is>
      </c>
      <c r="F14" s="20" t="inlineStr">
        <is>
          <t>Reconstruction: sinc, ZOH, linear — Lec 5, sl. 24–36</t>
        </is>
      </c>
      <c r="G14" s="19" t="inlineStr">
        <is>
          <t>L11</t>
        </is>
      </c>
      <c r="H14" s="19" t="n">
        <v>15</v>
      </c>
      <c r="I14" s="19" t="n">
        <v>8</v>
      </c>
      <c r="J14" s="21" t="inlineStr">
        <is>
          <t>★★★ High</t>
        </is>
      </c>
      <c r="K14" s="19" t="inlineStr">
        <is>
          <t>Numerical</t>
        </is>
      </c>
      <c r="L14" s="22" t="inlineStr">
        <is>
          <t>✔ Solved</t>
        </is>
      </c>
      <c r="M14" s="20" t="inlineStr">
        <is>
          <t>2018-19 1(a) (CSE 311)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2020-21</t>
        </is>
      </c>
      <c r="C15" s="19" t="inlineStr">
        <is>
          <t>CSE 311</t>
        </is>
      </c>
      <c r="D15" s="19" t="inlineStr">
        <is>
          <t>1(b)</t>
        </is>
      </c>
      <c r="E15" s="20" t="inlineStr">
        <is>
          <t>Can past samples foretell the future of a band-limited signal?</t>
        </is>
      </c>
      <c r="F15" s="20" t="inlineStr">
        <is>
          <t>Reconstruction: sinc, ZOH, linear — Lec 5, sl. 24–36</t>
        </is>
      </c>
      <c r="G15" s="19" t="inlineStr">
        <is>
          <t>L11</t>
        </is>
      </c>
      <c r="H15" s="19" t="n">
        <v>10</v>
      </c>
      <c r="I15" s="19" t="n">
        <v>12</v>
      </c>
      <c r="J15" s="21" t="inlineStr">
        <is>
          <t>★★★ High</t>
        </is>
      </c>
      <c r="K15" s="19" t="inlineStr">
        <is>
          <t>Theory</t>
        </is>
      </c>
      <c r="L15" s="25" t="inlineStr">
        <is>
          <t>◐ Method</t>
        </is>
      </c>
      <c r="M15" s="20" t="inlineStr">
        <is>
          <t>2023-24 5(c)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2018-19</t>
        </is>
      </c>
      <c r="C16" s="19" t="inlineStr">
        <is>
          <t>CSE 311</t>
        </is>
      </c>
      <c r="D16" s="19" t="inlineStr">
        <is>
          <t>1(a)</t>
        </is>
      </c>
      <c r="E16" s="20" t="inlineStr">
        <is>
          <t>g(t) band-limited to 50 Hz, samples 0.01 s apart all 0 except g(0)=1: g(t), G(f); FT of δ</t>
        </is>
      </c>
      <c r="F16" s="20" t="inlineStr">
        <is>
          <t>Reconstruction: sinc, ZOH, linear — Lec 5, sl. 24–36</t>
        </is>
      </c>
      <c r="G16" s="19" t="inlineStr">
        <is>
          <t>L11</t>
        </is>
      </c>
      <c r="H16" s="19" t="n">
        <v>21</v>
      </c>
      <c r="I16" s="19" t="n">
        <v>18</v>
      </c>
      <c r="J16" s="26" t="inlineStr">
        <is>
          <t>★★ Medium</t>
        </is>
      </c>
      <c r="K16" s="19" t="inlineStr">
        <is>
          <t>Numerical</t>
        </is>
      </c>
      <c r="L16" s="22" t="inlineStr">
        <is>
          <t>✔ Solved</t>
        </is>
      </c>
      <c r="M16" s="20" t="inlineStr">
        <is>
          <t>2021-22 3(b) (CSE 311)</t>
        </is>
      </c>
      <c r="N16" s="23" t="b">
        <v>0</v>
      </c>
      <c r="O16" s="19" t="n"/>
      <c r="P16" s="19" t="n"/>
      <c r="Q16" s="20" t="n"/>
    </row>
    <row r="17">
      <c r="A17" s="24" t="n">
        <v>14</v>
      </c>
      <c r="B17" s="24" t="inlineStr">
        <is>
          <t>2020-21</t>
        </is>
      </c>
      <c r="C17" s="24" t="inlineStr">
        <is>
          <t>CSE 311</t>
        </is>
      </c>
      <c r="D17" s="24" t="inlineStr">
        <is>
          <t>3(a)</t>
        </is>
      </c>
      <c r="E17" s="6" t="inlineStr">
        <is>
          <t>Why practical signals can't be fully recovered; aliasing; how to minimise</t>
        </is>
      </c>
      <c r="F17" s="6" t="inlineStr">
        <is>
          <t>Practical issues, DFT link — Lec 5, sl. 38–47</t>
        </is>
      </c>
      <c r="G17" s="24" t="inlineStr">
        <is>
          <t>L12</t>
        </is>
      </c>
      <c r="H17" s="24" t="n">
        <v>24</v>
      </c>
      <c r="I17" s="24" t="n">
        <v>12</v>
      </c>
      <c r="J17" s="21" t="inlineStr">
        <is>
          <t>★★★ High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2018-19 3(b) (CSE 311)</t>
        </is>
      </c>
      <c r="N17" s="23" t="b">
        <v>0</v>
      </c>
      <c r="O17" s="24" t="n"/>
      <c r="P17" s="24" t="n"/>
      <c r="Q17" s="6" t="n"/>
    </row>
  </sheetData>
  <autoFilter ref="A3:Q17"/>
  <conditionalFormatting sqref="A4:Q17">
    <cfRule type="expression" priority="1" dxfId="0">
      <formula>$N4=TRUE</formula>
    </cfRule>
  </conditionalFormatting>
  <conditionalFormatting sqref="O4:O17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7" showDropDown="0" showInputMessage="0" showErrorMessage="0" allowBlank="1" type="list">
      <formula1>"TRUE,FALSE"</formula1>
    </dataValidation>
    <dataValidation sqref="O4:O17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6–7 — Laplace transform</t>
        </is>
      </c>
    </row>
    <row r="2">
      <c r="A2" s="2" t="inlineStr">
        <is>
          <t>Note file: CSE219_Ashraf_Laplace_Notes.docx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2022-23</t>
        </is>
      </c>
      <c r="C4" s="19" t="inlineStr">
        <is>
          <t>CSE 219</t>
        </is>
      </c>
      <c r="D4" s="19" t="inlineStr">
        <is>
          <t>1(b)</t>
        </is>
      </c>
      <c r="E4" s="20" t="inlineStr">
        <is>
          <t>x(t) = e^{−at} on 0&lt;t&lt;T: is s = −a in the ROC? (apparent pole)</t>
        </is>
      </c>
      <c r="F4" s="20" t="inlineStr">
        <is>
          <t>Laplace definition and ROC — Lec 6, sl. 4–25</t>
        </is>
      </c>
      <c r="G4" s="19" t="inlineStr">
        <is>
          <t>L13</t>
        </is>
      </c>
      <c r="H4" s="19" t="n">
        <v>10</v>
      </c>
      <c r="I4" s="19" t="n">
        <v>1</v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2022-23 2(c); 2023-24 6(b); 2021-22 7(a) (EEE)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CSE 219</t>
        </is>
      </c>
      <c r="D5" s="19" t="inlineStr">
        <is>
          <t>2(c)</t>
        </is>
      </c>
      <c r="E5" s="20" t="inlineStr">
        <is>
          <t>LT and ROC of e^{−b|t−2|}</t>
        </is>
      </c>
      <c r="F5" s="20" t="inlineStr">
        <is>
          <t>Laplace definition and ROC — Lec 6, sl. 4–25</t>
        </is>
      </c>
      <c r="G5" s="19" t="inlineStr">
        <is>
          <t>L13</t>
        </is>
      </c>
      <c r="H5" s="19" t="n">
        <v>15</v>
      </c>
      <c r="I5" s="19" t="n">
        <v>1</v>
      </c>
      <c r="J5" s="21" t="inlineStr">
        <is>
          <t>★★★ High</t>
        </is>
      </c>
      <c r="K5" s="19" t="inlineStr">
        <is>
          <t>Numerical</t>
        </is>
      </c>
      <c r="L5" s="22" t="inlineStr">
        <is>
          <t>✔ Solved</t>
        </is>
      </c>
      <c r="M5" s="20" t="inlineStr">
        <is>
          <t>2022-23 1(b); 2023-24 6(b); 2021-22 7(a) (EEE)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2022-23</t>
        </is>
      </c>
      <c r="C6" s="19" t="inlineStr">
        <is>
          <t>CSE 219</t>
        </is>
      </c>
      <c r="D6" s="19" t="inlineStr">
        <is>
          <t>4(a)</t>
        </is>
      </c>
      <c r="E6" s="20" t="inlineStr">
        <is>
          <t>Relation between the Laplace and the Fourier transform</t>
        </is>
      </c>
      <c r="F6" s="20" t="inlineStr">
        <is>
          <t>Laplace definition and ROC — Lec 6, sl. 4–25</t>
        </is>
      </c>
      <c r="G6" s="19" t="inlineStr">
        <is>
          <t>L13</t>
        </is>
      </c>
      <c r="H6" s="19" t="n">
        <v>10</v>
      </c>
      <c r="I6" s="19" t="n">
        <v>2</v>
      </c>
      <c r="J6" s="21" t="inlineStr">
        <is>
          <t>★★★ High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—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2021-22</t>
        </is>
      </c>
      <c r="C7" s="19" t="inlineStr">
        <is>
          <t>EEE 211</t>
        </is>
      </c>
      <c r="D7" s="19" t="inlineStr">
        <is>
          <t>7(a)</t>
        </is>
      </c>
      <c r="E7" s="20" t="inlineStr">
        <is>
          <t>LT + ROC: e^{−at}u (a&gt;0, a&lt;0), −e^{−at}u(−t) (a&lt;0)</t>
        </is>
      </c>
      <c r="F7" s="20" t="inlineStr">
        <is>
          <t>Laplace definition and ROC — Lec 6, sl. 4–25</t>
        </is>
      </c>
      <c r="G7" s="19" t="inlineStr">
        <is>
          <t>L13</t>
        </is>
      </c>
      <c r="H7" s="19" t="n">
        <v>12</v>
      </c>
      <c r="I7" s="19" t="inlineStr">
        <is>
          <t>EEE p.15</t>
        </is>
      </c>
      <c r="J7" s="21" t="inlineStr">
        <is>
          <t>★★★ High</t>
        </is>
      </c>
      <c r="K7" s="19" t="inlineStr">
        <is>
          <t>Numerical</t>
        </is>
      </c>
      <c r="L7" s="22" t="inlineStr">
        <is>
          <t>✔ Solved</t>
        </is>
      </c>
      <c r="M7" s="20" t="inlineStr">
        <is>
          <t>2022-23 1(b); 2022-23 2(c); 2023-24 6(b)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2022-23</t>
        </is>
      </c>
      <c r="C8" s="24" t="inlineStr">
        <is>
          <t>CSE 219</t>
        </is>
      </c>
      <c r="D8" s="24" t="inlineStr">
        <is>
          <t>2(b)</t>
        </is>
      </c>
      <c r="E8" s="6" t="inlineStr">
        <is>
          <t>Inverse LT of (s+2)/(s²+7s+12), −4 &lt; Re{s} &lt; −3</t>
        </is>
      </c>
      <c r="F8" s="6" t="inlineStr">
        <is>
          <t>Inverse Laplace — Lec 6, sl. 27–36</t>
        </is>
      </c>
      <c r="G8" s="24" t="inlineStr">
        <is>
          <t>L14</t>
        </is>
      </c>
      <c r="H8" s="24" t="n">
        <v>10</v>
      </c>
      <c r="I8" s="24" t="n">
        <v>1</v>
      </c>
      <c r="J8" s="21" t="inlineStr">
        <is>
          <t>★★★ High</t>
        </is>
      </c>
      <c r="K8" s="24" t="inlineStr">
        <is>
          <t>Numerical</t>
        </is>
      </c>
      <c r="L8" s="22" t="inlineStr">
        <is>
          <t>✔ Solved</t>
        </is>
      </c>
      <c r="M8" s="6" t="inlineStr">
        <is>
          <t>—</t>
        </is>
      </c>
      <c r="N8" s="23" t="b">
        <v>0</v>
      </c>
      <c r="O8" s="24" t="n"/>
      <c r="P8" s="24" t="n"/>
      <c r="Q8" s="6" t="n"/>
    </row>
    <row r="9">
      <c r="A9" s="19" t="n">
        <v>6</v>
      </c>
      <c r="B9" s="19" t="inlineStr">
        <is>
          <t>2023-24</t>
        </is>
      </c>
      <c r="C9" s="19" t="inlineStr">
        <is>
          <t>CSE 219</t>
        </is>
      </c>
      <c r="D9" s="19" t="inlineStr">
        <is>
          <t>6(b)</t>
        </is>
      </c>
      <c r="E9" s="20" t="inlineStr">
        <is>
          <t>LT + ROC of |t|e^{−2|t|} − e^{−t}cos3t u(t) + t²e^{−4t}u(t); sketch ROC</t>
        </is>
      </c>
      <c r="F9" s="20" t="inlineStr">
        <is>
          <t>Laplace properties — Lec 7, sl. 4–18</t>
        </is>
      </c>
      <c r="G9" s="19" t="inlineStr">
        <is>
          <t>L15</t>
        </is>
      </c>
      <c r="H9" s="19" t="n">
        <v>13</v>
      </c>
      <c r="I9" s="19" t="inlineStr">
        <is>
          <t>22 batch p.3</t>
        </is>
      </c>
      <c r="J9" s="21" t="inlineStr">
        <is>
          <t>★★★ High</t>
        </is>
      </c>
      <c r="K9" s="19" t="inlineStr">
        <is>
          <t>Numerical</t>
        </is>
      </c>
      <c r="L9" s="22" t="inlineStr">
        <is>
          <t>✔ Solved</t>
        </is>
      </c>
      <c r="M9" s="20" t="inlineStr">
        <is>
          <t>2022-23 1(b); 2022-23 2(c); 2021-22 7(a) (EEE)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2022-23</t>
        </is>
      </c>
      <c r="C10" s="19" t="inlineStr">
        <is>
          <t>CSE 219</t>
        </is>
      </c>
      <c r="D10" s="19" t="inlineStr">
        <is>
          <t>2(a)</t>
        </is>
      </c>
      <c r="E10" s="20" t="inlineStr">
        <is>
          <t>State and prove time- and s-domain differentiation properties of the LT</t>
        </is>
      </c>
      <c r="F10" s="20" t="inlineStr">
        <is>
          <t>Laplace properties — Lec 7, sl. 4–18</t>
        </is>
      </c>
      <c r="G10" s="19" t="inlineStr">
        <is>
          <t>L15</t>
        </is>
      </c>
      <c r="H10" s="19" t="n">
        <v>10</v>
      </c>
      <c r="I10" s="19" t="n">
        <v>1</v>
      </c>
      <c r="J10" s="21" t="inlineStr">
        <is>
          <t>★★★ High</t>
        </is>
      </c>
      <c r="K10" s="19" t="inlineStr">
        <is>
          <t>Proof</t>
        </is>
      </c>
      <c r="L10" s="22" t="inlineStr">
        <is>
          <t>✔ Solved</t>
        </is>
      </c>
      <c r="M10" s="20" t="inlineStr">
        <is>
          <t>2021-22 7(b) (EEE)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2021-22</t>
        </is>
      </c>
      <c r="C11" s="19" t="inlineStr">
        <is>
          <t>EEE 211</t>
        </is>
      </c>
      <c r="D11" s="19" t="inlineStr">
        <is>
          <t>7(b)</t>
        </is>
      </c>
      <c r="E11" s="20" t="inlineStr">
        <is>
          <t>Convolution property: inverse LT of 1/(s−a)³</t>
        </is>
      </c>
      <c r="F11" s="20" t="inlineStr">
        <is>
          <t>Laplace properties — Lec 7, sl. 4–18</t>
        </is>
      </c>
      <c r="G11" s="19" t="inlineStr">
        <is>
          <t>L15</t>
        </is>
      </c>
      <c r="H11" s="19" t="n">
        <v>12</v>
      </c>
      <c r="I11" s="19" t="inlineStr">
        <is>
          <t>EEE p.15</t>
        </is>
      </c>
      <c r="J11" s="21" t="inlineStr">
        <is>
          <t>★★★ High</t>
        </is>
      </c>
      <c r="K11" s="19" t="inlineStr">
        <is>
          <t>Numerical</t>
        </is>
      </c>
      <c r="L11" s="22" t="inlineStr">
        <is>
          <t>✔ Solved</t>
        </is>
      </c>
      <c r="M11" s="20" t="inlineStr">
        <is>
          <t>2022-23 2(a)</t>
        </is>
      </c>
      <c r="N11" s="23" t="b">
        <v>0</v>
      </c>
      <c r="O11" s="19" t="n"/>
      <c r="P11" s="19" t="n"/>
      <c r="Q11" s="20" t="n"/>
    </row>
    <row r="12">
      <c r="A12" s="24" t="n">
        <v>9</v>
      </c>
      <c r="B12" s="24" t="inlineStr">
        <is>
          <t>2023-24</t>
        </is>
      </c>
      <c r="C12" s="24" t="inlineStr">
        <is>
          <t>EEE 211</t>
        </is>
      </c>
      <c r="D12" s="24" t="inlineStr">
        <is>
          <t>4(a)</t>
        </is>
      </c>
      <c r="E12" s="6" t="inlineStr">
        <is>
          <t>RLC circuit, v_C(0⁻)=1, i_L(0⁻)=2, x=u(t): y(t) by LT</t>
        </is>
      </c>
      <c r="F12" s="6" t="inlineStr">
        <is>
          <t>LTI systems, ODEs, circuits, feedback — Lec 7, sl. 20–28 + textbook</t>
        </is>
      </c>
      <c r="G12" s="24" t="inlineStr">
        <is>
          <t>L16</t>
        </is>
      </c>
      <c r="H12" s="24" t="n">
        <v>18</v>
      </c>
      <c r="I12" s="24" t="inlineStr">
        <is>
          <t>EEE p.2</t>
        </is>
      </c>
      <c r="J12" s="21" t="inlineStr">
        <is>
          <t>★★★ High</t>
        </is>
      </c>
      <c r="K12" s="24" t="inlineStr">
        <is>
          <t>Numerical</t>
        </is>
      </c>
      <c r="L12" s="25" t="inlineStr">
        <is>
          <t>◐ Method</t>
        </is>
      </c>
      <c r="M12" s="6" t="inlineStr">
        <is>
          <t>2022-23 3(a) (EEE); 2020-21 3(b) (EEE); 2018-19 5(b) (EEE)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2023-24</t>
        </is>
      </c>
      <c r="C13" s="24" t="inlineStr">
        <is>
          <t>EEE 211</t>
        </is>
      </c>
      <c r="D13" s="24" t="inlineStr">
        <is>
          <t>5(b)</t>
        </is>
      </c>
      <c r="E13" s="6" t="inlineStr">
        <is>
          <t>Plant 1/(s+2), controller (s+1)/s, unity feedback, x = Au: final value = input? with 1/(s−2)?</t>
        </is>
      </c>
      <c r="F13" s="6" t="inlineStr">
        <is>
          <t>LTI systems, ODEs, circuits, feedback — Lec 7, sl. 20–28 + textbook</t>
        </is>
      </c>
      <c r="G13" s="24" t="inlineStr">
        <is>
          <t>L16</t>
        </is>
      </c>
      <c r="H13" s="24" t="n">
        <v>15</v>
      </c>
      <c r="I13" s="24" t="inlineStr">
        <is>
          <t>EEE p.4</t>
        </is>
      </c>
      <c r="J13" s="21" t="inlineStr">
        <is>
          <t>★★★ High</t>
        </is>
      </c>
      <c r="K13" s="24" t="inlineStr">
        <is>
          <t>Numerical</t>
        </is>
      </c>
      <c r="L13" s="22" t="inlineStr">
        <is>
          <t>✔ Solved</t>
        </is>
      </c>
      <c r="M13" s="6" t="inlineStr">
        <is>
          <t>2023-24 8(a) (EEE); 2021-22 8(a) (EEE); 2020-21 3(a) (EEE); 2020-21 4(a) (EEE); 2019-20 3 (EEE)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2023-24</t>
        </is>
      </c>
      <c r="C14" s="24" t="inlineStr">
        <is>
          <t>CSE 219</t>
        </is>
      </c>
      <c r="D14" s="24" t="inlineStr">
        <is>
          <t>6(a)</t>
        </is>
      </c>
      <c r="E14" s="6" t="inlineStr">
        <is>
          <t>y''+7y'+12y = x'+2x, x = u(t), zero IC: solve by LT</t>
        </is>
      </c>
      <c r="F14" s="6" t="inlineStr">
        <is>
          <t>LTI systems, ODEs, circuits, feedback — Lec 7, sl. 20–28 + textbook</t>
        </is>
      </c>
      <c r="G14" s="24" t="inlineStr">
        <is>
          <t>L16</t>
        </is>
      </c>
      <c r="H14" s="24" t="n">
        <v>12</v>
      </c>
      <c r="I14" s="24" t="inlineStr">
        <is>
          <t>22 batch p.3</t>
        </is>
      </c>
      <c r="J14" s="21" t="inlineStr">
        <is>
          <t>★★★ High</t>
        </is>
      </c>
      <c r="K14" s="24" t="inlineStr">
        <is>
          <t>Numerical</t>
        </is>
      </c>
      <c r="L14" s="22" t="inlineStr">
        <is>
          <t>✔ Solved</t>
        </is>
      </c>
      <c r="M14" s="6" t="inlineStr">
        <is>
          <t>2023-24 8(b) (EEE); 2021-22 7(c) (EEE); 2018-19 8(a) (EEE)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2023-24</t>
        </is>
      </c>
      <c r="C15" s="24" t="inlineStr">
        <is>
          <t>CSE 219</t>
        </is>
      </c>
      <c r="D15" s="24" t="inlineStr">
        <is>
          <t>6(c)</t>
        </is>
      </c>
      <c r="E15" s="6" t="inlineStr">
        <is>
          <t>Causal but unstable? stable but non-causal? reason with ROC</t>
        </is>
      </c>
      <c r="F15" s="6" t="inlineStr">
        <is>
          <t>LTI systems, ODEs, circuits, feedback — Lec 7, sl. 20–28 + textbook</t>
        </is>
      </c>
      <c r="G15" s="24" t="inlineStr">
        <is>
          <t>L16</t>
        </is>
      </c>
      <c r="H15" s="24" t="n">
        <v>10</v>
      </c>
      <c r="I15" s="24" t="inlineStr">
        <is>
          <t>22 batch p.3</t>
        </is>
      </c>
      <c r="J15" s="21" t="inlineStr">
        <is>
          <t>★★★ High</t>
        </is>
      </c>
      <c r="K15" s="24" t="inlineStr">
        <is>
          <t>Theory</t>
        </is>
      </c>
      <c r="L15" s="22" t="inlineStr">
        <is>
          <t>✔ Solved</t>
        </is>
      </c>
      <c r="M15" s="6" t="inlineStr">
        <is>
          <t>—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2023-24</t>
        </is>
      </c>
      <c r="C16" s="24" t="inlineStr">
        <is>
          <t>EEE 211</t>
        </is>
      </c>
      <c r="D16" s="24" t="inlineStr">
        <is>
          <t>8(a)</t>
        </is>
      </c>
      <c r="E16" s="6" t="inlineStr">
        <is>
          <t>Transfer function of the block diagram; poles; stability</t>
        </is>
      </c>
      <c r="F16" s="6" t="inlineStr">
        <is>
          <t>LTI systems, ODEs, circuits, feedback — Lec 7, sl. 20–28 + textbook</t>
        </is>
      </c>
      <c r="G16" s="24" t="inlineStr">
        <is>
          <t>L16</t>
        </is>
      </c>
      <c r="H16" s="24" t="n">
        <v>17</v>
      </c>
      <c r="I16" s="24" t="inlineStr">
        <is>
          <t>EEE p.6</t>
        </is>
      </c>
      <c r="J16" s="21" t="inlineStr">
        <is>
          <t>★★★ High</t>
        </is>
      </c>
      <c r="K16" s="24" t="inlineStr">
        <is>
          <t>Numerical</t>
        </is>
      </c>
      <c r="L16" s="27" t="inlineStr">
        <is>
          <t>○ Partly</t>
        </is>
      </c>
      <c r="M16" s="6" t="inlineStr">
        <is>
          <t>2023-24 5(b) (EEE); 2021-22 8(a) (EEE); 2020-21 3(a) (EEE); 2020-21 4(a) (EEE); 2019-20 3 (EEE)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2023-24</t>
        </is>
      </c>
      <c r="C17" s="24" t="inlineStr">
        <is>
          <t>EEE 211</t>
        </is>
      </c>
      <c r="D17" s="24" t="inlineStr">
        <is>
          <t>8(b)</t>
        </is>
      </c>
      <c r="E17" s="6" t="inlineStr">
        <is>
          <t>y''+5y'+6y = x'+x, y(0⁻)=2, y'(0⁻)=1, x = e^{−4t}u: ZIR and ZSR by LT</t>
        </is>
      </c>
      <c r="F17" s="6" t="inlineStr">
        <is>
          <t>LTI systems, ODEs, circuits, feedback — Lec 7, sl. 20–28 + textbook</t>
        </is>
      </c>
      <c r="G17" s="24" t="inlineStr">
        <is>
          <t>L16</t>
        </is>
      </c>
      <c r="H17" s="24" t="n">
        <v>18</v>
      </c>
      <c r="I17" s="24" t="inlineStr">
        <is>
          <t>EEE p.6</t>
        </is>
      </c>
      <c r="J17" s="21" t="inlineStr">
        <is>
          <t>★★★ High</t>
        </is>
      </c>
      <c r="K17" s="24" t="inlineStr">
        <is>
          <t>Numerical</t>
        </is>
      </c>
      <c r="L17" s="22" t="inlineStr">
        <is>
          <t>✔ Solved</t>
        </is>
      </c>
      <c r="M17" s="6" t="inlineStr">
        <is>
          <t>2023-24 6(a); 2021-22 7(c) (EEE); 2018-19 8(a) (EEE)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2022-23</t>
        </is>
      </c>
      <c r="C18" s="24" t="inlineStr">
        <is>
          <t>EEE 211</t>
        </is>
      </c>
      <c r="D18" s="24" t="inlineStr">
        <is>
          <t>1(a)</t>
        </is>
      </c>
      <c r="E18" s="6" t="inlineStr">
        <is>
          <t>Thermostat: choose H₁ = s²/(s²+9) or H₂; % incremental change at 1.5 s</t>
        </is>
      </c>
      <c r="F18" s="6" t="inlineStr">
        <is>
          <t>LTI systems, ODEs, circuits, feedback — Lec 7, sl. 20–28 + textbook</t>
        </is>
      </c>
      <c r="G18" s="24" t="inlineStr">
        <is>
          <t>L16</t>
        </is>
      </c>
      <c r="H18" s="24" t="n">
        <v>18</v>
      </c>
      <c r="I18" s="24" t="inlineStr">
        <is>
          <t>EEE p.7</t>
        </is>
      </c>
      <c r="J18" s="21" t="inlineStr">
        <is>
          <t>★★★ High</t>
        </is>
      </c>
      <c r="K18" s="24" t="inlineStr">
        <is>
          <t>Numerical</t>
        </is>
      </c>
      <c r="L18" s="27" t="inlineStr">
        <is>
          <t>○ Partly</t>
        </is>
      </c>
      <c r="M18" s="6" t="inlineStr">
        <is>
          <t>2018-19 5(a) (EEE)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2022-23</t>
        </is>
      </c>
      <c r="C19" s="24" t="inlineStr">
        <is>
          <t>EEE 211</t>
        </is>
      </c>
      <c r="D19" s="24" t="inlineStr">
        <is>
          <t>3(a)</t>
        </is>
      </c>
      <c r="E19" s="6" t="inlineStr">
        <is>
          <t>Circuit with v = 2 V (t&lt;0), 4e^{−2t} (t≥0): i_R(t) by LT</t>
        </is>
      </c>
      <c r="F19" s="6" t="inlineStr">
        <is>
          <t>LTI systems, ODEs, circuits, feedback — Lec 7, sl. 20–28 + textbook</t>
        </is>
      </c>
      <c r="G19" s="24" t="inlineStr">
        <is>
          <t>L16</t>
        </is>
      </c>
      <c r="H19" s="24" t="n">
        <v>18</v>
      </c>
      <c r="I19" s="24" t="inlineStr">
        <is>
          <t>EEE p.8</t>
        </is>
      </c>
      <c r="J19" s="21" t="inlineStr">
        <is>
          <t>★★★ High</t>
        </is>
      </c>
      <c r="K19" s="24" t="inlineStr">
        <is>
          <t>Numerical</t>
        </is>
      </c>
      <c r="L19" s="25" t="inlineStr">
        <is>
          <t>◐ Method</t>
        </is>
      </c>
      <c r="M19" s="6" t="inlineStr">
        <is>
          <t>2023-24 4(a) (EEE); 2020-21 3(b) (EEE); 2018-19 5(b) (EEE)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2021-22</t>
        </is>
      </c>
      <c r="C20" s="24" t="inlineStr">
        <is>
          <t>EEE 211</t>
        </is>
      </c>
      <c r="D20" s="24" t="inlineStr">
        <is>
          <t>7(c)</t>
        </is>
      </c>
      <c r="E20" s="6" t="inlineStr">
        <is>
          <t>y'+2y = e^{−3t}u(t), y(0⁻) = 1 by LT</t>
        </is>
      </c>
      <c r="F20" s="6" t="inlineStr">
        <is>
          <t>LTI systems, ODEs, circuits, feedback — Lec 7, sl. 20–28 + textbook</t>
        </is>
      </c>
      <c r="G20" s="24" t="inlineStr">
        <is>
          <t>L16</t>
        </is>
      </c>
      <c r="H20" s="24" t="n">
        <v>11</v>
      </c>
      <c r="I20" s="24" t="inlineStr">
        <is>
          <t>EEE p.15</t>
        </is>
      </c>
      <c r="J20" s="21" t="inlineStr">
        <is>
          <t>★★★ High</t>
        </is>
      </c>
      <c r="K20" s="24" t="inlineStr">
        <is>
          <t>Numerical</t>
        </is>
      </c>
      <c r="L20" s="22" t="inlineStr">
        <is>
          <t>✔ Solved</t>
        </is>
      </c>
      <c r="M20" s="6" t="inlineStr">
        <is>
          <t>2023-24 6(a); 2023-24 8(b) (EEE); 2018-19 8(a) (EEE)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2021-22</t>
        </is>
      </c>
      <c r="C21" s="24" t="inlineStr">
        <is>
          <t>EEE 211</t>
        </is>
      </c>
      <c r="D21" s="24" t="inlineStr">
        <is>
          <t>8(a)</t>
        </is>
      </c>
      <c r="E21" s="6" t="inlineStr">
        <is>
          <t>Control loop with disturbance: H_d = Y/W; zero steady state if H_c has a zero at 0</t>
        </is>
      </c>
      <c r="F21" s="6" t="inlineStr">
        <is>
          <t>LTI systems, ODEs, circuits, feedback — Lec 7, sl. 20–28 + textbook</t>
        </is>
      </c>
      <c r="G21" s="24" t="inlineStr">
        <is>
          <t>L16</t>
        </is>
      </c>
      <c r="H21" s="24" t="n">
        <v>18</v>
      </c>
      <c r="I21" s="24" t="inlineStr">
        <is>
          <t>EEE p.15–16</t>
        </is>
      </c>
      <c r="J21" s="21" t="inlineStr">
        <is>
          <t>★★★ High</t>
        </is>
      </c>
      <c r="K21" s="24" t="inlineStr">
        <is>
          <t>Numerical</t>
        </is>
      </c>
      <c r="L21" s="27" t="inlineStr">
        <is>
          <t>○ Partly</t>
        </is>
      </c>
      <c r="M21" s="6" t="inlineStr">
        <is>
          <t>2023-24 5(b) (EEE); 2023-24 8(a) (EEE); 2020-21 3(a) (EEE); 2020-21 4(a) (EEE); 2019-20 3 (EEE)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2020-21</t>
        </is>
      </c>
      <c r="C22" s="24" t="inlineStr">
        <is>
          <t>EEE 211</t>
        </is>
      </c>
      <c r="D22" s="24" t="inlineStr">
        <is>
          <t>3(a)</t>
        </is>
      </c>
      <c r="E22" s="6" t="inlineStr">
        <is>
          <t>H₁ = 1/(s²+bs+(b−3)), H₂ = −2 feedback: overall H, b for stability</t>
        </is>
      </c>
      <c r="F22" s="6" t="inlineStr">
        <is>
          <t>LTI systems, ODEs, circuits, feedback — Lec 7, sl. 20–28 + textbook</t>
        </is>
      </c>
      <c r="G22" s="24" t="inlineStr">
        <is>
          <t>L16</t>
        </is>
      </c>
      <c r="H22" s="24" t="n">
        <v>15</v>
      </c>
      <c r="I22" s="24" t="inlineStr">
        <is>
          <t>EEE p.18</t>
        </is>
      </c>
      <c r="J22" s="21" t="inlineStr">
        <is>
          <t>★★★ High</t>
        </is>
      </c>
      <c r="K22" s="24" t="inlineStr">
        <is>
          <t>Numerical</t>
        </is>
      </c>
      <c r="L22" s="25" t="inlineStr">
        <is>
          <t>◐ Method</t>
        </is>
      </c>
      <c r="M22" s="6" t="inlineStr">
        <is>
          <t>2023-24 5(b) (EEE); 2023-24 8(a) (EEE); 2021-22 8(a) (EEE); 2020-21 4(a) (EEE); 2019-20 3 (EEE)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2020-21</t>
        </is>
      </c>
      <c r="C23" s="24" t="inlineStr">
        <is>
          <t>EEE 211</t>
        </is>
      </c>
      <c r="D23" s="24" t="inlineStr">
        <is>
          <t>3(b)</t>
        </is>
      </c>
      <c r="E23" s="6" t="inlineStr">
        <is>
          <t>Switched circuit (10 V, 4Ω, 0.2F, 3Ω, 6Ω, 0.5H): i(t) by LT</t>
        </is>
      </c>
      <c r="F23" s="6" t="inlineStr">
        <is>
          <t>LTI systems, ODEs, circuits, feedback — Lec 7, sl. 20–28 + textbook</t>
        </is>
      </c>
      <c r="G23" s="24" t="inlineStr">
        <is>
          <t>L16</t>
        </is>
      </c>
      <c r="H23" s="24" t="n">
        <v>20</v>
      </c>
      <c r="I23" s="24" t="inlineStr">
        <is>
          <t>EEE p.18</t>
        </is>
      </c>
      <c r="J23" s="21" t="inlineStr">
        <is>
          <t>★★★ High</t>
        </is>
      </c>
      <c r="K23" s="24" t="inlineStr">
        <is>
          <t>Numerical</t>
        </is>
      </c>
      <c r="L23" s="25" t="inlineStr">
        <is>
          <t>◐ Method</t>
        </is>
      </c>
      <c r="M23" s="6" t="inlineStr">
        <is>
          <t>2023-24 4(a) (EEE); 2022-23 3(a) (EEE); 2018-19 5(b) (EEE)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2020-21</t>
        </is>
      </c>
      <c r="C24" s="24" t="inlineStr">
        <is>
          <t>EEE 211</t>
        </is>
      </c>
      <c r="D24" s="24" t="inlineStr">
        <is>
          <t>4(a)</t>
        </is>
      </c>
      <c r="E24" s="6" t="inlineStr">
        <is>
          <t>Block diagram H₁ = 1/(s+2), H₂ = s/(s+3), K = 2: H(s) and step response</t>
        </is>
      </c>
      <c r="F24" s="6" t="inlineStr">
        <is>
          <t>LTI systems, ODEs, circuits, feedback — Lec 7, sl. 20–28 + textbook</t>
        </is>
      </c>
      <c r="G24" s="24" t="inlineStr">
        <is>
          <t>L16</t>
        </is>
      </c>
      <c r="H24" s="24" t="n">
        <v>20</v>
      </c>
      <c r="I24" s="24" t="inlineStr">
        <is>
          <t>EEE p.18</t>
        </is>
      </c>
      <c r="J24" s="21" t="inlineStr">
        <is>
          <t>★★★ High</t>
        </is>
      </c>
      <c r="K24" s="24" t="inlineStr">
        <is>
          <t>Numerical</t>
        </is>
      </c>
      <c r="L24" s="27" t="inlineStr">
        <is>
          <t>○ Partly</t>
        </is>
      </c>
      <c r="M24" s="6" t="inlineStr">
        <is>
          <t>2023-24 5(b) (EEE); 2023-24 8(a) (EEE); 2021-22 8(a) (EEE); 2020-21 3(a) (EEE); 2019-20 3 (EEE)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2019-20</t>
        </is>
      </c>
      <c r="C25" s="24" t="inlineStr">
        <is>
          <t>EEE 211</t>
        </is>
      </c>
      <c r="D25" s="24" t="inlineStr">
        <is>
          <t>3</t>
        </is>
      </c>
      <c r="E25" s="6" t="inlineStr">
        <is>
          <t>Multipath y = x + a x(t−T): H(s); inverse system as feedback; its h; causal &amp; stable condition</t>
        </is>
      </c>
      <c r="F25" s="6" t="inlineStr">
        <is>
          <t>LTI systems, ODEs, circuits, feedback — Lec 7, sl. 20–28 + textbook</t>
        </is>
      </c>
      <c r="G25" s="24" t="inlineStr">
        <is>
          <t>L16</t>
        </is>
      </c>
      <c r="H25" s="24" t="n">
        <v>35</v>
      </c>
      <c r="I25" s="24" t="inlineStr">
        <is>
          <t>EEE p.23</t>
        </is>
      </c>
      <c r="J25" s="21" t="inlineStr">
        <is>
          <t>★★★ High</t>
        </is>
      </c>
      <c r="K25" s="24" t="inlineStr">
        <is>
          <t>Numerical</t>
        </is>
      </c>
      <c r="L25" s="25" t="inlineStr">
        <is>
          <t>◐ Method</t>
        </is>
      </c>
      <c r="M25" s="6" t="inlineStr">
        <is>
          <t>2023-24 5(b) (EEE); 2023-24 8(a) (EEE); 2021-22 8(a) (EEE); 2020-21 3(a) (EEE); 2020-21 4(a) (EEE)</t>
        </is>
      </c>
      <c r="N25" s="23" t="b">
        <v>0</v>
      </c>
      <c r="O25" s="24" t="n"/>
      <c r="P25" s="24" t="n"/>
      <c r="Q25" s="6" t="n"/>
    </row>
    <row r="26">
      <c r="A26" s="24" t="n">
        <v>23</v>
      </c>
      <c r="B26" s="24" t="inlineStr">
        <is>
          <t>2018-19</t>
        </is>
      </c>
      <c r="C26" s="24" t="inlineStr">
        <is>
          <t>EEE 211</t>
        </is>
      </c>
      <c r="D26" s="24" t="inlineStr">
        <is>
          <t>5(a)</t>
        </is>
      </c>
      <c r="E26" s="6" t="inlineStr">
        <is>
          <t>X(s): two poles, no finite zeros, pole at −1+j, e^{2t}x not abs. integrable, X(0)=5: X(s), ROC</t>
        </is>
      </c>
      <c r="F26" s="6" t="inlineStr">
        <is>
          <t>LTI systems, ODEs, circuits, feedback — Lec 7, sl. 20–28 + textbook</t>
        </is>
      </c>
      <c r="G26" s="24" t="inlineStr">
        <is>
          <t>L16</t>
        </is>
      </c>
      <c r="H26" s="24" t="n">
        <v>15</v>
      </c>
      <c r="I26" s="24" t="inlineStr">
        <is>
          <t>EEE p.29</t>
        </is>
      </c>
      <c r="J26" s="26" t="inlineStr">
        <is>
          <t>★★ Medium</t>
        </is>
      </c>
      <c r="K26" s="24" t="inlineStr">
        <is>
          <t>Numerical</t>
        </is>
      </c>
      <c r="L26" s="27" t="inlineStr">
        <is>
          <t>○ Partly</t>
        </is>
      </c>
      <c r="M26" s="6" t="inlineStr">
        <is>
          <t>2022-23 1(a) (EEE)</t>
        </is>
      </c>
      <c r="N26" s="23" t="b">
        <v>0</v>
      </c>
      <c r="O26" s="24" t="n"/>
      <c r="P26" s="24" t="n"/>
      <c r="Q26" s="6" t="n"/>
    </row>
    <row r="27">
      <c r="A27" s="24" t="n">
        <v>24</v>
      </c>
      <c r="B27" s="24" t="inlineStr">
        <is>
          <t>2018-19</t>
        </is>
      </c>
      <c r="C27" s="24" t="inlineStr">
        <is>
          <t>EEE 211</t>
        </is>
      </c>
      <c r="D27" s="24" t="inlineStr">
        <is>
          <t>5(b)</t>
        </is>
      </c>
      <c r="E27" s="6" t="inlineStr">
        <is>
          <t>i_s = 2 A (t≤0), 4e^{−2t} A (t≥0) into R = 2 Ω ∥ L = 2 H: i_L(t) by LT</t>
        </is>
      </c>
      <c r="F27" s="6" t="inlineStr">
        <is>
          <t>LTI systems, ODEs, circuits, feedback — Lec 7, sl. 20–28 + textbook</t>
        </is>
      </c>
      <c r="G27" s="24" t="inlineStr">
        <is>
          <t>L16</t>
        </is>
      </c>
      <c r="H27" s="24" t="n">
        <v>20</v>
      </c>
      <c r="I27" s="24" t="inlineStr">
        <is>
          <t>EEE p.29–30</t>
        </is>
      </c>
      <c r="J27" s="26" t="inlineStr">
        <is>
          <t>★★ Medium</t>
        </is>
      </c>
      <c r="K27" s="24" t="inlineStr">
        <is>
          <t>Numerical</t>
        </is>
      </c>
      <c r="L27" s="25" t="inlineStr">
        <is>
          <t>◐ Method</t>
        </is>
      </c>
      <c r="M27" s="6" t="inlineStr">
        <is>
          <t>2023-24 4(a) (EEE); 2022-23 3(a) (EEE); 2020-21 3(b) (EEE)</t>
        </is>
      </c>
      <c r="N27" s="23" t="b">
        <v>0</v>
      </c>
      <c r="O27" s="24" t="n"/>
      <c r="P27" s="24" t="n"/>
      <c r="Q27" s="6" t="n"/>
    </row>
    <row r="28">
      <c r="A28" s="24" t="n">
        <v>25</v>
      </c>
      <c r="B28" s="24" t="inlineStr">
        <is>
          <t>2018-19</t>
        </is>
      </c>
      <c r="C28" s="24" t="inlineStr">
        <is>
          <t>EEE 211</t>
        </is>
      </c>
      <c r="D28" s="24" t="inlineStr">
        <is>
          <t>8(a)</t>
        </is>
      </c>
      <c r="E28" s="6" t="inlineStr">
        <is>
          <t>y''+3y'+Ky = x'': K for BIBO stability; ZIR for y(0⁺)=0, y'(0⁺)=1, K=2</t>
        </is>
      </c>
      <c r="F28" s="6" t="inlineStr">
        <is>
          <t>LTI systems, ODEs, circuits, feedback — Lec 7, sl. 20–28 + textbook</t>
        </is>
      </c>
      <c r="G28" s="24" t="inlineStr">
        <is>
          <t>L16</t>
        </is>
      </c>
      <c r="H28" s="24" t="n">
        <v>15</v>
      </c>
      <c r="I28" s="24" t="inlineStr">
        <is>
          <t>EEE p.31</t>
        </is>
      </c>
      <c r="J28" s="26" t="inlineStr">
        <is>
          <t>★★ Medium</t>
        </is>
      </c>
      <c r="K28" s="24" t="inlineStr">
        <is>
          <t>Numerical</t>
        </is>
      </c>
      <c r="L28" s="27" t="inlineStr">
        <is>
          <t>○ Partly</t>
        </is>
      </c>
      <c r="M28" s="6" t="inlineStr">
        <is>
          <t>2023-24 6(a); 2023-24 8(b) (EEE); 2021-22 7(c) (EEE)</t>
        </is>
      </c>
      <c r="N28" s="23" t="b">
        <v>0</v>
      </c>
      <c r="O28" s="24" t="n"/>
      <c r="P28" s="24" t="n"/>
      <c r="Q28" s="6" t="n"/>
    </row>
  </sheetData>
  <autoFilter ref="A3:Q28"/>
  <conditionalFormatting sqref="A4:Q28">
    <cfRule type="expression" priority="1" dxfId="0">
      <formula>$N4=TRUE</formula>
    </cfRule>
  </conditionalFormatting>
  <conditionalFormatting sqref="O4:O2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8" showDropDown="0" showInputMessage="0" showErrorMessage="0" allowBlank="1" type="list">
      <formula1>"TRUE,FALSE"</formula1>
    </dataValidation>
    <dataValidation sqref="O4:O2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 8 — z-transform</t>
        </is>
      </c>
    </row>
    <row r="2">
      <c r="A2" s="2" t="inlineStr">
        <is>
          <t>Note file: CSE219_Ashraf_ZTransform_Notes.docx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219</t>
        </is>
      </c>
      <c r="D4" s="19" t="inlineStr">
        <is>
          <t>8(a)</t>
        </is>
      </c>
      <c r="E4" s="20" t="inlineStr">
        <is>
          <t>All possible ROCs of X(z) = (1+2z⁻¹−z⁻²)/(1−(11/6)z⁻¹+z⁻²−(1/6)z⁻³)</t>
        </is>
      </c>
      <c r="F4" s="20" t="inlineStr">
        <is>
          <t>z-transform definition and ROC — Lec 8, sl. 4–26</t>
        </is>
      </c>
      <c r="G4" s="19" t="inlineStr">
        <is>
          <t>L17</t>
        </is>
      </c>
      <c r="H4" s="19" t="n">
        <v>12</v>
      </c>
      <c r="I4" s="19" t="inlineStr">
        <is>
          <t>22 batch p.4</t>
        </is>
      </c>
      <c r="J4" s="21" t="inlineStr">
        <is>
          <t>★★★ High</t>
        </is>
      </c>
      <c r="K4" s="19" t="inlineStr">
        <is>
          <t>Numerical</t>
        </is>
      </c>
      <c r="L4" s="22" t="inlineStr">
        <is>
          <t>✔ Solved</t>
        </is>
      </c>
      <c r="M4" s="20" t="inlineStr">
        <is>
          <t>2022-23 1(a); 2022-23 3(a)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2023-24</t>
        </is>
      </c>
      <c r="C5" s="19" t="inlineStr">
        <is>
          <t>CSE 219</t>
        </is>
      </c>
      <c r="D5" s="19" t="inlineStr">
        <is>
          <t>8(d)</t>
        </is>
      </c>
      <c r="E5" s="20" t="inlineStr">
        <is>
          <t>Laplace vs z-transform; why z for discrete time</t>
        </is>
      </c>
      <c r="F5" s="20" t="inlineStr">
        <is>
          <t>z-transform definition and ROC — Lec 8, sl. 4–26</t>
        </is>
      </c>
      <c r="G5" s="19" t="inlineStr">
        <is>
          <t>L17</t>
        </is>
      </c>
      <c r="H5" s="19" t="n">
        <v>5</v>
      </c>
      <c r="I5" s="19" t="inlineStr">
        <is>
          <t>22 batch p.5</t>
        </is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2022-23</t>
        </is>
      </c>
      <c r="C6" s="19" t="inlineStr">
        <is>
          <t>CSE 219</t>
        </is>
      </c>
      <c r="D6" s="19" t="inlineStr">
        <is>
          <t>1(a)</t>
        </is>
      </c>
      <c r="E6" s="20" t="inlineStr">
        <is>
          <t>z-transform and ROC of x[n] = aⁿu[n]</t>
        </is>
      </c>
      <c r="F6" s="20" t="inlineStr">
        <is>
          <t>z-transform definition and ROC — Lec 8, sl. 4–26</t>
        </is>
      </c>
      <c r="G6" s="19" t="inlineStr">
        <is>
          <t>L17</t>
        </is>
      </c>
      <c r="H6" s="19" t="n">
        <v>10</v>
      </c>
      <c r="I6" s="19" t="n">
        <v>1</v>
      </c>
      <c r="J6" s="21" t="inlineStr">
        <is>
          <t>★★★ High</t>
        </is>
      </c>
      <c r="K6" s="19" t="inlineStr">
        <is>
          <t>Numerical</t>
        </is>
      </c>
      <c r="L6" s="22" t="inlineStr">
        <is>
          <t>✔ Solved</t>
        </is>
      </c>
      <c r="M6" s="20" t="inlineStr">
        <is>
          <t>2022-23 3(a); 2023-24 8(a)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2022-23</t>
        </is>
      </c>
      <c r="C7" s="19" t="inlineStr">
        <is>
          <t>CSE 219</t>
        </is>
      </c>
      <c r="D7" s="19" t="inlineStr">
        <is>
          <t>3(a)</t>
        </is>
      </c>
      <c r="E7" s="20" t="inlineStr">
        <is>
          <t>x[n] = aⁿ, 0≤n≤N−1: show the ROC excludes z = 0</t>
        </is>
      </c>
      <c r="F7" s="20" t="inlineStr">
        <is>
          <t>z-transform definition and ROC — Lec 8, sl. 4–26</t>
        </is>
      </c>
      <c r="G7" s="19" t="inlineStr">
        <is>
          <t>L17</t>
        </is>
      </c>
      <c r="H7" s="19" t="n">
        <v>10</v>
      </c>
      <c r="I7" s="19" t="n">
        <v>2</v>
      </c>
      <c r="J7" s="21" t="inlineStr">
        <is>
          <t>★★★ High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2022-23 1(a); 2023-24 8(a)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2022-23</t>
        </is>
      </c>
      <c r="C8" s="24" t="inlineStr">
        <is>
          <t>CSE 219</t>
        </is>
      </c>
      <c r="D8" s="24" t="inlineStr">
        <is>
          <t>3(b)</t>
        </is>
      </c>
      <c r="E8" s="6" t="inlineStr">
        <is>
          <t>Derive the contour-integral formula of the inverse z-transform</t>
        </is>
      </c>
      <c r="F8" s="6" t="inlineStr">
        <is>
          <t>Inverse z-transform — Lec 8, sl. 28–32</t>
        </is>
      </c>
      <c r="G8" s="24" t="inlineStr">
        <is>
          <t>L18</t>
        </is>
      </c>
      <c r="H8" s="24" t="n">
        <v>10</v>
      </c>
      <c r="I8" s="24" t="n">
        <v>2</v>
      </c>
      <c r="J8" s="21" t="inlineStr">
        <is>
          <t>★★★ High</t>
        </is>
      </c>
      <c r="K8" s="24" t="inlineStr">
        <is>
          <t>Derivation</t>
        </is>
      </c>
      <c r="L8" s="22" t="inlineStr">
        <is>
          <t>✔ Solved</t>
        </is>
      </c>
      <c r="M8" s="6" t="inlineStr">
        <is>
          <t>2022-23 3(c)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2022-23</t>
        </is>
      </c>
      <c r="C9" s="24" t="inlineStr">
        <is>
          <t>CSE 219</t>
        </is>
      </c>
      <c r="D9" s="24" t="inlineStr">
        <is>
          <t>3(c)</t>
        </is>
      </c>
      <c r="E9" s="6" t="inlineStr">
        <is>
          <t>Inverse z-transform of log(1+az^{−1}), |z|&gt;|a|</t>
        </is>
      </c>
      <c r="F9" s="6" t="inlineStr">
        <is>
          <t>Inverse z-transform — Lec 8, sl. 28–32</t>
        </is>
      </c>
      <c r="G9" s="24" t="inlineStr">
        <is>
          <t>L18</t>
        </is>
      </c>
      <c r="H9" s="24" t="n">
        <v>15</v>
      </c>
      <c r="I9" s="24" t="n">
        <v>2</v>
      </c>
      <c r="J9" s="21" t="inlineStr">
        <is>
          <t>★★★ High</t>
        </is>
      </c>
      <c r="K9" s="24" t="inlineStr">
        <is>
          <t>Numerical</t>
        </is>
      </c>
      <c r="L9" s="22" t="inlineStr">
        <is>
          <t>✔ Solved</t>
        </is>
      </c>
      <c r="M9" s="6" t="inlineStr">
        <is>
          <t>2022-23 3(b)</t>
        </is>
      </c>
      <c r="N9" s="23" t="b">
        <v>0</v>
      </c>
      <c r="O9" s="24" t="n"/>
      <c r="P9" s="24" t="n"/>
      <c r="Q9" s="6" t="n"/>
    </row>
    <row r="10">
      <c r="A10" s="19" t="n">
        <v>7</v>
      </c>
      <c r="B10" s="19" t="inlineStr">
        <is>
          <t>2023-24</t>
        </is>
      </c>
      <c r="C10" s="19" t="inlineStr">
        <is>
          <t>CSE 219</t>
        </is>
      </c>
      <c r="D10" s="19" t="inlineStr">
        <is>
          <t>8(b)</t>
        </is>
      </c>
      <c r="E10" s="20" t="inlineStr">
        <is>
          <t>Poles 1/3, 2/3, 2: ROC for right-sided, FT converges, FT diverges, left-sided</t>
        </is>
      </c>
      <c r="F10" s="20" t="inlineStr">
        <is>
          <t>z properties and LTI systems — Lec 8, sl. 34–47</t>
        </is>
      </c>
      <c r="G10" s="19" t="inlineStr">
        <is>
          <t>L19</t>
        </is>
      </c>
      <c r="H10" s="19" t="n">
        <v>8</v>
      </c>
      <c r="I10" s="19" t="inlineStr">
        <is>
          <t>22 batch p.5</t>
        </is>
      </c>
      <c r="J10" s="21" t="inlineStr">
        <is>
          <t>★★★ High</t>
        </is>
      </c>
      <c r="K10" s="19" t="inlineStr">
        <is>
          <t>Theory</t>
        </is>
      </c>
      <c r="L10" s="22" t="inlineStr">
        <is>
          <t>✔ Solved</t>
        </is>
      </c>
      <c r="M10" s="20" t="inlineStr">
        <is>
          <t>—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2023-24</t>
        </is>
      </c>
      <c r="C11" s="19" t="inlineStr">
        <is>
          <t>CSE 219</t>
        </is>
      </c>
      <c r="D11" s="19" t="inlineStr">
        <is>
          <t>8(c)</t>
        </is>
      </c>
      <c r="E11" s="20" t="inlineStr">
        <is>
          <t>z-transform of |n|(½)^{|n|}; pole-zero plot</t>
        </is>
      </c>
      <c r="F11" s="20" t="inlineStr">
        <is>
          <t>z properties and LTI systems — Lec 8, sl. 34–47</t>
        </is>
      </c>
      <c r="G11" s="19" t="inlineStr">
        <is>
          <t>L19</t>
        </is>
      </c>
      <c r="H11" s="19" t="n">
        <v>10</v>
      </c>
      <c r="I11" s="19" t="inlineStr">
        <is>
          <t>22 batch p.5</t>
        </is>
      </c>
      <c r="J11" s="21" t="inlineStr">
        <is>
          <t>★★★ High</t>
        </is>
      </c>
      <c r="K11" s="19" t="inlineStr">
        <is>
          <t>Numerical</t>
        </is>
      </c>
      <c r="L11" s="22" t="inlineStr">
        <is>
          <t>✔ Solved</t>
        </is>
      </c>
      <c r="M11" s="20" t="inlineStr">
        <is>
          <t>—</t>
        </is>
      </c>
      <c r="N11" s="23" t="b">
        <v>0</v>
      </c>
      <c r="O11" s="19" t="n"/>
      <c r="P11" s="19" t="n"/>
      <c r="Q11" s="20" t="n"/>
    </row>
  </sheetData>
  <autoFilter ref="A3:Q11"/>
  <conditionalFormatting sqref="A4:Q11">
    <cfRule type="expression" priority="1" dxfId="0">
      <formula>$N4=TRUE</formula>
    </cfRule>
  </conditionalFormatting>
  <conditionalFormatting sqref="O4:O1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1" showDropDown="0" showInputMessage="0" showErrorMessage="0" allowBlank="1" type="list">
      <formula1>"TRUE,FALSE"</formula1>
    </dataValidation>
    <dataValidation sqref="O4:O1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Ashraf-section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2023-24</t>
        </is>
      </c>
      <c r="C4" s="24" t="inlineStr">
        <is>
          <t>EEE 211</t>
        </is>
      </c>
      <c r="D4" s="24" t="inlineStr">
        <is>
          <t>3(a)</t>
        </is>
      </c>
      <c r="E4" s="6" t="inlineStr">
        <is>
          <t>First canonical state model of y'''−2y''+y'+4y = x''+5x; stability</t>
        </is>
      </c>
      <c r="F4" s="6" t="inlineStr">
        <is>
          <t>State-space models (not in slides)</t>
        </is>
      </c>
      <c r="G4" s="24" t="n">
        <v>18</v>
      </c>
      <c r="H4" s="24" t="inlineStr">
        <is>
          <t>EEE p.2</t>
        </is>
      </c>
      <c r="I4" s="23" t="b">
        <v>0</v>
      </c>
      <c r="J4" s="6" t="n"/>
    </row>
    <row r="5">
      <c r="A5" s="24" t="n">
        <v>2</v>
      </c>
      <c r="B5" s="24" t="inlineStr">
        <is>
          <t>2023-24</t>
        </is>
      </c>
      <c r="C5" s="24" t="inlineStr">
        <is>
          <t>EEE 211</t>
        </is>
      </c>
      <c r="D5" s="24" t="inlineStr">
        <is>
          <t>3(b)</t>
        </is>
      </c>
      <c r="E5" s="6" t="inlineStr">
        <is>
          <t>Impulse response from state equations via Cayley–Hamilton</t>
        </is>
      </c>
      <c r="F5" s="6" t="inlineStr">
        <is>
          <t>State-space models (not in slides)</t>
        </is>
      </c>
      <c r="G5" s="24" t="n">
        <v>17</v>
      </c>
      <c r="H5" s="24" t="inlineStr">
        <is>
          <t>EEE p.2</t>
        </is>
      </c>
      <c r="I5" s="23" t="b">
        <v>0</v>
      </c>
      <c r="J5" s="6" t="n"/>
    </row>
    <row r="6">
      <c r="A6" s="24" t="n">
        <v>3</v>
      </c>
      <c r="B6" s="24" t="inlineStr">
        <is>
          <t>2023-24</t>
        </is>
      </c>
      <c r="C6" s="24" t="inlineStr">
        <is>
          <t>EEE 211</t>
        </is>
      </c>
      <c r="D6" s="24" t="inlineStr">
        <is>
          <t>4(b)</t>
        </is>
      </c>
      <c r="E6" s="6" t="inlineStr">
        <is>
          <t>Force–voltage analogue of a mechanical system</t>
        </is>
      </c>
      <c r="F6" s="6" t="inlineStr">
        <is>
          <t>Mechanical–electrical analogues / D'Alembert (not in slides)</t>
        </is>
      </c>
      <c r="G6" s="24" t="n">
        <v>17</v>
      </c>
      <c r="H6" s="24" t="inlineStr">
        <is>
          <t>EEE p.3</t>
        </is>
      </c>
      <c r="I6" s="23" t="b">
        <v>0</v>
      </c>
      <c r="J6" s="6" t="n"/>
    </row>
    <row r="7">
      <c r="A7" s="24" t="n">
        <v>4</v>
      </c>
      <c r="B7" s="24" t="inlineStr">
        <is>
          <t>2022-23</t>
        </is>
      </c>
      <c r="C7" s="24" t="inlineStr">
        <is>
          <t>EEE 211</t>
        </is>
      </c>
      <c r="D7" s="24" t="inlineStr">
        <is>
          <t>1(b)</t>
        </is>
      </c>
      <c r="E7" s="6" t="inlineStr">
        <is>
          <t>f–i electrical equivalent of a pulley–mass system</t>
        </is>
      </c>
      <c r="F7" s="6" t="inlineStr">
        <is>
          <t>Mechanical–electrical analogues / D'Alembert (not in slides)</t>
        </is>
      </c>
      <c r="G7" s="24" t="n">
        <v>17</v>
      </c>
      <c r="H7" s="24" t="inlineStr">
        <is>
          <t>EEE p.7</t>
        </is>
      </c>
      <c r="I7" s="23" t="b">
        <v>0</v>
      </c>
      <c r="J7" s="6" t="n"/>
    </row>
    <row r="8">
      <c r="A8" s="24" t="n">
        <v>5</v>
      </c>
      <c r="B8" s="24" t="inlineStr">
        <is>
          <t>2022-23</t>
        </is>
      </c>
      <c r="C8" s="24" t="inlineStr">
        <is>
          <t>EEE 211</t>
        </is>
      </c>
      <c r="D8" s="24" t="inlineStr">
        <is>
          <t>3(b)</t>
        </is>
      </c>
      <c r="E8" s="6" t="inlineStr">
        <is>
          <t>State model (A,b,c,d) → H(s), h(t); ROC of the step response</t>
        </is>
      </c>
      <c r="F8" s="6" t="inlineStr">
        <is>
          <t>State-space models (not in slides)</t>
        </is>
      </c>
      <c r="G8" s="24" t="n">
        <v>17</v>
      </c>
      <c r="H8" s="24" t="inlineStr">
        <is>
          <t>EEE p.9</t>
        </is>
      </c>
      <c r="I8" s="23" t="b">
        <v>0</v>
      </c>
      <c r="J8" s="6" t="n"/>
    </row>
    <row r="9">
      <c r="A9" s="24" t="n">
        <v>6</v>
      </c>
      <c r="B9" s="24" t="inlineStr">
        <is>
          <t>2022-23</t>
        </is>
      </c>
      <c r="C9" s="24" t="inlineStr">
        <is>
          <t>EEE 211</t>
        </is>
      </c>
      <c r="D9" s="24" t="inlineStr">
        <is>
          <t>4(b)</t>
        </is>
      </c>
      <c r="E9" s="6" t="inlineStr">
        <is>
          <t>Second canonical simulation diagram and state equation</t>
        </is>
      </c>
      <c r="F9" s="6" t="inlineStr">
        <is>
          <t>State-space models (not in slides)</t>
        </is>
      </c>
      <c r="G9" s="24" t="n">
        <v>20</v>
      </c>
      <c r="H9" s="24" t="inlineStr">
        <is>
          <t>EEE p.9</t>
        </is>
      </c>
      <c r="I9" s="23" t="b">
        <v>0</v>
      </c>
      <c r="J9" s="6" t="n"/>
    </row>
    <row r="10">
      <c r="A10" s="24" t="n">
        <v>7</v>
      </c>
      <c r="B10" s="24" t="inlineStr">
        <is>
          <t>2022-23</t>
        </is>
      </c>
      <c r="C10" s="24" t="inlineStr">
        <is>
          <t>EEE 211</t>
        </is>
      </c>
      <c r="D10" s="24" t="inlineStr">
        <is>
          <t>6(b)</t>
        </is>
      </c>
      <c r="E10" s="6" t="inlineStr">
        <is>
          <t>State transformation z = Pv: A₁, b₁, c₁, d₁</t>
        </is>
      </c>
      <c r="F10" s="6" t="inlineStr">
        <is>
          <t>State-space models (not in slides)</t>
        </is>
      </c>
      <c r="G10" s="24" t="n">
        <v>15</v>
      </c>
      <c r="H10" s="24" t="inlineStr">
        <is>
          <t>EEE p.11</t>
        </is>
      </c>
      <c r="I10" s="23" t="b">
        <v>0</v>
      </c>
      <c r="J10" s="6" t="n"/>
    </row>
    <row r="11">
      <c r="A11" s="24" t="n">
        <v>8</v>
      </c>
      <c r="B11" s="24" t="inlineStr">
        <is>
          <t>2021-22</t>
        </is>
      </c>
      <c r="C11" s="24" t="inlineStr">
        <is>
          <t>EEE 211</t>
        </is>
      </c>
      <c r="D11" s="24" t="inlineStr">
        <is>
          <t>4</t>
        </is>
      </c>
      <c r="E11" s="6" t="inlineStr">
        <is>
          <t>y''+7y'−12y = x''+3x'+4x: canonical form, state eq., STM, h(t), stability</t>
        </is>
      </c>
      <c r="F11" s="6" t="inlineStr">
        <is>
          <t>State-space models (not in slides)</t>
        </is>
      </c>
      <c r="G11" s="24" t="n">
        <v>35</v>
      </c>
      <c r="H11" s="24" t="inlineStr">
        <is>
          <t>EEE p.13</t>
        </is>
      </c>
      <c r="I11" s="23" t="b">
        <v>0</v>
      </c>
      <c r="J11" s="6" t="n"/>
    </row>
    <row r="12">
      <c r="A12" s="24" t="n">
        <v>9</v>
      </c>
      <c r="B12" s="24" t="inlineStr">
        <is>
          <t>2021-22</t>
        </is>
      </c>
      <c r="C12" s="24" t="inlineStr">
        <is>
          <t>EEE 211</t>
        </is>
      </c>
      <c r="D12" s="24" t="inlineStr">
        <is>
          <t>8(b)</t>
        </is>
      </c>
      <c r="E12" s="6" t="inlineStr">
        <is>
          <t>Force–voltage analogue of a mass–spring system</t>
        </is>
      </c>
      <c r="F12" s="6" t="inlineStr">
        <is>
          <t>Mechanical–electrical analogues / D'Alembert (not in slides)</t>
        </is>
      </c>
      <c r="G12" s="24" t="n">
        <v>17</v>
      </c>
      <c r="H12" s="24" t="inlineStr">
        <is>
          <t>EEE p.16</t>
        </is>
      </c>
      <c r="I12" s="23" t="b">
        <v>0</v>
      </c>
      <c r="J12" s="6" t="n"/>
    </row>
    <row r="13">
      <c r="A13" s="24" t="n">
        <v>10</v>
      </c>
      <c r="B13" s="24" t="inlineStr">
        <is>
          <t>2020-21</t>
        </is>
      </c>
      <c r="C13" s="24" t="inlineStr">
        <is>
          <t>EEE 211</t>
        </is>
      </c>
      <c r="D13" s="24" t="inlineStr">
        <is>
          <t>4(b)</t>
        </is>
      </c>
      <c r="E13" s="6" t="inlineStr">
        <is>
          <t>Torque–current analogue of a rotational system</t>
        </is>
      </c>
      <c r="F13" s="6" t="inlineStr">
        <is>
          <t>Mechanical–electrical analogues / D'Alembert (not in slides)</t>
        </is>
      </c>
      <c r="G13" s="24" t="n">
        <v>15</v>
      </c>
      <c r="H13" s="24" t="inlineStr">
        <is>
          <t>EEE p.19</t>
        </is>
      </c>
      <c r="I13" s="23" t="b">
        <v>0</v>
      </c>
      <c r="J13" s="6" t="n"/>
    </row>
    <row r="14">
      <c r="A14" s="24" t="n">
        <v>11</v>
      </c>
      <c r="B14" s="24" t="inlineStr">
        <is>
          <t>2020-21</t>
        </is>
      </c>
      <c r="C14" s="24" t="inlineStr">
        <is>
          <t>EEE 211</t>
        </is>
      </c>
      <c r="D14" s="24" t="inlineStr">
        <is>
          <t>8(a)–(b)</t>
        </is>
      </c>
      <c r="E14" s="6" t="inlineStr">
        <is>
          <t>y''+6y'+8y = x'+x: state-variable h(t) (Cayley–Hamilton), STM, step response</t>
        </is>
      </c>
      <c r="F14" s="6" t="inlineStr">
        <is>
          <t>State-space models (not in slides)</t>
        </is>
      </c>
      <c r="G14" s="24" t="n">
        <v>35</v>
      </c>
      <c r="H14" s="24" t="inlineStr">
        <is>
          <t>EEE p.21</t>
        </is>
      </c>
      <c r="I14" s="23" t="b">
        <v>0</v>
      </c>
      <c r="J14" s="6" t="n"/>
    </row>
    <row r="15">
      <c r="A15" s="24" t="n">
        <v>12</v>
      </c>
      <c r="B15" s="24" t="inlineStr">
        <is>
          <t>2019-20</t>
        </is>
      </c>
      <c r="C15" s="24" t="inlineStr">
        <is>
          <t>EEE 211</t>
        </is>
      </c>
      <c r="D15" s="24" t="inlineStr">
        <is>
          <t>4</t>
        </is>
      </c>
      <c r="E15" s="6" t="inlineStr">
        <is>
          <t>Mechanical system: f–v analogue, state model, impulse response</t>
        </is>
      </c>
      <c r="F15" s="6" t="inlineStr">
        <is>
          <t>Mechanical–electrical analogues / D'Alembert (not in slides)</t>
        </is>
      </c>
      <c r="G15" s="24" t="n">
        <v>35</v>
      </c>
      <c r="H15" s="24" t="inlineStr">
        <is>
          <t>EEE p.23–24</t>
        </is>
      </c>
      <c r="I15" s="23" t="b">
        <v>0</v>
      </c>
      <c r="J15" s="6" t="n"/>
    </row>
    <row r="16">
      <c r="A16" s="24" t="n">
        <v>13</v>
      </c>
      <c r="B16" s="24" t="inlineStr">
        <is>
          <t>2018-19</t>
        </is>
      </c>
      <c r="C16" s="24" t="inlineStr">
        <is>
          <t>EEE 211</t>
        </is>
      </c>
      <c r="D16" s="24" t="inlineStr">
        <is>
          <t>4(b)</t>
        </is>
      </c>
      <c r="E16" s="6" t="inlineStr">
        <is>
          <t>Mechanical system: equations of motion, f–i and f–v analogues</t>
        </is>
      </c>
      <c r="F16" s="6" t="inlineStr">
        <is>
          <t>Mechanical–electrical analogues / D'Alembert (not in slides)</t>
        </is>
      </c>
      <c r="G16" s="24" t="n">
        <v>18</v>
      </c>
      <c r="H16" s="24" t="inlineStr">
        <is>
          <t>EEE p.29</t>
        </is>
      </c>
      <c r="I16" s="23" t="b">
        <v>0</v>
      </c>
      <c r="J16" s="6" t="n"/>
    </row>
    <row r="17">
      <c r="A17" s="24" t="n">
        <v>14</v>
      </c>
      <c r="B17" s="24" t="inlineStr">
        <is>
          <t>2018-19</t>
        </is>
      </c>
      <c r="C17" s="24" t="inlineStr">
        <is>
          <t>EEE 211</t>
        </is>
      </c>
      <c r="D17" s="24" t="inlineStr">
        <is>
          <t>8(b)</t>
        </is>
      </c>
      <c r="E17" s="6" t="inlineStr">
        <is>
          <t>RLC state model and closed-form STM</t>
        </is>
      </c>
      <c r="F17" s="6" t="inlineStr">
        <is>
          <t>State-space models (not in slides)</t>
        </is>
      </c>
      <c r="G17" s="24" t="n">
        <v>20</v>
      </c>
      <c r="H17" s="24" t="inlineStr">
        <is>
          <t>EEE p.31</t>
        </is>
      </c>
      <c r="I17" s="23" t="b">
        <v>0</v>
      </c>
      <c r="J17" s="6" t="n"/>
    </row>
  </sheetData>
  <autoFilter ref="A3:J17"/>
  <conditionalFormatting sqref="A4:J17">
    <cfRule type="expression" priority="1" dxfId="3">
      <formula>$I4=TRUE</formula>
    </cfRule>
  </conditionalFormatting>
  <dataValidations count="1">
    <dataValidation sqref="I4:I1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2026-10-26T07:25:24Z</dcterms:created>
  <dcterms:modified xmlns:dcterms="http://purl.org/dc/terms/" xmlns:xsi="http://www.w3.org/2001/XMLSchema-instance" xsi:type="dcterms:W3CDTF">2026-10-26T07:25:24Z</dcterms:modified>
</cp:coreProperties>
</file>