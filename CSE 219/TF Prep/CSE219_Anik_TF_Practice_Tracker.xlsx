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1 Signals" sheetId="3" state="visible" r:id="rId3"/>
    <sheet xmlns:r="http://schemas.openxmlformats.org/officeDocument/2006/relationships" name="2 LTI + Convolution" sheetId="4" state="visible" r:id="rId4"/>
    <sheet xmlns:r="http://schemas.openxmlformats.org/officeDocument/2006/relationships" name="3 Fourier Series" sheetId="5" state="visible" r:id="rId5"/>
    <sheet xmlns:r="http://schemas.openxmlformats.org/officeDocument/2006/relationships" name="4 Fourier Transform" sheetId="6" state="visible" r:id="rId6"/>
  </sheets>
  <definedNames>
    <definedName name="_xlnm._FilterDatabase" localSheetId="2" hidden="1">'1 Signals'!$A$3:$Q$21</definedName>
    <definedName name="_xlnm._FilterDatabase" localSheetId="3" hidden="1">'2 LTI + Convolution'!$A$3:$Q$24</definedName>
    <definedName name="_xlnm._FilterDatabase" localSheetId="4" hidden="1">'3 Fourier Series'!$A$3:$Q$26</definedName>
    <definedName name="_xlnm._FilterDatabase" localSheetId="5" hidden="1">'4 Fourier Transform'!$A$3:$Q$44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F3864"/>
      <sz val="16"/>
    </font>
    <font>
      <b val="1"/>
    </font>
    <font>
      <b val="1"/>
      <color rgb="001F3864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/>
    </xf>
    <xf numFmtId="9" fontId="5" fillId="9" borderId="1" applyAlignment="1" pivotButton="0" quotePrefix="0" xfId="0">
      <alignment horizontal="center"/>
    </xf>
    <xf numFmtId="0" fontId="6" fillId="0" borderId="0" pivotButton="0" quotePrefix="0" xfId="0"/>
    <xf numFmtId="0" fontId="0" fillId="10" borderId="1" applyAlignment="1" pivotButton="0" quotePrefix="0" xfId="0">
      <alignment horizontal="center"/>
    </xf>
    <xf numFmtId="9" fontId="0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" fillId="0" borderId="0" pivotButton="0" quotePrefix="0" xfId="0"/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2">
      <c r="B2" s="1" t="inlineStr">
        <is>
          <t>CSE 219 (Anik Sir part) — TF Practice Tracker</t>
        </is>
      </c>
    </row>
    <row r="3">
      <c r="B3" s="2" t="inlineStr">
        <is>
          <t>Every Anik-part question in CSE 219 All Merged Questions.pdf (22-batch and EEE pages as written in TF Page), mapped to the note file and lesson that teaches it.</t>
        </is>
      </c>
    </row>
    <row r="5">
      <c r="B5" s="3" t="inlineStr">
        <is>
          <t>Workflow — after you finish a note file</t>
        </is>
      </c>
      <c r="C5" s="4" t="n"/>
    </row>
    <row r="6">
      <c r="B6" s="5" t="inlineStr">
        <is>
          <t>1. Open its tab</t>
        </is>
      </c>
      <c r="C6" s="6" t="inlineStr">
        <is>
          <t>Tabs 1–4 follow the order of your note files. Q No. runs lesson by lesson, newest year first inside each lesson.</t>
        </is>
      </c>
    </row>
    <row r="7">
      <c r="B7" s="5" t="inlineStr">
        <is>
          <t>2. Filter</t>
        </is>
      </c>
      <c r="C7" s="6" t="inlineStr">
        <is>
          <t>Use the filter arrow on Priority → ★★★ High first (2019-20 onward). Then ★★ Medium, then ★ Low.</t>
        </is>
      </c>
    </row>
    <row r="8">
      <c r="B8" s="5" t="inlineStr">
        <is>
          <t>3. Solve</t>
        </is>
      </c>
      <c r="C8" s="6" t="inlineStr">
        <is>
          <t>Open CSE 219 All Merged Questions.pdf (22-batch and EEE pages as written in TF Page) at the TF Page shown. Solve on paper under exam time (≈1.5 min per mark). Do not read the note solution first.</t>
        </is>
      </c>
    </row>
    <row r="9">
      <c r="B9" s="5" t="inlineStr">
        <is>
          <t>4. Check</t>
        </is>
      </c>
      <c r="C9" s="6" t="inlineStr">
        <is>
          <t>In Notes tells you what the note has: ✔ Solved = same question worked out; ◐ Method = method / model answer you can apply; ○ Partly = notes cover most of it, finish the rest yourself.</t>
        </is>
      </c>
    </row>
    <row r="10">
      <c r="B10" s="5" t="inlineStr">
        <is>
          <t>5. Record</t>
        </is>
      </c>
      <c r="C10" s="6" t="inlineStr">
        <is>
          <t>Tick Done, pick Confidence, add the Date. Write mistakes in My Notes. Re-solve every 'Weak' row before the exam.</t>
        </is>
      </c>
    </row>
    <row r="11">
      <c r="B11" s="5" t="inlineStr">
        <is>
          <t>6. Repeats</t>
        </is>
      </c>
      <c r="C11" s="6" t="inlineStr">
        <is>
          <t>'Same Type Also In' lists other papers with the same question type. Solve one, then try a repeat cold — that is the real test.</t>
        </is>
      </c>
    </row>
    <row r="13">
      <c r="B13" s="3" t="inlineStr">
        <is>
          <t>Columns you edit (all others are fixed data)</t>
        </is>
      </c>
      <c r="C13" s="4" t="n"/>
    </row>
    <row r="14">
      <c r="B14" s="5" t="inlineStr">
        <is>
          <t>Done (col N)</t>
        </is>
      </c>
      <c r="C14" s="6" t="inlineStr">
        <is>
          <t>TRUE / FALSE. In Google Sheets: select N4 downward → Insert → Checkbox. The values stay; ticking turns the row green.</t>
        </is>
      </c>
    </row>
    <row r="15">
      <c r="B15" s="5" t="inlineStr">
        <is>
          <t>Confidence (col O)</t>
        </is>
      </c>
      <c r="C15" s="6" t="inlineStr">
        <is>
          <t>Dropdown: Weak / OK / Strong. Weak rows turn the cell red.</t>
        </is>
      </c>
    </row>
    <row r="16">
      <c r="B16" s="5" t="inlineStr">
        <is>
          <t>Date (col P)</t>
        </is>
      </c>
      <c r="C16" s="6" t="inlineStr">
        <is>
          <t>Date you solved it, e.g. 16-Oct-2026.</t>
        </is>
      </c>
    </row>
    <row r="17">
      <c r="B17" s="5" t="inlineStr">
        <is>
          <t>My Notes (col Q)</t>
        </is>
      </c>
      <c r="C17" s="6" t="inlineStr">
        <is>
          <t>Mistakes, missing steps, formula you forgot.</t>
        </is>
      </c>
    </row>
    <row r="19">
      <c r="B19" s="3" t="inlineStr">
        <is>
          <t>Legend</t>
        </is>
      </c>
      <c r="C19" s="4" t="n"/>
    </row>
    <row r="20">
      <c r="B20" s="5" t="inlineStr">
        <is>
          <t>★★★ High</t>
        </is>
      </c>
      <c r="C20" s="6" t="inlineStr">
        <is>
          <t>Asked in 2019-20 or later (most important — current question style).</t>
        </is>
      </c>
    </row>
    <row r="21">
      <c r="B21" s="5" t="inlineStr">
        <is>
          <t>★★ Medium</t>
        </is>
      </c>
      <c r="C21" s="6" t="inlineStr">
        <is>
          <t>Older paper, but the same question type appears at least twice in TF.</t>
        </is>
      </c>
    </row>
    <row r="22">
      <c r="B22" s="5" t="inlineStr">
        <is>
          <t>★ Low</t>
        </is>
      </c>
      <c r="C22" s="6" t="inlineStr">
        <is>
          <t>Older paper, asked once.</t>
        </is>
      </c>
    </row>
    <row r="23">
      <c r="B23" s="5" t="inlineStr">
        <is>
          <t>Type</t>
        </is>
      </c>
      <c r="C23" s="6" t="inlineStr">
        <is>
          <t>Numerical = calculation · Trace = tables / step-by-step simulation · Design = construct / draw · Proof = prove / disprove · Theory = explain.</t>
        </is>
      </c>
    </row>
    <row r="24">
      <c r="B24" s="5" t="inlineStr">
        <is>
          <t>Course</t>
        </is>
      </c>
      <c r="C24" s="6" t="inlineStr">
        <is>
          <t>CSE 219 = current course; EEE 211 / EEE 301 = predecessor course (same content, TF Page = 'EEE p.N' in EEE 211 - TF Questions 2023-24 to 2010-11.pdf); CSE 311 = Data Communication papers in the merged PDF (only their signals/Fourier/sampling parts are listed).</t>
        </is>
      </c>
    </row>
    <row r="25">
      <c r="B25" s="5" t="inlineStr">
        <is>
          <t>Topic</t>
        </is>
      </c>
      <c r="C25" s="6" t="inlineStr">
        <is>
          <t>Note lesson title — slide PDF and slide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8" customWidth="1" min="4" max="4"/>
    <col width="9" customWidth="1" min="5" max="5"/>
    <col width="12" customWidth="1" min="6" max="6"/>
    <col width="11" customWidth="1" min="7" max="7"/>
    <col width="14" customWidth="1" min="8" max="8"/>
    <col width="7" customWidth="1" min="9" max="9"/>
    <col width="46" customWidth="1" min="10" max="10"/>
  </cols>
  <sheetData>
    <row r="1">
      <c r="A1" s="1" t="inlineStr">
        <is>
          <t>Progress Dashboard</t>
        </is>
      </c>
    </row>
    <row r="2">
      <c r="A2" s="2" t="inlineStr">
        <is>
          <t>Updates automatically when you tick Done / set Confidence in tabs 1–4.</t>
        </is>
      </c>
    </row>
    <row r="4">
      <c r="A4" s="7" t="inlineStr">
        <is>
          <t>#</t>
        </is>
      </c>
      <c r="B4" s="7" t="inlineStr">
        <is>
          <t>Note file (tab)</t>
        </is>
      </c>
      <c r="C4" s="7" t="inlineStr">
        <is>
          <t>Questions</t>
        </is>
      </c>
      <c r="D4" s="7" t="inlineStr">
        <is>
          <t>Done</t>
        </is>
      </c>
      <c r="E4" s="7" t="inlineStr">
        <is>
          <t>% Done</t>
        </is>
      </c>
      <c r="F4" s="7" t="inlineStr">
        <is>
          <t>Marks (total)</t>
        </is>
      </c>
      <c r="G4" s="7" t="inlineStr">
        <is>
          <t>Marks done</t>
        </is>
      </c>
      <c r="H4" s="7" t="inlineStr">
        <is>
          <t>High-priority left</t>
        </is>
      </c>
      <c r="I4" s="7" t="inlineStr">
        <is>
          <t>Weak</t>
        </is>
      </c>
      <c r="J4" s="7" t="inlineStr">
        <is>
          <t>Next unsolved (top of tab)</t>
        </is>
      </c>
    </row>
    <row r="5">
      <c r="A5" s="8" t="n">
        <v>1</v>
      </c>
      <c r="B5" s="9" t="inlineStr">
        <is>
          <t>1 Signals</t>
        </is>
      </c>
      <c r="C5" s="8">
        <f>COUNTA('1 Signals'!$E$4:$E$21)</f>
        <v/>
      </c>
      <c r="D5" s="8">
        <f>COUNTIF('1 Signals'!$N$4:$N$21,TRUE())</f>
        <v/>
      </c>
      <c r="E5" s="10">
        <f>IF(C5=0,0,D5/C5)</f>
        <v/>
      </c>
      <c r="F5" s="8">
        <f>SUM('1 Signals'!$H$4:$H$21)</f>
        <v/>
      </c>
      <c r="G5" s="8">
        <f>SUMIF('1 Signals'!$N$4:$N$21,TRUE(),'1 Signals'!$H$4:$H$21)</f>
        <v/>
      </c>
      <c r="H5" s="8">
        <f>COUNTIFS('1 Signals'!$J$4:$J$21,"★★★ High",'1 Signals'!$N$4:$N$21,FALSE())</f>
        <v/>
      </c>
      <c r="I5" s="8">
        <f>COUNTIF('1 Signals'!$O$4:$O$21,"Weak")</f>
        <v/>
      </c>
      <c r="J5" s="9">
        <f>IFERROR("Q"&amp;INDEX('1 Signals'!$A$4:$A$21,MATCH(FALSE(),'1 Signals'!$N$4:$N$21,0))&amp;" · "&amp;INDEX('1 Signals'!$B$4:$B$21,MATCH(FALSE(),'1 Signals'!$N$4:$N$21,0))&amp;" "&amp;INDEX('1 Signals'!$D$4:$D$21,MATCH(FALSE(),'1 Signals'!$N$4:$N$21,0))&amp;" · TF p."&amp;INDEX('1 Signals'!$I$4:$I$21,MATCH(FALSE(),'1 Signals'!$N$4:$N$21,0)),"All done ✔")</f>
        <v/>
      </c>
    </row>
    <row r="6">
      <c r="A6" s="8" t="n">
        <v>2</v>
      </c>
      <c r="B6" s="9" t="inlineStr">
        <is>
          <t>2 LTI + Convolution</t>
        </is>
      </c>
      <c r="C6" s="8">
        <f>COUNTA('2 LTI + Convolution'!$E$4:$E$24)</f>
        <v/>
      </c>
      <c r="D6" s="8">
        <f>COUNTIF('2 LTI + Convolution'!$N$4:$N$24,TRUE())</f>
        <v/>
      </c>
      <c r="E6" s="10">
        <f>IF(C6=0,0,D6/C6)</f>
        <v/>
      </c>
      <c r="F6" s="8">
        <f>SUM('2 LTI + Convolution'!$H$4:$H$24)</f>
        <v/>
      </c>
      <c r="G6" s="8">
        <f>SUMIF('2 LTI + Convolution'!$N$4:$N$24,TRUE(),'2 LTI + Convolution'!$H$4:$H$24)</f>
        <v/>
      </c>
      <c r="H6" s="8">
        <f>COUNTIFS('2 LTI + Convolution'!$J$4:$J$24,"★★★ High",'2 LTI + Convolution'!$N$4:$N$24,FALSE())</f>
        <v/>
      </c>
      <c r="I6" s="8">
        <f>COUNTIF('2 LTI + Convolution'!$O$4:$O$24,"Weak")</f>
        <v/>
      </c>
      <c r="J6" s="9">
        <f>IFERROR("Q"&amp;INDEX('2 LTI + Convolution'!$A$4:$A$24,MATCH(FALSE(),'2 LTI + Convolution'!$N$4:$N$24,0))&amp;" · "&amp;INDEX('2 LTI + Convolution'!$B$4:$B$24,MATCH(FALSE(),'2 LTI + Convolution'!$N$4:$N$24,0))&amp;" "&amp;INDEX('2 LTI + Convolution'!$D$4:$D$24,MATCH(FALSE(),'2 LTI + Convolution'!$N$4:$N$24,0))&amp;" · TF p."&amp;INDEX('2 LTI + Convolution'!$I$4:$I$24,MATCH(FALSE(),'2 LTI + Convolution'!$N$4:$N$24,0)),"All done ✔")</f>
        <v/>
      </c>
    </row>
    <row r="7">
      <c r="A7" s="8" t="n">
        <v>3</v>
      </c>
      <c r="B7" s="9" t="inlineStr">
        <is>
          <t>3 Fourier Series</t>
        </is>
      </c>
      <c r="C7" s="8">
        <f>COUNTA('3 Fourier Series'!$E$4:$E$26)</f>
        <v/>
      </c>
      <c r="D7" s="8">
        <f>COUNTIF('3 Fourier Series'!$N$4:$N$26,TRUE())</f>
        <v/>
      </c>
      <c r="E7" s="10">
        <f>IF(C7=0,0,D7/C7)</f>
        <v/>
      </c>
      <c r="F7" s="8">
        <f>SUM('3 Fourier Series'!$H$4:$H$26)</f>
        <v/>
      </c>
      <c r="G7" s="8">
        <f>SUMIF('3 Fourier Series'!$N$4:$N$26,TRUE(),'3 Fourier Series'!$H$4:$H$26)</f>
        <v/>
      </c>
      <c r="H7" s="8">
        <f>COUNTIFS('3 Fourier Series'!$J$4:$J$26,"★★★ High",'3 Fourier Series'!$N$4:$N$26,FALSE())</f>
        <v/>
      </c>
      <c r="I7" s="8">
        <f>COUNTIF('3 Fourier Series'!$O$4:$O$26,"Weak")</f>
        <v/>
      </c>
      <c r="J7" s="9">
        <f>IFERROR("Q"&amp;INDEX('3 Fourier Series'!$A$4:$A$26,MATCH(FALSE(),'3 Fourier Series'!$N$4:$N$26,0))&amp;" · "&amp;INDEX('3 Fourier Series'!$B$4:$B$26,MATCH(FALSE(),'3 Fourier Series'!$N$4:$N$26,0))&amp;" "&amp;INDEX('3 Fourier Series'!$D$4:$D$26,MATCH(FALSE(),'3 Fourier Series'!$N$4:$N$26,0))&amp;" · TF p."&amp;INDEX('3 Fourier Series'!$I$4:$I$26,MATCH(FALSE(),'3 Fourier Series'!$N$4:$N$26,0)),"All done ✔")</f>
        <v/>
      </c>
    </row>
    <row r="8">
      <c r="A8" s="8" t="n">
        <v>4</v>
      </c>
      <c r="B8" s="9" t="inlineStr">
        <is>
          <t>4 Fourier Transform</t>
        </is>
      </c>
      <c r="C8" s="8">
        <f>COUNTA('4 Fourier Transform'!$E$4:$E$44)</f>
        <v/>
      </c>
      <c r="D8" s="8">
        <f>COUNTIF('4 Fourier Transform'!$N$4:$N$44,TRUE())</f>
        <v/>
      </c>
      <c r="E8" s="10">
        <f>IF(C8=0,0,D8/C8)</f>
        <v/>
      </c>
      <c r="F8" s="8">
        <f>SUM('4 Fourier Transform'!$H$4:$H$44)</f>
        <v/>
      </c>
      <c r="G8" s="8">
        <f>SUMIF('4 Fourier Transform'!$N$4:$N$44,TRUE(),'4 Fourier Transform'!$H$4:$H$44)</f>
        <v/>
      </c>
      <c r="H8" s="8">
        <f>COUNTIFS('4 Fourier Transform'!$J$4:$J$44,"★★★ High",'4 Fourier Transform'!$N$4:$N$44,FALSE())</f>
        <v/>
      </c>
      <c r="I8" s="8">
        <f>COUNTIF('4 Fourier Transform'!$O$4:$O$44,"Weak")</f>
        <v/>
      </c>
      <c r="J8" s="9">
        <f>IFERROR("Q"&amp;INDEX('4 Fourier Transform'!$A$4:$A$44,MATCH(FALSE(),'4 Fourier Transform'!$N$4:$N$44,0))&amp;" · "&amp;INDEX('4 Fourier Transform'!$B$4:$B$44,MATCH(FALSE(),'4 Fourier Transform'!$N$4:$N$44,0))&amp;" "&amp;INDEX('4 Fourier Transform'!$D$4:$D$44,MATCH(FALSE(),'4 Fourier Transform'!$N$4:$N$44,0))&amp;" · TF p."&amp;INDEX('4 Fourier Transform'!$I$4:$I$44,MATCH(FALSE(),'4 Fourier Transform'!$N$4:$N$44,0)),"All done ✔")</f>
        <v/>
      </c>
    </row>
    <row r="9">
      <c r="B9" s="11" t="inlineStr">
        <is>
          <t>TOTAL</t>
        </is>
      </c>
      <c r="C9" s="11">
        <f>SUM(C5:C8)</f>
        <v/>
      </c>
      <c r="D9" s="11">
        <f>SUM(D5:D8)</f>
        <v/>
      </c>
      <c r="E9" s="12">
        <f>IF(C9=0,0,D9/C9)</f>
        <v/>
      </c>
      <c r="F9" s="11">
        <f>SUM(F5:F8)</f>
        <v/>
      </c>
      <c r="G9" s="11">
        <f>SUM(G5:G8)</f>
        <v/>
      </c>
      <c r="H9" s="11">
        <f>SUM(H5:H8)</f>
        <v/>
      </c>
      <c r="I9" s="11">
        <f>SUM(I5:I8)</f>
        <v/>
      </c>
    </row>
    <row r="11">
      <c r="A11" s="13" t="inlineStr">
        <is>
          <t>Questions by year (tabs 1–4)</t>
        </is>
      </c>
    </row>
    <row r="12">
      <c r="A12" s="7" t="inlineStr">
        <is>
          <t>#</t>
        </is>
      </c>
      <c r="B12" s="7" t="inlineStr">
        <is>
          <t>Year</t>
        </is>
      </c>
      <c r="C12" s="7" t="inlineStr">
        <is>
          <t>Questions</t>
        </is>
      </c>
      <c r="D12" s="7" t="inlineStr">
        <is>
          <t>Done</t>
        </is>
      </c>
      <c r="E12" s="7" t="inlineStr">
        <is>
          <t>% Done</t>
        </is>
      </c>
      <c r="F12" s="7" t="inlineStr">
        <is>
          <t>Marks (total)</t>
        </is>
      </c>
    </row>
    <row r="13">
      <c r="A13" s="14" t="n">
        <v>1</v>
      </c>
      <c r="B13" s="14" t="inlineStr">
        <is>
          <t>2023-24</t>
        </is>
      </c>
      <c r="C13" s="14">
        <f>COUNTIF('1 Signals'!$B$4:$B$21,$B13)+COUNTIF('2 LTI + Convolution'!$B$4:$B$24,$B13)+COUNTIF('3 Fourier Series'!$B$4:$B$26,$B13)+COUNTIF('4 Fourier Transform'!$B$4:$B$44,$B13)</f>
        <v/>
      </c>
      <c r="D13" s="14">
        <f>COUNTIFS('1 Signals'!$B$4:$B$21,$B13,'1 Signals'!$N$4:$N$21,TRUE())+COUNTIFS('2 LTI + Convolution'!$B$4:$B$24,$B13,'2 LTI + Convolution'!$N$4:$N$24,TRUE())+COUNTIFS('3 Fourier Series'!$B$4:$B$26,$B13,'3 Fourier Series'!$N$4:$N$26,TRUE())+COUNTIFS('4 Fourier Transform'!$B$4:$B$44,$B13,'4 Fourier Transform'!$N$4:$N$44,TRUE())</f>
        <v/>
      </c>
      <c r="E13" s="15">
        <f>IF(C13=0,0,D13/C13)</f>
        <v/>
      </c>
      <c r="F13" s="14">
        <f>SUMIF('1 Signals'!$B$4:$B$21,$B13,'1 Signals'!$H$4:$H$21)+SUMIF('2 LTI + Convolution'!$B$4:$B$24,$B13,'2 LTI + Convolution'!$H$4:$H$24)+SUMIF('3 Fourier Series'!$B$4:$B$26,$B13,'3 Fourier Series'!$H$4:$H$26)+SUMIF('4 Fourier Transform'!$B$4:$B$44,$B13,'4 Fourier Transform'!$H$4:$H$44)</f>
        <v/>
      </c>
    </row>
    <row r="14">
      <c r="A14" s="14" t="n">
        <v>2</v>
      </c>
      <c r="B14" s="14" t="inlineStr">
        <is>
          <t>2022-23</t>
        </is>
      </c>
      <c r="C14" s="14">
        <f>COUNTIF('1 Signals'!$B$4:$B$21,$B14)+COUNTIF('2 LTI + Convolution'!$B$4:$B$24,$B14)+COUNTIF('3 Fourier Series'!$B$4:$B$26,$B14)+COUNTIF('4 Fourier Transform'!$B$4:$B$44,$B14)</f>
        <v/>
      </c>
      <c r="D14" s="14">
        <f>COUNTIFS('1 Signals'!$B$4:$B$21,$B14,'1 Signals'!$N$4:$N$21,TRUE())+COUNTIFS('2 LTI + Convolution'!$B$4:$B$24,$B14,'2 LTI + Convolution'!$N$4:$N$24,TRUE())+COUNTIFS('3 Fourier Series'!$B$4:$B$26,$B14,'3 Fourier Series'!$N$4:$N$26,TRUE())+COUNTIFS('4 Fourier Transform'!$B$4:$B$44,$B14,'4 Fourier Transform'!$N$4:$N$44,TRUE())</f>
        <v/>
      </c>
      <c r="E14" s="15">
        <f>IF(C14=0,0,D14/C14)</f>
        <v/>
      </c>
      <c r="F14" s="14">
        <f>SUMIF('1 Signals'!$B$4:$B$21,$B14,'1 Signals'!$H$4:$H$21)+SUMIF('2 LTI + Convolution'!$B$4:$B$24,$B14,'2 LTI + Convolution'!$H$4:$H$24)+SUMIF('3 Fourier Series'!$B$4:$B$26,$B14,'3 Fourier Series'!$H$4:$H$26)+SUMIF('4 Fourier Transform'!$B$4:$B$44,$B14,'4 Fourier Transform'!$H$4:$H$44)</f>
        <v/>
      </c>
    </row>
    <row r="15">
      <c r="A15" s="14" t="n">
        <v>3</v>
      </c>
      <c r="B15" s="14" t="inlineStr">
        <is>
          <t>2021-22</t>
        </is>
      </c>
      <c r="C15" s="14">
        <f>COUNTIF('1 Signals'!$B$4:$B$21,$B15)+COUNTIF('2 LTI + Convolution'!$B$4:$B$24,$B15)+COUNTIF('3 Fourier Series'!$B$4:$B$26,$B15)+COUNTIF('4 Fourier Transform'!$B$4:$B$44,$B15)</f>
        <v/>
      </c>
      <c r="D15" s="14">
        <f>COUNTIFS('1 Signals'!$B$4:$B$21,$B15,'1 Signals'!$N$4:$N$21,TRUE())+COUNTIFS('2 LTI + Convolution'!$B$4:$B$24,$B15,'2 LTI + Convolution'!$N$4:$N$24,TRUE())+COUNTIFS('3 Fourier Series'!$B$4:$B$26,$B15,'3 Fourier Series'!$N$4:$N$26,TRUE())+COUNTIFS('4 Fourier Transform'!$B$4:$B$44,$B15,'4 Fourier Transform'!$N$4:$N$44,TRUE())</f>
        <v/>
      </c>
      <c r="E15" s="15">
        <f>IF(C15=0,0,D15/C15)</f>
        <v/>
      </c>
      <c r="F15" s="14">
        <f>SUMIF('1 Signals'!$B$4:$B$21,$B15,'1 Signals'!$H$4:$H$21)+SUMIF('2 LTI + Convolution'!$B$4:$B$24,$B15,'2 LTI + Convolution'!$H$4:$H$24)+SUMIF('3 Fourier Series'!$B$4:$B$26,$B15,'3 Fourier Series'!$H$4:$H$26)+SUMIF('4 Fourier Transform'!$B$4:$B$44,$B15,'4 Fourier Transform'!$H$4:$H$44)</f>
        <v/>
      </c>
    </row>
    <row r="16">
      <c r="A16" s="14" t="n">
        <v>4</v>
      </c>
      <c r="B16" s="14" t="inlineStr">
        <is>
          <t>2020-21</t>
        </is>
      </c>
      <c r="C16" s="14">
        <f>COUNTIF('1 Signals'!$B$4:$B$21,$B16)+COUNTIF('2 LTI + Convolution'!$B$4:$B$24,$B16)+COUNTIF('3 Fourier Series'!$B$4:$B$26,$B16)+COUNTIF('4 Fourier Transform'!$B$4:$B$44,$B16)</f>
        <v/>
      </c>
      <c r="D16" s="14">
        <f>COUNTIFS('1 Signals'!$B$4:$B$21,$B16,'1 Signals'!$N$4:$N$21,TRUE())+COUNTIFS('2 LTI + Convolution'!$B$4:$B$24,$B16,'2 LTI + Convolution'!$N$4:$N$24,TRUE())+COUNTIFS('3 Fourier Series'!$B$4:$B$26,$B16,'3 Fourier Series'!$N$4:$N$26,TRUE())+COUNTIFS('4 Fourier Transform'!$B$4:$B$44,$B16,'4 Fourier Transform'!$N$4:$N$44,TRUE())</f>
        <v/>
      </c>
      <c r="E16" s="15">
        <f>IF(C16=0,0,D16/C16)</f>
        <v/>
      </c>
      <c r="F16" s="14">
        <f>SUMIF('1 Signals'!$B$4:$B$21,$B16,'1 Signals'!$H$4:$H$21)+SUMIF('2 LTI + Convolution'!$B$4:$B$24,$B16,'2 LTI + Convolution'!$H$4:$H$24)+SUMIF('3 Fourier Series'!$B$4:$B$26,$B16,'3 Fourier Series'!$H$4:$H$26)+SUMIF('4 Fourier Transform'!$B$4:$B$44,$B16,'4 Fourier Transform'!$H$4:$H$44)</f>
        <v/>
      </c>
    </row>
    <row r="17">
      <c r="A17" s="14" t="n">
        <v>5</v>
      </c>
      <c r="B17" s="14" t="inlineStr">
        <is>
          <t>2019-20</t>
        </is>
      </c>
      <c r="C17" s="14">
        <f>COUNTIF('1 Signals'!$B$4:$B$21,$B17)+COUNTIF('2 LTI + Convolution'!$B$4:$B$24,$B17)+COUNTIF('3 Fourier Series'!$B$4:$B$26,$B17)+COUNTIF('4 Fourier Transform'!$B$4:$B$44,$B17)</f>
        <v/>
      </c>
      <c r="D17" s="14">
        <f>COUNTIFS('1 Signals'!$B$4:$B$21,$B17,'1 Signals'!$N$4:$N$21,TRUE())+COUNTIFS('2 LTI + Convolution'!$B$4:$B$24,$B17,'2 LTI + Convolution'!$N$4:$N$24,TRUE())+COUNTIFS('3 Fourier Series'!$B$4:$B$26,$B17,'3 Fourier Series'!$N$4:$N$26,TRUE())+COUNTIFS('4 Fourier Transform'!$B$4:$B$44,$B17,'4 Fourier Transform'!$N$4:$N$44,TRUE())</f>
        <v/>
      </c>
      <c r="E17" s="15">
        <f>IF(C17=0,0,D17/C17)</f>
        <v/>
      </c>
      <c r="F17" s="14">
        <f>SUMIF('1 Signals'!$B$4:$B$21,$B17,'1 Signals'!$H$4:$H$21)+SUMIF('2 LTI + Convolution'!$B$4:$B$24,$B17,'2 LTI + Convolution'!$H$4:$H$24)+SUMIF('3 Fourier Series'!$B$4:$B$26,$B17,'3 Fourier Series'!$H$4:$H$26)+SUMIF('4 Fourier Transform'!$B$4:$B$44,$B17,'4 Fourier Transform'!$H$4:$H$44)</f>
        <v/>
      </c>
    </row>
    <row r="18">
      <c r="A18" s="16" t="n">
        <v>6</v>
      </c>
      <c r="B18" s="16" t="inlineStr">
        <is>
          <t>2018-19</t>
        </is>
      </c>
      <c r="C18" s="16">
        <f>COUNTIF('1 Signals'!$B$4:$B$21,$B18)+COUNTIF('2 LTI + Convolution'!$B$4:$B$24,$B18)+COUNTIF('3 Fourier Series'!$B$4:$B$26,$B18)+COUNTIF('4 Fourier Transform'!$B$4:$B$44,$B18)</f>
        <v/>
      </c>
      <c r="D18" s="16">
        <f>COUNTIFS('1 Signals'!$B$4:$B$21,$B18,'1 Signals'!$N$4:$N$21,TRUE())+COUNTIFS('2 LTI + Convolution'!$B$4:$B$24,$B18,'2 LTI + Convolution'!$N$4:$N$24,TRUE())+COUNTIFS('3 Fourier Series'!$B$4:$B$26,$B18,'3 Fourier Series'!$N$4:$N$26,TRUE())+COUNTIFS('4 Fourier Transform'!$B$4:$B$44,$B18,'4 Fourier Transform'!$N$4:$N$44,TRUE())</f>
        <v/>
      </c>
      <c r="E18" s="17">
        <f>IF(C18=0,0,D18/C18)</f>
        <v/>
      </c>
      <c r="F18" s="16">
        <f>SUMIF('1 Signals'!$B$4:$B$21,$B18,'1 Signals'!$H$4:$H$21)+SUMIF('2 LTI + Convolution'!$B$4:$B$24,$B18,'2 LTI + Convolution'!$H$4:$H$24)+SUMIF('3 Fourier Series'!$B$4:$B$26,$B18,'3 Fourier Series'!$H$4:$H$26)+SUMIF('4 Fourier Transform'!$B$4:$B$44,$B18,'4 Fourier Transform'!$H$4:$H$44)</f>
        <v/>
      </c>
    </row>
    <row r="19">
      <c r="B19" s="2" t="inlineStr">
        <is>
          <t>Shaded years = ★★★ High priority (2019-20 onward).</t>
        </is>
      </c>
    </row>
    <row r="20">
      <c r="B20" s="2" t="inlineStr">
        <is>
          <t>2023-24 CSE 219 pages are in 'CSE 219 (22 batch).pdf' (TF Page '22 batch p.N').</t>
        </is>
      </c>
    </row>
    <row r="21">
      <c r="B21" s="2" t="inlineStr">
        <is>
          <t>Section split: Anik Sir = signals, LTI, Fourier series/transform; Ashraf Sir = DFT/FFT, sampling, Laplace, z.</t>
        </is>
      </c>
    </row>
  </sheetData>
  <conditionalFormatting sqref="E5:E9">
    <cfRule type="dataBar" priority="1">
      <dataBar>
        <cfvo type="num" val="0"/>
        <cfvo type="num" val="1"/>
        <color rgb="0063BE7B"/>
      </dataBar>
    </cfRule>
  </conditionalFormatting>
  <conditionalFormatting sqref="E13:E18">
    <cfRule type="dataBar" priority="2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1–2 — Signals</t>
        </is>
      </c>
    </row>
    <row r="2">
      <c r="A2" s="2" t="inlineStr">
        <is>
          <t>Note file: CSE219_Anik_Signals_Notes.docx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2021-22</t>
        </is>
      </c>
      <c r="C4" s="19" t="inlineStr">
        <is>
          <t>EEE 211</t>
        </is>
      </c>
      <c r="D4" s="19" t="inlineStr">
        <is>
          <t>1(b)</t>
        </is>
      </c>
      <c r="E4" s="20" t="inlineStr">
        <is>
          <t>e^{−3t} sin(2πt/3 − 4) u(t): power or energy signal?</t>
        </is>
      </c>
      <c r="F4" s="20" t="inlineStr">
        <is>
          <t>Energy and power — Lec 1, sl. 2–16</t>
        </is>
      </c>
      <c r="G4" s="19" t="inlineStr">
        <is>
          <t>L1</t>
        </is>
      </c>
      <c r="H4" s="19" t="n">
        <v>10</v>
      </c>
      <c r="I4" s="19" t="inlineStr">
        <is>
          <t>EEE p.12</t>
        </is>
      </c>
      <c r="J4" s="21" t="inlineStr">
        <is>
          <t>★★★ High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2020-21 5(b) (EEE); 2018-19 6(a) (EEE)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2020-21</t>
        </is>
      </c>
      <c r="C5" s="19" t="inlineStr">
        <is>
          <t>EEE 211</t>
        </is>
      </c>
      <c r="D5" s="19" t="inlineStr">
        <is>
          <t>5(b)</t>
        </is>
      </c>
      <c r="E5" s="20" t="inlineStr">
        <is>
          <t>Power or energy: u(t−6)−u(−t+8); 2r(t−4)u(t)</t>
        </is>
      </c>
      <c r="F5" s="20" t="inlineStr">
        <is>
          <t>Energy and power — Lec 1, sl. 2–16</t>
        </is>
      </c>
      <c r="G5" s="19" t="inlineStr">
        <is>
          <t>L1</t>
        </is>
      </c>
      <c r="H5" s="19" t="n">
        <v>10</v>
      </c>
      <c r="I5" s="19" t="inlineStr">
        <is>
          <t>EEE p.20</t>
        </is>
      </c>
      <c r="J5" s="21" t="inlineStr">
        <is>
          <t>★★★ High</t>
        </is>
      </c>
      <c r="K5" s="19" t="inlineStr">
        <is>
          <t>Numerical</t>
        </is>
      </c>
      <c r="L5" s="22" t="inlineStr">
        <is>
          <t>✔ Solved</t>
        </is>
      </c>
      <c r="M5" s="20" t="inlineStr">
        <is>
          <t>2021-22 1(b) (EEE); 2018-19 6(a) (EEE)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2018-19</t>
        </is>
      </c>
      <c r="C6" s="19" t="inlineStr">
        <is>
          <t>EEE 211</t>
        </is>
      </c>
      <c r="D6" s="19" t="inlineStr">
        <is>
          <t>6(a)</t>
        </is>
      </c>
      <c r="E6" s="20" t="inlineStr">
        <is>
          <t>Power/energy/neither: e^{j(2πt+π/4)} + e^{−2|t|}; [u(cos t) − δ(t−kπ)]^{0.5}</t>
        </is>
      </c>
      <c r="F6" s="20" t="inlineStr">
        <is>
          <t>Energy and power — Lec 1, sl. 2–16</t>
        </is>
      </c>
      <c r="G6" s="19" t="inlineStr">
        <is>
          <t>L1</t>
        </is>
      </c>
      <c r="H6" s="19" t="n">
        <v>15</v>
      </c>
      <c r="I6" s="19" t="inlineStr">
        <is>
          <t>EEE p.30</t>
        </is>
      </c>
      <c r="J6" s="24" t="inlineStr">
        <is>
          <t>★★ Medium</t>
        </is>
      </c>
      <c r="K6" s="19" t="inlineStr">
        <is>
          <t>Numerical</t>
        </is>
      </c>
      <c r="L6" s="25" t="inlineStr">
        <is>
          <t>◐ Method</t>
        </is>
      </c>
      <c r="M6" s="20" t="inlineStr">
        <is>
          <t>2021-22 1(b) (EEE); 2020-21 5(b) (EEE)</t>
        </is>
      </c>
      <c r="N6" s="23" t="b">
        <v>0</v>
      </c>
      <c r="O6" s="19" t="n"/>
      <c r="P6" s="19" t="n"/>
      <c r="Q6" s="20" t="n"/>
    </row>
    <row r="7">
      <c r="A7" s="26" t="n">
        <v>4</v>
      </c>
      <c r="B7" s="26" t="inlineStr">
        <is>
          <t>2023-24</t>
        </is>
      </c>
      <c r="C7" s="26" t="inlineStr">
        <is>
          <t>CSE 219</t>
        </is>
      </c>
      <c r="D7" s="26" t="inlineStr">
        <is>
          <t>1(a)</t>
        </is>
      </c>
      <c r="E7" s="6" t="inlineStr">
        <is>
          <t>x(t) = 1−|t| (|t|≤1): sketch y(t) = x(−2(t−1)) + x((t+2)/2)</t>
        </is>
      </c>
      <c r="F7" s="6" t="inlineStr">
        <is>
          <t>Shift, reversal, scaling x(αt+β) — Lec 1, sl. 17–39</t>
        </is>
      </c>
      <c r="G7" s="26" t="inlineStr">
        <is>
          <t>L2</t>
        </is>
      </c>
      <c r="H7" s="26" t="n">
        <v>15</v>
      </c>
      <c r="I7" s="26" t="inlineStr">
        <is>
          <t>22 batch p.1</t>
        </is>
      </c>
      <c r="J7" s="21" t="inlineStr">
        <is>
          <t>★★★ High</t>
        </is>
      </c>
      <c r="K7" s="26" t="inlineStr">
        <is>
          <t>Sketch</t>
        </is>
      </c>
      <c r="L7" s="22" t="inlineStr">
        <is>
          <t>✔ Solved</t>
        </is>
      </c>
      <c r="M7" s="6" t="inlineStr">
        <is>
          <t>2022-23 7(a)–(c); 2022-23 7(d)</t>
        </is>
      </c>
      <c r="N7" s="23" t="b">
        <v>0</v>
      </c>
      <c r="O7" s="26" t="n"/>
      <c r="P7" s="26" t="n"/>
      <c r="Q7" s="6" t="n"/>
    </row>
    <row r="8">
      <c r="A8" s="26" t="n">
        <v>5</v>
      </c>
      <c r="B8" s="26" t="inlineStr">
        <is>
          <t>2022-23</t>
        </is>
      </c>
      <c r="C8" s="26" t="inlineStr">
        <is>
          <t>CSE 219</t>
        </is>
      </c>
      <c r="D8" s="26" t="inlineStr">
        <is>
          <t>7(a)–(c)</t>
        </is>
      </c>
      <c r="E8" s="6" t="inlineStr">
        <is>
          <t>x(t) of Fig. 2: piecewise definition; sketch x(−2t+2) and x(−t/2+1) step by step</t>
        </is>
      </c>
      <c r="F8" s="6" t="inlineStr">
        <is>
          <t>Shift, reversal, scaling x(αt+β) — Lec 1, sl. 17–39</t>
        </is>
      </c>
      <c r="G8" s="26" t="inlineStr">
        <is>
          <t>L2</t>
        </is>
      </c>
      <c r="H8" s="26" t="n">
        <v>23</v>
      </c>
      <c r="I8" s="26" t="n">
        <v>4</v>
      </c>
      <c r="J8" s="21" t="inlineStr">
        <is>
          <t>★★★ High</t>
        </is>
      </c>
      <c r="K8" s="26" t="inlineStr">
        <is>
          <t>Sketch</t>
        </is>
      </c>
      <c r="L8" s="22" t="inlineStr">
        <is>
          <t>✔ Solved</t>
        </is>
      </c>
      <c r="M8" s="6" t="inlineStr">
        <is>
          <t>2022-23 7(d); 2023-24 1(a)</t>
        </is>
      </c>
      <c r="N8" s="23" t="b">
        <v>0</v>
      </c>
      <c r="O8" s="26" t="n"/>
      <c r="P8" s="26" t="n"/>
      <c r="Q8" s="6" t="n"/>
    </row>
    <row r="9">
      <c r="A9" s="26" t="n">
        <v>6</v>
      </c>
      <c r="B9" s="26" t="inlineStr">
        <is>
          <t>2022-23</t>
        </is>
      </c>
      <c r="C9" s="26" t="inlineStr">
        <is>
          <t>CSE 219</t>
        </is>
      </c>
      <c r="D9" s="26" t="inlineStr">
        <is>
          <t>7(d)</t>
        </is>
      </c>
      <c r="E9" s="6" t="inlineStr">
        <is>
          <t>Image-editing tasks ↔ which signal operations</t>
        </is>
      </c>
      <c r="F9" s="6" t="inlineStr">
        <is>
          <t>Shift, reversal, scaling x(αt+β) — Lec 1, sl. 17–39</t>
        </is>
      </c>
      <c r="G9" s="26" t="inlineStr">
        <is>
          <t>L2</t>
        </is>
      </c>
      <c r="H9" s="26" t="n">
        <v>7</v>
      </c>
      <c r="I9" s="26" t="n">
        <v>4</v>
      </c>
      <c r="J9" s="21" t="inlineStr">
        <is>
          <t>★★★ High</t>
        </is>
      </c>
      <c r="K9" s="26" t="inlineStr">
        <is>
          <t>Theory</t>
        </is>
      </c>
      <c r="L9" s="22" t="inlineStr">
        <is>
          <t>✔ Solved</t>
        </is>
      </c>
      <c r="M9" s="6" t="inlineStr">
        <is>
          <t>2022-23 7(a)–(c); 2023-24 1(a)</t>
        </is>
      </c>
      <c r="N9" s="23" t="b">
        <v>0</v>
      </c>
      <c r="O9" s="26" t="n"/>
      <c r="P9" s="26" t="n"/>
      <c r="Q9" s="6" t="n"/>
    </row>
    <row r="10">
      <c r="A10" s="19" t="n">
        <v>7</v>
      </c>
      <c r="B10" s="19" t="inlineStr">
        <is>
          <t>2022-23</t>
        </is>
      </c>
      <c r="C10" s="19" t="inlineStr">
        <is>
          <t>CSE 219</t>
        </is>
      </c>
      <c r="D10" s="19" t="inlineStr">
        <is>
          <t>5(a)</t>
        </is>
      </c>
      <c r="E10" s="20" t="inlineStr">
        <is>
          <t>f(t) = t+1 (−2..0), −t/2+1 (0..2): draw, even–odd decomposition, draw parts</t>
        </is>
      </c>
      <c r="F10" s="20" t="inlineStr">
        <is>
          <t>Even and odd parts — Lec 1, sl. 40–52</t>
        </is>
      </c>
      <c r="G10" s="19" t="inlineStr">
        <is>
          <t>L3</t>
        </is>
      </c>
      <c r="H10" s="19" t="n">
        <v>15</v>
      </c>
      <c r="I10" s="19" t="n">
        <v>2</v>
      </c>
      <c r="J10" s="21" t="inlineStr">
        <is>
          <t>★★★ High</t>
        </is>
      </c>
      <c r="K10" s="19" t="inlineStr">
        <is>
          <t>Sketch</t>
        </is>
      </c>
      <c r="L10" s="22" t="inlineStr">
        <is>
          <t>✔ Solved</t>
        </is>
      </c>
      <c r="M10" s="20" t="inlineStr">
        <is>
          <t>—</t>
        </is>
      </c>
      <c r="N10" s="23" t="b">
        <v>0</v>
      </c>
      <c r="O10" s="19" t="n"/>
      <c r="P10" s="19" t="n"/>
      <c r="Q10" s="20" t="n"/>
    </row>
    <row r="11">
      <c r="A11" s="26" t="n">
        <v>8</v>
      </c>
      <c r="B11" s="26" t="inlineStr">
        <is>
          <t>2023-24</t>
        </is>
      </c>
      <c r="C11" s="26" t="inlineStr">
        <is>
          <t>EEE 211</t>
        </is>
      </c>
      <c r="D11" s="26" t="inlineStr">
        <is>
          <t>1(a)</t>
        </is>
      </c>
      <c r="E11" s="6" t="inlineStr">
        <is>
          <t>Piecewise x(t): sketch x(−3t+2), x'(t), x''(t); x'(t) via δ, u, r</t>
        </is>
      </c>
      <c r="F11" s="6" t="inlineStr">
        <is>
          <t>Step, impulse, ramp, jump signals — Lec 2, sl. 2–29</t>
        </is>
      </c>
      <c r="G11" s="26" t="inlineStr">
        <is>
          <t>L4</t>
        </is>
      </c>
      <c r="H11" s="26" t="n">
        <v>11</v>
      </c>
      <c r="I11" s="26" t="inlineStr">
        <is>
          <t>EEE p.1</t>
        </is>
      </c>
      <c r="J11" s="21" t="inlineStr">
        <is>
          <t>★★★ High</t>
        </is>
      </c>
      <c r="K11" s="26" t="inlineStr">
        <is>
          <t>Sketch</t>
        </is>
      </c>
      <c r="L11" s="22" t="inlineStr">
        <is>
          <t>✔ Solved</t>
        </is>
      </c>
      <c r="M11" s="6" t="inlineStr">
        <is>
          <t>2022-23 5(c) (EEE); 2021-22 1(c) (EEE); 2020-21 5(a) (EEE); 2019-20 5(a) (EEE); 2018-19 6(b) (EEE)</t>
        </is>
      </c>
      <c r="N11" s="23" t="b">
        <v>0</v>
      </c>
      <c r="O11" s="26" t="n"/>
      <c r="P11" s="26" t="n"/>
      <c r="Q11" s="6" t="n"/>
    </row>
    <row r="12">
      <c r="A12" s="26" t="n">
        <v>9</v>
      </c>
      <c r="B12" s="26" t="inlineStr">
        <is>
          <t>2022-23</t>
        </is>
      </c>
      <c r="C12" s="26" t="inlineStr">
        <is>
          <t>EEE 211</t>
        </is>
      </c>
      <c r="D12" s="26" t="inlineStr">
        <is>
          <t>5(c)</t>
        </is>
      </c>
      <c r="E12" s="6" t="inlineStr">
        <is>
          <t>x(t) of Fig. 5(c) via elementary signals; sketch dx/dt</t>
        </is>
      </c>
      <c r="F12" s="6" t="inlineStr">
        <is>
          <t>Step, impulse, ramp, jump signals — Lec 2, sl. 2–29</t>
        </is>
      </c>
      <c r="G12" s="26" t="inlineStr">
        <is>
          <t>L4</t>
        </is>
      </c>
      <c r="H12" s="26" t="n">
        <v>10</v>
      </c>
      <c r="I12" s="26" t="inlineStr">
        <is>
          <t>EEE p.10</t>
        </is>
      </c>
      <c r="J12" s="21" t="inlineStr">
        <is>
          <t>★★★ High</t>
        </is>
      </c>
      <c r="K12" s="26" t="inlineStr">
        <is>
          <t>Sketch</t>
        </is>
      </c>
      <c r="L12" s="22" t="inlineStr">
        <is>
          <t>✔ Solved</t>
        </is>
      </c>
      <c r="M12" s="6" t="inlineStr">
        <is>
          <t>2023-24 1(a) (EEE); 2021-22 1(c) (EEE); 2020-21 5(a) (EEE); 2019-20 5(a) (EEE); 2018-19 6(b) (EEE)</t>
        </is>
      </c>
      <c r="N12" s="23" t="b">
        <v>0</v>
      </c>
      <c r="O12" s="26" t="n"/>
      <c r="P12" s="26" t="n"/>
      <c r="Q12" s="6" t="n"/>
    </row>
    <row r="13">
      <c r="A13" s="26" t="n">
        <v>10</v>
      </c>
      <c r="B13" s="26" t="inlineStr">
        <is>
          <t>2022-23</t>
        </is>
      </c>
      <c r="C13" s="26" t="inlineStr">
        <is>
          <t>EEE 211</t>
        </is>
      </c>
      <c r="D13" s="26" t="inlineStr">
        <is>
          <t>6(a)</t>
        </is>
      </c>
      <c r="E13" s="6" t="inlineStr">
        <is>
          <t>Are lim 1/(επ cosh(t/ε)) and lim sin(εt)/(πt) models of δ(t)?</t>
        </is>
      </c>
      <c r="F13" s="6" t="inlineStr">
        <is>
          <t>Step, impulse, ramp, jump signals — Lec 2, sl. 2–29</t>
        </is>
      </c>
      <c r="G13" s="26" t="inlineStr">
        <is>
          <t>L4</t>
        </is>
      </c>
      <c r="H13" s="26" t="n">
        <v>20</v>
      </c>
      <c r="I13" s="26" t="inlineStr">
        <is>
          <t>EEE p.10</t>
        </is>
      </c>
      <c r="J13" s="21" t="inlineStr">
        <is>
          <t>★★★ High</t>
        </is>
      </c>
      <c r="K13" s="26" t="inlineStr">
        <is>
          <t>Proof</t>
        </is>
      </c>
      <c r="L13" s="22" t="inlineStr">
        <is>
          <t>✔ Solved</t>
        </is>
      </c>
      <c r="M13" s="6" t="inlineStr">
        <is>
          <t>—</t>
        </is>
      </c>
      <c r="N13" s="23" t="b">
        <v>0</v>
      </c>
      <c r="O13" s="26" t="n"/>
      <c r="P13" s="26" t="n"/>
      <c r="Q13" s="6" t="n"/>
    </row>
    <row r="14">
      <c r="A14" s="26" t="n">
        <v>11</v>
      </c>
      <c r="B14" s="26" t="inlineStr">
        <is>
          <t>2021-22</t>
        </is>
      </c>
      <c r="C14" s="26" t="inlineStr">
        <is>
          <t>EEE 211</t>
        </is>
      </c>
      <c r="D14" s="26" t="inlineStr">
        <is>
          <t>1(c)</t>
        </is>
      </c>
      <c r="E14" s="6" t="inlineStr">
        <is>
          <t>x = δ(t−1)+u(t)u(t−3)+u(cos t): y = ∫x; sketch y(t/2)</t>
        </is>
      </c>
      <c r="F14" s="6" t="inlineStr">
        <is>
          <t>Step, impulse, ramp, jump signals — Lec 2, sl. 2–29</t>
        </is>
      </c>
      <c r="G14" s="26" t="inlineStr">
        <is>
          <t>L4</t>
        </is>
      </c>
      <c r="H14" s="26" t="n">
        <v>15</v>
      </c>
      <c r="I14" s="26" t="inlineStr">
        <is>
          <t>EEE p.12</t>
        </is>
      </c>
      <c r="J14" s="21" t="inlineStr">
        <is>
          <t>★★★ High</t>
        </is>
      </c>
      <c r="K14" s="26" t="inlineStr">
        <is>
          <t>Sketch</t>
        </is>
      </c>
      <c r="L14" s="22" t="inlineStr">
        <is>
          <t>✔ Solved</t>
        </is>
      </c>
      <c r="M14" s="6" t="inlineStr">
        <is>
          <t>2023-24 1(a) (EEE); 2022-23 5(c) (EEE); 2020-21 5(a) (EEE); 2019-20 5(a) (EEE); 2018-19 6(b) (EEE)</t>
        </is>
      </c>
      <c r="N14" s="23" t="b">
        <v>0</v>
      </c>
      <c r="O14" s="26" t="n"/>
      <c r="P14" s="26" t="n"/>
      <c r="Q14" s="6" t="n"/>
    </row>
    <row r="15">
      <c r="A15" s="26" t="n">
        <v>12</v>
      </c>
      <c r="B15" s="26" t="inlineStr">
        <is>
          <t>2020-21</t>
        </is>
      </c>
      <c r="C15" s="26" t="inlineStr">
        <is>
          <t>EEE 211</t>
        </is>
      </c>
      <c r="D15" s="26" t="inlineStr">
        <is>
          <t>5(a)</t>
        </is>
      </c>
      <c r="E15" s="6" t="inlineStr">
        <is>
          <t>x₁, x₂ via r, u; draw x₁(t+2)r(t−2), x₂(t−2)u(−2t); x₃ via x₁</t>
        </is>
      </c>
      <c r="F15" s="6" t="inlineStr">
        <is>
          <t>Step, impulse, ramp, jump signals — Lec 2, sl. 2–29</t>
        </is>
      </c>
      <c r="G15" s="26" t="inlineStr">
        <is>
          <t>L4</t>
        </is>
      </c>
      <c r="H15" s="26" t="n">
        <v>25</v>
      </c>
      <c r="I15" s="26" t="inlineStr">
        <is>
          <t>EEE p.19</t>
        </is>
      </c>
      <c r="J15" s="21" t="inlineStr">
        <is>
          <t>★★★ High</t>
        </is>
      </c>
      <c r="K15" s="26" t="inlineStr">
        <is>
          <t>Sketch</t>
        </is>
      </c>
      <c r="L15" s="22" t="inlineStr">
        <is>
          <t>✔ Solved</t>
        </is>
      </c>
      <c r="M15" s="6" t="inlineStr">
        <is>
          <t>2023-24 1(a) (EEE); 2022-23 5(c) (EEE); 2021-22 1(c) (EEE); 2019-20 5(a) (EEE); 2018-19 6(b) (EEE)</t>
        </is>
      </c>
      <c r="N15" s="23" t="b">
        <v>0</v>
      </c>
      <c r="O15" s="26" t="n"/>
      <c r="P15" s="26" t="n"/>
      <c r="Q15" s="6" t="n"/>
    </row>
    <row r="16">
      <c r="A16" s="26" t="n">
        <v>13</v>
      </c>
      <c r="B16" s="26" t="inlineStr">
        <is>
          <t>2019-20</t>
        </is>
      </c>
      <c r="C16" s="26" t="inlineStr">
        <is>
          <t>CSE 311</t>
        </is>
      </c>
      <c r="D16" s="26" t="inlineStr">
        <is>
          <t>2(b)</t>
        </is>
      </c>
      <c r="E16" s="6" t="inlineStr">
        <is>
          <t>Prove u(t) from δ(t) and δ(t) from u(t)</t>
        </is>
      </c>
      <c r="F16" s="6" t="inlineStr">
        <is>
          <t>Step, impulse, ramp, jump signals — Lec 2, sl. 2–29</t>
        </is>
      </c>
      <c r="G16" s="26" t="inlineStr">
        <is>
          <t>L4</t>
        </is>
      </c>
      <c r="H16" s="26" t="n">
        <v>11</v>
      </c>
      <c r="I16" s="26" t="n">
        <v>15</v>
      </c>
      <c r="J16" s="21" t="inlineStr">
        <is>
          <t>★★★ High</t>
        </is>
      </c>
      <c r="K16" s="26" t="inlineStr">
        <is>
          <t>Proof</t>
        </is>
      </c>
      <c r="L16" s="22" t="inlineStr">
        <is>
          <t>✔ Solved</t>
        </is>
      </c>
      <c r="M16" s="6" t="inlineStr">
        <is>
          <t>—</t>
        </is>
      </c>
      <c r="N16" s="23" t="b">
        <v>0</v>
      </c>
      <c r="O16" s="26" t="n"/>
      <c r="P16" s="26" t="n"/>
      <c r="Q16" s="6" t="n"/>
    </row>
    <row r="17">
      <c r="A17" s="26" t="n">
        <v>14</v>
      </c>
      <c r="B17" s="26" t="inlineStr">
        <is>
          <t>2019-20</t>
        </is>
      </c>
      <c r="C17" s="26" t="inlineStr">
        <is>
          <t>EEE 211</t>
        </is>
      </c>
      <c r="D17" s="26" t="inlineStr">
        <is>
          <t>5(a)</t>
        </is>
      </c>
      <c r="E17" s="6" t="inlineStr">
        <is>
          <t>Single expression for x(t) of Fig. 5(a); time-compress by 3</t>
        </is>
      </c>
      <c r="F17" s="6" t="inlineStr">
        <is>
          <t>Step, impulse, ramp, jump signals — Lec 2, sl. 2–29</t>
        </is>
      </c>
      <c r="G17" s="26" t="inlineStr">
        <is>
          <t>L4</t>
        </is>
      </c>
      <c r="H17" s="26" t="n">
        <v>15</v>
      </c>
      <c r="I17" s="26" t="inlineStr">
        <is>
          <t>EEE p.24</t>
        </is>
      </c>
      <c r="J17" s="21" t="inlineStr">
        <is>
          <t>★★★ High</t>
        </is>
      </c>
      <c r="K17" s="26" t="inlineStr">
        <is>
          <t>Sketch</t>
        </is>
      </c>
      <c r="L17" s="22" t="inlineStr">
        <is>
          <t>✔ Solved</t>
        </is>
      </c>
      <c r="M17" s="6" t="inlineStr">
        <is>
          <t>2023-24 1(a) (EEE); 2022-23 5(c) (EEE); 2021-22 1(c) (EEE); 2020-21 5(a) (EEE); 2018-19 6(b) (EEE)</t>
        </is>
      </c>
      <c r="N17" s="23" t="b">
        <v>0</v>
      </c>
      <c r="O17" s="26" t="n"/>
      <c r="P17" s="26" t="n"/>
      <c r="Q17" s="6" t="n"/>
    </row>
    <row r="18">
      <c r="A18" s="26" t="n">
        <v>15</v>
      </c>
      <c r="B18" s="26" t="inlineStr">
        <is>
          <t>2018-19</t>
        </is>
      </c>
      <c r="C18" s="26" t="inlineStr">
        <is>
          <t>EEE 211</t>
        </is>
      </c>
      <c r="D18" s="26" t="inlineStr">
        <is>
          <t>6(b)</t>
        </is>
      </c>
      <c r="E18" s="6" t="inlineStr">
        <is>
          <t>v(t) of Fig. 6(b): steps &amp; ramps; derivative; even and odd parts of the derivative</t>
        </is>
      </c>
      <c r="F18" s="6" t="inlineStr">
        <is>
          <t>Step, impulse, ramp, jump signals — Lec 2, sl. 2–29</t>
        </is>
      </c>
      <c r="G18" s="26" t="inlineStr">
        <is>
          <t>L4</t>
        </is>
      </c>
      <c r="H18" s="26" t="n">
        <v>20</v>
      </c>
      <c r="I18" s="26" t="inlineStr">
        <is>
          <t>EEE p.30</t>
        </is>
      </c>
      <c r="J18" s="24" t="inlineStr">
        <is>
          <t>★★ Medium</t>
        </is>
      </c>
      <c r="K18" s="26" t="inlineStr">
        <is>
          <t>Sketch</t>
        </is>
      </c>
      <c r="L18" s="25" t="inlineStr">
        <is>
          <t>◐ Method</t>
        </is>
      </c>
      <c r="M18" s="6" t="inlineStr">
        <is>
          <t>2023-24 1(a) (EEE); 2022-23 5(c) (EEE); 2021-22 1(c) (EEE); 2020-21 5(a) (EEE); 2019-20 5(a) (EEE)</t>
        </is>
      </c>
      <c r="N18" s="23" t="b">
        <v>0</v>
      </c>
      <c r="O18" s="26" t="n"/>
      <c r="P18" s="26" t="n"/>
      <c r="Q18" s="6" t="n"/>
    </row>
    <row r="19">
      <c r="A19" s="19" t="n">
        <v>16</v>
      </c>
      <c r="B19" s="19" t="inlineStr">
        <is>
          <t>2023-24</t>
        </is>
      </c>
      <c r="C19" s="19" t="inlineStr">
        <is>
          <t>CSE 219</t>
        </is>
      </c>
      <c r="D19" s="19" t="inlineStr">
        <is>
          <t>3(a)</t>
        </is>
      </c>
      <c r="E19" s="20" t="inlineStr">
        <is>
          <t>x[n] = (3−4j)e^{j13πn/7}: real/imag parts periodic? N₀; phase shift as integer time shift?</t>
        </is>
      </c>
      <c r="F19" s="20" t="inlineStr">
        <is>
          <t>Exponentials, sinusoids, periodicity — Lec 2, sl. 30–50</t>
        </is>
      </c>
      <c r="G19" s="19" t="inlineStr">
        <is>
          <t>L5</t>
        </is>
      </c>
      <c r="H19" s="19" t="n">
        <v>15</v>
      </c>
      <c r="I19" s="19" t="inlineStr">
        <is>
          <t>22 batch p.2</t>
        </is>
      </c>
      <c r="J19" s="21" t="inlineStr">
        <is>
          <t>★★★ High</t>
        </is>
      </c>
      <c r="K19" s="19" t="inlineStr">
        <is>
          <t>Numerical</t>
        </is>
      </c>
      <c r="L19" s="22" t="inlineStr">
        <is>
          <t>✔ Solved</t>
        </is>
      </c>
      <c r="M19" s="20" t="inlineStr">
        <is>
          <t>2022-23 5(c); 2021-22 1(a) (EEE)</t>
        </is>
      </c>
      <c r="N19" s="23" t="b">
        <v>0</v>
      </c>
      <c r="O19" s="19" t="n"/>
      <c r="P19" s="19" t="n"/>
      <c r="Q19" s="20" t="n"/>
    </row>
    <row r="20">
      <c r="A20" s="19" t="n">
        <v>17</v>
      </c>
      <c r="B20" s="19" t="inlineStr">
        <is>
          <t>2022-23</t>
        </is>
      </c>
      <c r="C20" s="19" t="inlineStr">
        <is>
          <t>CSE 219</t>
        </is>
      </c>
      <c r="D20" s="19" t="inlineStr">
        <is>
          <t>5(c)</t>
        </is>
      </c>
      <c r="E20" s="20" t="inlineStr">
        <is>
          <t>Is 2cos(16πn/63 + π/3) periodic? period</t>
        </is>
      </c>
      <c r="F20" s="20" t="inlineStr">
        <is>
          <t>Exponentials, sinusoids, periodicity — Lec 2, sl. 30–50</t>
        </is>
      </c>
      <c r="G20" s="19" t="inlineStr">
        <is>
          <t>L5</t>
        </is>
      </c>
      <c r="H20" s="19" t="n">
        <v>5</v>
      </c>
      <c r="I20" s="19" t="n">
        <v>3</v>
      </c>
      <c r="J20" s="21" t="inlineStr">
        <is>
          <t>★★★ High</t>
        </is>
      </c>
      <c r="K20" s="19" t="inlineStr">
        <is>
          <t>Numerical</t>
        </is>
      </c>
      <c r="L20" s="22" t="inlineStr">
        <is>
          <t>✔ Solved</t>
        </is>
      </c>
      <c r="M20" s="20" t="inlineStr">
        <is>
          <t>2023-24 3(a); 2021-22 1(a) (EEE)</t>
        </is>
      </c>
      <c r="N20" s="23" t="b">
        <v>0</v>
      </c>
      <c r="O20" s="19" t="n"/>
      <c r="P20" s="19" t="n"/>
      <c r="Q20" s="20" t="n"/>
    </row>
    <row r="21">
      <c r="A21" s="19" t="n">
        <v>18</v>
      </c>
      <c r="B21" s="19" t="inlineStr">
        <is>
          <t>2021-22</t>
        </is>
      </c>
      <c r="C21" s="19" t="inlineStr">
        <is>
          <t>EEE 211</t>
        </is>
      </c>
      <c r="D21" s="19" t="inlineStr">
        <is>
          <t>1(a)</t>
        </is>
      </c>
      <c r="E21" s="20" t="inlineStr">
        <is>
          <t>√(e^{j5πt}) + sin²(3t−π/4): periodic? period</t>
        </is>
      </c>
      <c r="F21" s="20" t="inlineStr">
        <is>
          <t>Exponentials, sinusoids, periodicity — Lec 2, sl. 30–50</t>
        </is>
      </c>
      <c r="G21" s="19" t="inlineStr">
        <is>
          <t>L5</t>
        </is>
      </c>
      <c r="H21" s="19" t="n">
        <v>10</v>
      </c>
      <c r="I21" s="19" t="inlineStr">
        <is>
          <t>EEE p.12</t>
        </is>
      </c>
      <c r="J21" s="21" t="inlineStr">
        <is>
          <t>★★★ High</t>
        </is>
      </c>
      <c r="K21" s="19" t="inlineStr">
        <is>
          <t>Numerical</t>
        </is>
      </c>
      <c r="L21" s="22" t="inlineStr">
        <is>
          <t>✔ Solved</t>
        </is>
      </c>
      <c r="M21" s="20" t="inlineStr">
        <is>
          <t>2022-23 5(c); 2023-24 3(a)</t>
        </is>
      </c>
      <c r="N21" s="23" t="b">
        <v>0</v>
      </c>
      <c r="O21" s="19" t="n"/>
      <c r="P21" s="19" t="n"/>
      <c r="Q21" s="20" t="n"/>
    </row>
  </sheetData>
  <autoFilter ref="A3:Q21"/>
  <conditionalFormatting sqref="A4:Q21">
    <cfRule type="expression" priority="1" dxfId="0">
      <formula>$N4=TRUE</formula>
    </cfRule>
  </conditionalFormatting>
  <conditionalFormatting sqref="O4:O21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21" showDropDown="0" showInputMessage="0" showErrorMessage="0" allowBlank="1" type="list">
      <formula1>"TRUE,FALSE"</formula1>
    </dataValidation>
    <dataValidation sqref="O4:O21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3–4 — LTI Systems and Convolution</t>
        </is>
      </c>
    </row>
    <row r="2">
      <c r="A2" s="2" t="inlineStr">
        <is>
          <t>Note file: CSE219_Anik_LTI_Convolution_Notes.docx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EEE 211</t>
        </is>
      </c>
      <c r="D4" s="19" t="inlineStr">
        <is>
          <t>1(b)</t>
        </is>
      </c>
      <c r="E4" s="20" t="inlineStr">
        <is>
          <t>dy/dt + t²y = (2t+3)x: linear? time-invariant?</t>
        </is>
      </c>
      <c r="F4" s="20" t="inlineStr">
        <is>
          <t>Systems: linearity, time invariance — Lec 3, sl. 2–11</t>
        </is>
      </c>
      <c r="G4" s="19" t="inlineStr">
        <is>
          <t>L6</t>
        </is>
      </c>
      <c r="H4" s="19" t="n">
        <v>7</v>
      </c>
      <c r="I4" s="19" t="inlineStr">
        <is>
          <t>EEE p.1</t>
        </is>
      </c>
      <c r="J4" s="21" t="inlineStr">
        <is>
          <t>★★★ High</t>
        </is>
      </c>
      <c r="K4" s="19" t="inlineStr">
        <is>
          <t>Proof</t>
        </is>
      </c>
      <c r="L4" s="22" t="inlineStr">
        <is>
          <t>✔ Solved</t>
        </is>
      </c>
      <c r="M4" s="20" t="inlineStr">
        <is>
          <t>2022-23 8(b) (EEE); 2020-21 6(a) (EEE); 2019-20 1 (EEE)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2022-23</t>
        </is>
      </c>
      <c r="C5" s="19" t="inlineStr">
        <is>
          <t>EEE 211</t>
        </is>
      </c>
      <c r="D5" s="19" t="inlineStr">
        <is>
          <t>5(b)</t>
        </is>
      </c>
      <c r="E5" s="20" t="inlineStr">
        <is>
          <t>LTI: x (V-shape) → y = rect; outputs for x(t−½)−x(t+½) and dx/dt</t>
        </is>
      </c>
      <c r="F5" s="20" t="inlineStr">
        <is>
          <t>Systems: linearity, time invariance — Lec 3, sl. 2–11</t>
        </is>
      </c>
      <c r="G5" s="19" t="inlineStr">
        <is>
          <t>L6</t>
        </is>
      </c>
      <c r="H5" s="19" t="n">
        <v>15</v>
      </c>
      <c r="I5" s="19" t="inlineStr">
        <is>
          <t>EEE p.9–10</t>
        </is>
      </c>
      <c r="J5" s="21" t="inlineStr">
        <is>
          <t>★★★ High</t>
        </is>
      </c>
      <c r="K5" s="19" t="inlineStr">
        <is>
          <t>Sketch</t>
        </is>
      </c>
      <c r="L5" s="22" t="inlineStr">
        <is>
          <t>✔ Solved</t>
        </is>
      </c>
      <c r="M5" s="20" t="inlineStr">
        <is>
          <t>2021-22 2(b) (EEE); 2018-19 7(a) (EEE)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2022-23</t>
        </is>
      </c>
      <c r="C6" s="19" t="inlineStr">
        <is>
          <t>EEE 211</t>
        </is>
      </c>
      <c r="D6" s="19" t="inlineStr">
        <is>
          <t>8(b)</t>
        </is>
      </c>
      <c r="E6" s="20" t="inlineStr">
        <is>
          <t>dy/dt + t²y = (2t+3)x: linear? time-invariant?</t>
        </is>
      </c>
      <c r="F6" s="20" t="inlineStr">
        <is>
          <t>Systems: linearity, time invariance — Lec 3, sl. 2–11</t>
        </is>
      </c>
      <c r="G6" s="19" t="inlineStr">
        <is>
          <t>L6</t>
        </is>
      </c>
      <c r="H6" s="19" t="n">
        <v>15</v>
      </c>
      <c r="I6" s="19" t="inlineStr">
        <is>
          <t>EEE p.11</t>
        </is>
      </c>
      <c r="J6" s="21" t="inlineStr">
        <is>
          <t>★★★ High</t>
        </is>
      </c>
      <c r="K6" s="19" t="inlineStr">
        <is>
          <t>Proof</t>
        </is>
      </c>
      <c r="L6" s="22" t="inlineStr">
        <is>
          <t>✔ Solved</t>
        </is>
      </c>
      <c r="M6" s="20" t="inlineStr">
        <is>
          <t>2023-24 1(b) (EEE); 2020-21 6(a) (EEE); 2019-20 1 (EEE)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2021-22</t>
        </is>
      </c>
      <c r="C7" s="19" t="inlineStr">
        <is>
          <t>EEE 211</t>
        </is>
      </c>
      <c r="D7" s="19" t="inlineStr">
        <is>
          <t>2(b)</t>
        </is>
      </c>
      <c r="E7" s="20" t="inlineStr">
        <is>
          <t>y₁ = x₁*h, y₂ = x₂*h (triangle, trapezoid) [rest of wording cut off — illegible]</t>
        </is>
      </c>
      <c r="F7" s="20" t="inlineStr">
        <is>
          <t>Systems: linearity, time invariance — Lec 3, sl. 2–11</t>
        </is>
      </c>
      <c r="G7" s="19" t="inlineStr">
        <is>
          <t>L6</t>
        </is>
      </c>
      <c r="H7" s="19" t="n">
        <v>18</v>
      </c>
      <c r="I7" s="19" t="inlineStr">
        <is>
          <t>EEE p.12</t>
        </is>
      </c>
      <c r="J7" s="21" t="inlineStr">
        <is>
          <t>★★★ High</t>
        </is>
      </c>
      <c r="K7" s="19" t="inlineStr">
        <is>
          <t>Sketch</t>
        </is>
      </c>
      <c r="L7" s="25" t="inlineStr">
        <is>
          <t>◐ Method</t>
        </is>
      </c>
      <c r="M7" s="20" t="inlineStr">
        <is>
          <t>2022-23 5(b) (EEE); 2018-19 7(a) (EEE)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2020-21</t>
        </is>
      </c>
      <c r="C8" s="19" t="inlineStr">
        <is>
          <t>EEE 211</t>
        </is>
      </c>
      <c r="D8" s="19" t="inlineStr">
        <is>
          <t>6(a)</t>
        </is>
      </c>
      <c r="E8" s="20" t="inlineStr">
        <is>
          <t>y = t·x(t+2): linear, causal, time-variant, memoryless, stable?</t>
        </is>
      </c>
      <c r="F8" s="20" t="inlineStr">
        <is>
          <t>Systems: linearity, time invariance — Lec 3, sl. 2–11</t>
        </is>
      </c>
      <c r="G8" s="19" t="inlineStr">
        <is>
          <t>L6</t>
        </is>
      </c>
      <c r="H8" s="19" t="n">
        <v>15</v>
      </c>
      <c r="I8" s="19" t="inlineStr">
        <is>
          <t>EEE p.20</t>
        </is>
      </c>
      <c r="J8" s="21" t="inlineStr">
        <is>
          <t>★★★ High</t>
        </is>
      </c>
      <c r="K8" s="19" t="inlineStr">
        <is>
          <t>Proof</t>
        </is>
      </c>
      <c r="L8" s="22" t="inlineStr">
        <is>
          <t>✔ Solved</t>
        </is>
      </c>
      <c r="M8" s="20" t="inlineStr">
        <is>
          <t>2023-24 1(b) (EEE); 2022-23 8(b) (EEE); 2019-20 1 (EEE)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2019-20</t>
        </is>
      </c>
      <c r="C9" s="19" t="inlineStr">
        <is>
          <t>EEE 211</t>
        </is>
      </c>
      <c r="D9" s="19" t="inlineStr">
        <is>
          <t>1</t>
        </is>
      </c>
      <c r="E9" s="20" t="inlineStr">
        <is>
          <t>y = (1/3)∫x(τ)[δ(t−τ)+δ(t−τ+t₀)+δ(t−τ−t₀)]dτ: what it does; BIBO, linear, memoryless, causal, TI</t>
        </is>
      </c>
      <c r="F9" s="20" t="inlineStr">
        <is>
          <t>Systems: linearity, time invariance — Lec 3, sl. 2–11</t>
        </is>
      </c>
      <c r="G9" s="19" t="inlineStr">
        <is>
          <t>L6</t>
        </is>
      </c>
      <c r="H9" s="19" t="n">
        <v>35</v>
      </c>
      <c r="I9" s="19" t="inlineStr">
        <is>
          <t>EEE p.22</t>
        </is>
      </c>
      <c r="J9" s="21" t="inlineStr">
        <is>
          <t>★★★ High</t>
        </is>
      </c>
      <c r="K9" s="19" t="inlineStr">
        <is>
          <t>Proof</t>
        </is>
      </c>
      <c r="L9" s="22" t="inlineStr">
        <is>
          <t>✔ Solved</t>
        </is>
      </c>
      <c r="M9" s="20" t="inlineStr">
        <is>
          <t>2023-24 1(b) (EEE); 2022-23 8(b) (EEE); 2020-21 6(a) (EEE)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2018-19</t>
        </is>
      </c>
      <c r="C10" s="19" t="inlineStr">
        <is>
          <t>EEE 211</t>
        </is>
      </c>
      <c r="D10" s="19" t="inlineStr">
        <is>
          <t>7(a)</t>
        </is>
      </c>
      <c r="E10" s="20" t="inlineStr">
        <is>
          <t>Linear system: x (rect) → y: causal, TI, memoryless? output for u(t)+u(t−1)−2u(t−2)</t>
        </is>
      </c>
      <c r="F10" s="20" t="inlineStr">
        <is>
          <t>Systems: linearity, time invariance — Lec 3, sl. 2–11</t>
        </is>
      </c>
      <c r="G10" s="19" t="inlineStr">
        <is>
          <t>L6</t>
        </is>
      </c>
      <c r="H10" s="19" t="n">
        <v>20</v>
      </c>
      <c r="I10" s="19" t="inlineStr">
        <is>
          <t>EEE p.30</t>
        </is>
      </c>
      <c r="J10" s="24" t="inlineStr">
        <is>
          <t>★★ Medium</t>
        </is>
      </c>
      <c r="K10" s="19" t="inlineStr">
        <is>
          <t>Sketch</t>
        </is>
      </c>
      <c r="L10" s="25" t="inlineStr">
        <is>
          <t>◐ Method</t>
        </is>
      </c>
      <c r="M10" s="20" t="inlineStr">
        <is>
          <t>2022-23 5(b) (EEE); 2021-22 2(b) (EEE)</t>
        </is>
      </c>
      <c r="N10" s="23" t="b">
        <v>0</v>
      </c>
      <c r="O10" s="19" t="n"/>
      <c r="P10" s="19" t="n"/>
      <c r="Q10" s="20" t="n"/>
    </row>
    <row r="11">
      <c r="A11" s="26" t="n">
        <v>8</v>
      </c>
      <c r="B11" s="26" t="inlineStr">
        <is>
          <t>2018-19</t>
        </is>
      </c>
      <c r="C11" s="26" t="inlineStr">
        <is>
          <t>CSE 311</t>
        </is>
      </c>
      <c r="D11" s="26" t="inlineStr">
        <is>
          <t>4(b)</t>
        </is>
      </c>
      <c r="E11" s="6" t="inlineStr">
        <is>
          <t>Prove y = x*h for an LTI system using time-domain arguments only</t>
        </is>
      </c>
      <c r="F11" s="6" t="inlineStr">
        <is>
          <t>Impulse response, y = x*h derivation — Lec 3, sl. 32–57</t>
        </is>
      </c>
      <c r="G11" s="26" t="inlineStr">
        <is>
          <t>L8</t>
        </is>
      </c>
      <c r="H11" s="26" t="n">
        <v>17</v>
      </c>
      <c r="I11" s="26" t="n">
        <v>18</v>
      </c>
      <c r="J11" s="22" t="inlineStr">
        <is>
          <t>★ Low</t>
        </is>
      </c>
      <c r="K11" s="26" t="inlineStr">
        <is>
          <t>Proof</t>
        </is>
      </c>
      <c r="L11" s="22" t="inlineStr">
        <is>
          <t>✔ Solved</t>
        </is>
      </c>
      <c r="M11" s="6" t="inlineStr">
        <is>
          <t>—</t>
        </is>
      </c>
      <c r="N11" s="23" t="b">
        <v>0</v>
      </c>
      <c r="O11" s="26" t="n"/>
      <c r="P11" s="26" t="n"/>
      <c r="Q11" s="6" t="n"/>
    </row>
    <row r="12">
      <c r="A12" s="19" t="n">
        <v>9</v>
      </c>
      <c r="B12" s="19" t="inlineStr">
        <is>
          <t>2023-24</t>
        </is>
      </c>
      <c r="C12" s="19" t="inlineStr">
        <is>
          <t>CSE 219</t>
        </is>
      </c>
      <c r="D12" s="19" t="inlineStr">
        <is>
          <t>1(b)</t>
        </is>
      </c>
      <c r="E12" s="20" t="inlineStr">
        <is>
          <t>h₁=δ[n]−δ[n−2], h₂=u[n−1], h₃=δ[n]−δ[n−1]; (h₁+h₂)*h₃: h_eq and y for x=u[n]</t>
        </is>
      </c>
      <c r="F12" s="20" t="inlineStr">
        <is>
          <t>Convolution practice, interconnections — Lec 4, sl. 2–52</t>
        </is>
      </c>
      <c r="G12" s="19" t="inlineStr">
        <is>
          <t>L9</t>
        </is>
      </c>
      <c r="H12" s="19" t="n">
        <v>15</v>
      </c>
      <c r="I12" s="19" t="inlineStr">
        <is>
          <t>22 batch p.1</t>
        </is>
      </c>
      <c r="J12" s="21" t="inlineStr">
        <is>
          <t>★★★ High</t>
        </is>
      </c>
      <c r="K12" s="19" t="inlineStr">
        <is>
          <t>Numerical</t>
        </is>
      </c>
      <c r="L12" s="22" t="inlineStr">
        <is>
          <t>✔ Solved</t>
        </is>
      </c>
      <c r="M12" s="20" t="inlineStr">
        <is>
          <t>2023-24 1(c) (EEE)</t>
        </is>
      </c>
      <c r="N12" s="23" t="b">
        <v>0</v>
      </c>
      <c r="O12" s="19" t="n"/>
      <c r="P12" s="19" t="n"/>
      <c r="Q12" s="20" t="n"/>
    </row>
    <row r="13">
      <c r="A13" s="19" t="n">
        <v>10</v>
      </c>
      <c r="B13" s="19" t="inlineStr">
        <is>
          <t>2023-24</t>
        </is>
      </c>
      <c r="C13" s="19" t="inlineStr">
        <is>
          <t>EEE 211</t>
        </is>
      </c>
      <c r="D13" s="19" t="inlineStr">
        <is>
          <t>1(c)</t>
        </is>
      </c>
      <c r="E13" s="20" t="inlineStr">
        <is>
          <t>Interconnection of h₁…h₅ (exponentials, δ): BIBO? y for x = e^{−t}u(t)</t>
        </is>
      </c>
      <c r="F13" s="20" t="inlineStr">
        <is>
          <t>Convolution practice, interconnections — Lec 4, sl. 2–52</t>
        </is>
      </c>
      <c r="G13" s="19" t="inlineStr">
        <is>
          <t>L9</t>
        </is>
      </c>
      <c r="H13" s="19" t="n">
        <v>17</v>
      </c>
      <c r="I13" s="19" t="inlineStr">
        <is>
          <t>EEE p.1</t>
        </is>
      </c>
      <c r="J13" s="21" t="inlineStr">
        <is>
          <t>★★★ High</t>
        </is>
      </c>
      <c r="K13" s="19" t="inlineStr">
        <is>
          <t>Numerical</t>
        </is>
      </c>
      <c r="L13" s="22" t="inlineStr">
        <is>
          <t>✔ Solved</t>
        </is>
      </c>
      <c r="M13" s="20" t="inlineStr">
        <is>
          <t>2023-24 1(b)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2023-24</t>
        </is>
      </c>
      <c r="C14" s="19" t="inlineStr">
        <is>
          <t>EEE 211</t>
        </is>
      </c>
      <c r="D14" s="19" t="inlineStr">
        <is>
          <t>2(a)</t>
        </is>
      </c>
      <c r="E14" s="20" t="inlineStr">
        <is>
          <t>Graphical convolution: x = rect on (1,2), h = triangle on (−1,1)</t>
        </is>
      </c>
      <c r="F14" s="20" t="inlineStr">
        <is>
          <t>Convolution practice, interconnections — Lec 4, sl. 2–52</t>
        </is>
      </c>
      <c r="G14" s="19" t="inlineStr">
        <is>
          <t>L9</t>
        </is>
      </c>
      <c r="H14" s="19" t="n">
        <v>18</v>
      </c>
      <c r="I14" s="19" t="inlineStr">
        <is>
          <t>EEE p.2</t>
        </is>
      </c>
      <c r="J14" s="21" t="inlineStr">
        <is>
          <t>★★★ High</t>
        </is>
      </c>
      <c r="K14" s="19" t="inlineStr">
        <is>
          <t>Numerical</t>
        </is>
      </c>
      <c r="L14" s="22" t="inlineStr">
        <is>
          <t>✔ Solved</t>
        </is>
      </c>
      <c r="M14" s="20" t="inlineStr">
        <is>
          <t>2022-23 7(b) (EEE); 2021-22 2(a) (EEE); 2020-21 6(b) (EEE); 2019-20 2 (EEE); 2018-19 7(b) (EEE)</t>
        </is>
      </c>
      <c r="N14" s="23" t="b">
        <v>0</v>
      </c>
      <c r="O14" s="19" t="n"/>
      <c r="P14" s="19" t="n"/>
      <c r="Q14" s="20" t="n"/>
    </row>
    <row r="15">
      <c r="A15" s="19" t="n">
        <v>12</v>
      </c>
      <c r="B15" s="19" t="inlineStr">
        <is>
          <t>2022-23</t>
        </is>
      </c>
      <c r="C15" s="19" t="inlineStr">
        <is>
          <t>EEE 211</t>
        </is>
      </c>
      <c r="D15" s="19" t="inlineStr">
        <is>
          <t>7(b)</t>
        </is>
      </c>
      <c r="E15" s="20" t="inlineStr">
        <is>
          <t>x(t) = h(t) = t[u(t)−u(t−1)]: y(t) for all t</t>
        </is>
      </c>
      <c r="F15" s="20" t="inlineStr">
        <is>
          <t>Convolution practice, interconnections — Lec 4, sl. 2–52</t>
        </is>
      </c>
      <c r="G15" s="19" t="inlineStr">
        <is>
          <t>L9</t>
        </is>
      </c>
      <c r="H15" s="19" t="n">
        <v>15</v>
      </c>
      <c r="I15" s="19" t="inlineStr">
        <is>
          <t>EEE p.11</t>
        </is>
      </c>
      <c r="J15" s="21" t="inlineStr">
        <is>
          <t>★★★ High</t>
        </is>
      </c>
      <c r="K15" s="19" t="inlineStr">
        <is>
          <t>Numerical</t>
        </is>
      </c>
      <c r="L15" s="22" t="inlineStr">
        <is>
          <t>✔ Solved</t>
        </is>
      </c>
      <c r="M15" s="20" t="inlineStr">
        <is>
          <t>2023-24 2(a) (EEE); 2021-22 2(a) (EEE); 2020-21 6(b) (EEE); 2019-20 2 (EEE); 2018-19 7(b) (EEE)</t>
        </is>
      </c>
      <c r="N15" s="23" t="b">
        <v>0</v>
      </c>
      <c r="O15" s="19" t="n"/>
      <c r="P15" s="19" t="n"/>
      <c r="Q15" s="20" t="n"/>
    </row>
    <row r="16">
      <c r="A16" s="19" t="n">
        <v>13</v>
      </c>
      <c r="B16" s="19" t="inlineStr">
        <is>
          <t>2022-23</t>
        </is>
      </c>
      <c r="C16" s="19" t="inlineStr">
        <is>
          <t>CSE 219</t>
        </is>
      </c>
      <c r="D16" s="19" t="inlineStr">
        <is>
          <t>8(a)</t>
        </is>
      </c>
      <c r="E16" s="20" t="inlineStr">
        <is>
          <t>Convolve x[n] = 3ⁿu[−n−1] + (1/3)ⁿu[n] with h[n] = (1/4)ⁿu[n+3]</t>
        </is>
      </c>
      <c r="F16" s="20" t="inlineStr">
        <is>
          <t>Convolution practice, interconnections — Lec 4, sl. 2–52</t>
        </is>
      </c>
      <c r="G16" s="19" t="inlineStr">
        <is>
          <t>L9</t>
        </is>
      </c>
      <c r="H16" s="19" t="n">
        <v>20</v>
      </c>
      <c r="I16" s="19" t="n">
        <v>5</v>
      </c>
      <c r="J16" s="21" t="inlineStr">
        <is>
          <t>★★★ High</t>
        </is>
      </c>
      <c r="K16" s="19" t="inlineStr">
        <is>
          <t>Numerical</t>
        </is>
      </c>
      <c r="L16" s="22" t="inlineStr">
        <is>
          <t>✔ Solved</t>
        </is>
      </c>
      <c r="M16" s="20" t="inlineStr">
        <is>
          <t>—</t>
        </is>
      </c>
      <c r="N16" s="23" t="b">
        <v>0</v>
      </c>
      <c r="O16" s="19" t="n"/>
      <c r="P16" s="19" t="n"/>
      <c r="Q16" s="20" t="n"/>
    </row>
    <row r="17">
      <c r="A17" s="19" t="n">
        <v>14</v>
      </c>
      <c r="B17" s="19" t="inlineStr">
        <is>
          <t>2021-22</t>
        </is>
      </c>
      <c r="C17" s="19" t="inlineStr">
        <is>
          <t>EEE 211</t>
        </is>
      </c>
      <c r="D17" s="19" t="inlineStr">
        <is>
          <t>2(a)</t>
        </is>
      </c>
      <c r="E17" s="20" t="inlineStr">
        <is>
          <t>Graphical convolution (triangle x, rectangle-plus-impulse h); analytic y</t>
        </is>
      </c>
      <c r="F17" s="20" t="inlineStr">
        <is>
          <t>Convolution practice, interconnections — Lec 4, sl. 2–52</t>
        </is>
      </c>
      <c r="G17" s="19" t="inlineStr">
        <is>
          <t>L9</t>
        </is>
      </c>
      <c r="H17" s="19" t="n">
        <v>17</v>
      </c>
      <c r="I17" s="19" t="inlineStr">
        <is>
          <t>EEE p.12</t>
        </is>
      </c>
      <c r="J17" s="21" t="inlineStr">
        <is>
          <t>★★★ High</t>
        </is>
      </c>
      <c r="K17" s="19" t="inlineStr">
        <is>
          <t>Numerical</t>
        </is>
      </c>
      <c r="L17" s="22" t="inlineStr">
        <is>
          <t>✔ Solved</t>
        </is>
      </c>
      <c r="M17" s="20" t="inlineStr">
        <is>
          <t>2023-24 2(a) (EEE); 2022-23 7(b) (EEE); 2020-21 6(b) (EEE); 2019-20 2 (EEE); 2018-19 7(b) (EEE)</t>
        </is>
      </c>
      <c r="N17" s="23" t="b">
        <v>0</v>
      </c>
      <c r="O17" s="19" t="n"/>
      <c r="P17" s="19" t="n"/>
      <c r="Q17" s="20" t="n"/>
    </row>
    <row r="18">
      <c r="A18" s="19" t="n">
        <v>15</v>
      </c>
      <c r="B18" s="19" t="inlineStr">
        <is>
          <t>2020-21</t>
        </is>
      </c>
      <c r="C18" s="19" t="inlineStr">
        <is>
          <t>EEE 211</t>
        </is>
      </c>
      <c r="D18" s="19" t="inlineStr">
        <is>
          <t>6(b)</t>
        </is>
      </c>
      <c r="E18" s="20" t="inlineStr">
        <is>
          <t>Graphical convolution x = rect(t/2), h = r(t)u(1−t)</t>
        </is>
      </c>
      <c r="F18" s="20" t="inlineStr">
        <is>
          <t>Convolution practice, interconnections — Lec 4, sl. 2–52</t>
        </is>
      </c>
      <c r="G18" s="19" t="inlineStr">
        <is>
          <t>L9</t>
        </is>
      </c>
      <c r="H18" s="19" t="n">
        <v>10</v>
      </c>
      <c r="I18" s="19" t="inlineStr">
        <is>
          <t>EEE p.20</t>
        </is>
      </c>
      <c r="J18" s="21" t="inlineStr">
        <is>
          <t>★★★ High</t>
        </is>
      </c>
      <c r="K18" s="19" t="inlineStr">
        <is>
          <t>Numerical</t>
        </is>
      </c>
      <c r="L18" s="22" t="inlineStr">
        <is>
          <t>✔ Solved</t>
        </is>
      </c>
      <c r="M18" s="20" t="inlineStr">
        <is>
          <t>2023-24 2(a) (EEE); 2022-23 7(b) (EEE); 2021-22 2(a) (EEE); 2019-20 2 (EEE); 2018-19 7(b) (EEE)</t>
        </is>
      </c>
      <c r="N18" s="23" t="b">
        <v>0</v>
      </c>
      <c r="O18" s="19" t="n"/>
      <c r="P18" s="19" t="n"/>
      <c r="Q18" s="20" t="n"/>
    </row>
    <row r="19">
      <c r="A19" s="19" t="n">
        <v>16</v>
      </c>
      <c r="B19" s="19" t="inlineStr">
        <is>
          <t>2019-20</t>
        </is>
      </c>
      <c r="C19" s="19" t="inlineStr">
        <is>
          <t>EEE 211</t>
        </is>
      </c>
      <c r="D19" s="19" t="inlineStr">
        <is>
          <t>2</t>
        </is>
      </c>
      <c r="E19" s="20" t="inlineStr">
        <is>
          <t>x = rect (0,2), h(t+1) = triangle: causal? y = x*h; what system does; z = x−x(t−4)</t>
        </is>
      </c>
      <c r="F19" s="20" t="inlineStr">
        <is>
          <t>Convolution practice, interconnections — Lec 4, sl. 2–52</t>
        </is>
      </c>
      <c r="G19" s="19" t="inlineStr">
        <is>
          <t>L9</t>
        </is>
      </c>
      <c r="H19" s="19" t="n">
        <v>35</v>
      </c>
      <c r="I19" s="19" t="inlineStr">
        <is>
          <t>EEE p.22–23</t>
        </is>
      </c>
      <c r="J19" s="21" t="inlineStr">
        <is>
          <t>★★★ High</t>
        </is>
      </c>
      <c r="K19" s="19" t="inlineStr">
        <is>
          <t>Numerical</t>
        </is>
      </c>
      <c r="L19" s="22" t="inlineStr">
        <is>
          <t>✔ Solved</t>
        </is>
      </c>
      <c r="M19" s="20" t="inlineStr">
        <is>
          <t>2023-24 2(a) (EEE); 2022-23 7(b) (EEE); 2021-22 2(a) (EEE); 2020-21 6(b) (EEE); 2018-19 7(b) (EEE)</t>
        </is>
      </c>
      <c r="N19" s="23" t="b">
        <v>0</v>
      </c>
      <c r="O19" s="19" t="n"/>
      <c r="P19" s="19" t="n"/>
      <c r="Q19" s="20" t="n"/>
    </row>
    <row r="20">
      <c r="A20" s="19" t="n">
        <v>17</v>
      </c>
      <c r="B20" s="19" t="inlineStr">
        <is>
          <t>2018-19</t>
        </is>
      </c>
      <c r="C20" s="19" t="inlineStr">
        <is>
          <t>EEE 211</t>
        </is>
      </c>
      <c r="D20" s="19" t="inlineStr">
        <is>
          <t>7(b)</t>
        </is>
      </c>
      <c r="E20" s="20" t="inlineStr">
        <is>
          <t>h = u(t)−u(t−1), x = t²[u(t)−u(t−3)]: graphical convolution</t>
        </is>
      </c>
      <c r="F20" s="20" t="inlineStr">
        <is>
          <t>Convolution practice, interconnections — Lec 4, sl. 2–52</t>
        </is>
      </c>
      <c r="G20" s="19" t="inlineStr">
        <is>
          <t>L9</t>
        </is>
      </c>
      <c r="H20" s="19" t="n">
        <v>15</v>
      </c>
      <c r="I20" s="19" t="inlineStr">
        <is>
          <t>EEE p.31</t>
        </is>
      </c>
      <c r="J20" s="24" t="inlineStr">
        <is>
          <t>★★ Medium</t>
        </is>
      </c>
      <c r="K20" s="19" t="inlineStr">
        <is>
          <t>Numerical</t>
        </is>
      </c>
      <c r="L20" s="22" t="inlineStr">
        <is>
          <t>✔ Solved</t>
        </is>
      </c>
      <c r="M20" s="20" t="inlineStr">
        <is>
          <t>2023-24 2(a) (EEE); 2022-23 7(b) (EEE); 2021-22 2(a) (EEE); 2020-21 6(b) (EEE); 2019-20 2 (EEE)</t>
        </is>
      </c>
      <c r="N20" s="23" t="b">
        <v>0</v>
      </c>
      <c r="O20" s="19" t="n"/>
      <c r="P20" s="19" t="n"/>
      <c r="Q20" s="20" t="n"/>
    </row>
    <row r="21">
      <c r="A21" s="26" t="n">
        <v>18</v>
      </c>
      <c r="B21" s="26" t="inlineStr">
        <is>
          <t>2023-24</t>
        </is>
      </c>
      <c r="C21" s="26" t="inlineStr">
        <is>
          <t>EEE 211</t>
        </is>
      </c>
      <c r="D21" s="26" t="inlineStr">
        <is>
          <t>2(b)</t>
        </is>
      </c>
      <c r="E21" s="6" t="inlineStr">
        <is>
          <t>Impulse response of a circuit in the time domain</t>
        </is>
      </c>
      <c r="F21" s="6" t="inlineStr">
        <is>
          <t>Causality and stability — Lec 4, sl. 53–69</t>
        </is>
      </c>
      <c r="G21" s="26" t="inlineStr">
        <is>
          <t>L10</t>
        </is>
      </c>
      <c r="H21" s="26" t="n">
        <v>17</v>
      </c>
      <c r="I21" s="26" t="inlineStr">
        <is>
          <t>EEE p.2</t>
        </is>
      </c>
      <c r="J21" s="21" t="inlineStr">
        <is>
          <t>★★★ High</t>
        </is>
      </c>
      <c r="K21" s="26" t="inlineStr">
        <is>
          <t>Numerical</t>
        </is>
      </c>
      <c r="L21" s="22" t="inlineStr">
        <is>
          <t>✔ Solved</t>
        </is>
      </c>
      <c r="M21" s="6" t="inlineStr">
        <is>
          <t>2020-21 6(c) (EEE)</t>
        </is>
      </c>
      <c r="N21" s="23" t="b">
        <v>0</v>
      </c>
      <c r="O21" s="26" t="n"/>
      <c r="P21" s="26" t="n"/>
      <c r="Q21" s="6" t="n"/>
    </row>
    <row r="22">
      <c r="A22" s="26" t="n">
        <v>19</v>
      </c>
      <c r="B22" s="26" t="inlineStr">
        <is>
          <t>2023-24</t>
        </is>
      </c>
      <c r="C22" s="26" t="inlineStr">
        <is>
          <t>CSE 219</t>
        </is>
      </c>
      <c r="D22" s="26" t="inlineStr">
        <is>
          <t>3(b)</t>
        </is>
      </c>
      <c r="E22" s="6" t="inlineStr">
        <is>
          <t>Causal? stable? e^{−4t}u(3−t), e^{−6|t|}, te^{−t}u(t)</t>
        </is>
      </c>
      <c r="F22" s="6" t="inlineStr">
        <is>
          <t>Causality and stability — Lec 4, sl. 53–69</t>
        </is>
      </c>
      <c r="G22" s="26" t="inlineStr">
        <is>
          <t>L10</t>
        </is>
      </c>
      <c r="H22" s="26" t="n">
        <v>15</v>
      </c>
      <c r="I22" s="26" t="inlineStr">
        <is>
          <t>22 batch p.2</t>
        </is>
      </c>
      <c r="J22" s="21" t="inlineStr">
        <is>
          <t>★★★ High</t>
        </is>
      </c>
      <c r="K22" s="26" t="inlineStr">
        <is>
          <t>Numerical</t>
        </is>
      </c>
      <c r="L22" s="22" t="inlineStr">
        <is>
          <t>✔ Solved</t>
        </is>
      </c>
      <c r="M22" s="6" t="inlineStr">
        <is>
          <t>2022-23 8(b)</t>
        </is>
      </c>
      <c r="N22" s="23" t="b">
        <v>0</v>
      </c>
      <c r="O22" s="26" t="n"/>
      <c r="P22" s="26" t="n"/>
      <c r="Q22" s="6" t="n"/>
    </row>
    <row r="23">
      <c r="A23" s="26" t="n">
        <v>20</v>
      </c>
      <c r="B23" s="26" t="inlineStr">
        <is>
          <t>2022-23</t>
        </is>
      </c>
      <c r="C23" s="26" t="inlineStr">
        <is>
          <t>CSE 219</t>
        </is>
      </c>
      <c r="D23" s="26" t="inlineStr">
        <is>
          <t>8(b)</t>
        </is>
      </c>
      <c r="E23" s="6" t="inlineStr">
        <is>
          <t>Causal? stable? h₁ = e^{2t}u(−2−t), h₂ = te^{−t}u(t)</t>
        </is>
      </c>
      <c r="F23" s="6" t="inlineStr">
        <is>
          <t>Causality and stability — Lec 4, sl. 53–69</t>
        </is>
      </c>
      <c r="G23" s="26" t="inlineStr">
        <is>
          <t>L10</t>
        </is>
      </c>
      <c r="H23" s="26" t="n">
        <v>10</v>
      </c>
      <c r="I23" s="26" t="n">
        <v>5</v>
      </c>
      <c r="J23" s="21" t="inlineStr">
        <is>
          <t>★★★ High</t>
        </is>
      </c>
      <c r="K23" s="26" t="inlineStr">
        <is>
          <t>Numerical</t>
        </is>
      </c>
      <c r="L23" s="22" t="inlineStr">
        <is>
          <t>✔ Solved</t>
        </is>
      </c>
      <c r="M23" s="6" t="inlineStr">
        <is>
          <t>2023-24 3(b)</t>
        </is>
      </c>
      <c r="N23" s="23" t="b">
        <v>0</v>
      </c>
      <c r="O23" s="26" t="n"/>
      <c r="P23" s="26" t="n"/>
      <c r="Q23" s="6" t="n"/>
    </row>
    <row r="24">
      <c r="A24" s="26" t="n">
        <v>21</v>
      </c>
      <c r="B24" s="26" t="inlineStr">
        <is>
          <t>2020-21</t>
        </is>
      </c>
      <c r="C24" s="26" t="inlineStr">
        <is>
          <t>EEE 211</t>
        </is>
      </c>
      <c r="D24" s="26" t="inlineStr">
        <is>
          <t>6(c)</t>
        </is>
      </c>
      <c r="E24" s="6" t="inlineStr">
        <is>
          <t>Series RC, output v_R: impulse response by time-domain analysis</t>
        </is>
      </c>
      <c r="F24" s="6" t="inlineStr">
        <is>
          <t>Causality and stability — Lec 4, sl. 53–69</t>
        </is>
      </c>
      <c r="G24" s="26" t="inlineStr">
        <is>
          <t>L10</t>
        </is>
      </c>
      <c r="H24" s="26" t="n">
        <v>10</v>
      </c>
      <c r="I24" s="26" t="inlineStr">
        <is>
          <t>EEE p.20</t>
        </is>
      </c>
      <c r="J24" s="21" t="inlineStr">
        <is>
          <t>★★★ High</t>
        </is>
      </c>
      <c r="K24" s="26" t="inlineStr">
        <is>
          <t>Numerical</t>
        </is>
      </c>
      <c r="L24" s="22" t="inlineStr">
        <is>
          <t>✔ Solved</t>
        </is>
      </c>
      <c r="M24" s="6" t="inlineStr">
        <is>
          <t>2023-24 2(b) (EEE)</t>
        </is>
      </c>
      <c r="N24" s="23" t="b">
        <v>0</v>
      </c>
      <c r="O24" s="26" t="n"/>
      <c r="P24" s="26" t="n"/>
      <c r="Q24" s="6" t="n"/>
    </row>
  </sheetData>
  <autoFilter ref="A3:Q24"/>
  <conditionalFormatting sqref="A4:Q24">
    <cfRule type="expression" priority="1" dxfId="0">
      <formula>$N4=TRUE</formula>
    </cfRule>
  </conditionalFormatting>
  <conditionalFormatting sqref="O4:O24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24" showDropDown="0" showInputMessage="0" showErrorMessage="0" allowBlank="1" type="list">
      <formula1>"TRUE,FALSE"</formula1>
    </dataValidation>
    <dataValidation sqref="O4:O24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5–6 — Fourier Series</t>
        </is>
      </c>
    </row>
    <row r="2">
      <c r="A2" s="2" t="inlineStr">
        <is>
          <t>Note file: CSE219_Anik_Fourier_Series_Notes.docx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EEE 211</t>
        </is>
      </c>
      <c r="D4" s="19" t="inlineStr">
        <is>
          <t>7(a)</t>
        </is>
      </c>
      <c r="E4" s="20" t="inlineStr">
        <is>
          <t>Three functions pairwise orthogonal on (−1,2); A for orthonormal</t>
        </is>
      </c>
      <c r="F4" s="20" t="inlineStr">
        <is>
          <t>Fourier series idea, orthogonality — Lec 5, sl. 2–23, 44–52</t>
        </is>
      </c>
      <c r="G4" s="19" t="inlineStr">
        <is>
          <t>L11</t>
        </is>
      </c>
      <c r="H4" s="19" t="n">
        <v>10</v>
      </c>
      <c r="I4" s="19" t="inlineStr">
        <is>
          <t>EEE p.4–5</t>
        </is>
      </c>
      <c r="J4" s="21" t="inlineStr">
        <is>
          <t>★★★ High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2021-22 3(b) (EEE); 2018-19 1(a) (EEE)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2021-22</t>
        </is>
      </c>
      <c r="C5" s="19" t="inlineStr">
        <is>
          <t>EEE 211</t>
        </is>
      </c>
      <c r="D5" s="19" t="inlineStr">
        <is>
          <t>3(b)</t>
        </is>
      </c>
      <c r="E5" s="20" t="inlineStr">
        <is>
          <t>Orthogonal set on (−2,2); orthonormalise; expand x = 1 on [0,2]; Parseval</t>
        </is>
      </c>
      <c r="F5" s="20" t="inlineStr">
        <is>
          <t>Fourier series idea, orthogonality — Lec 5, sl. 2–23, 44–52</t>
        </is>
      </c>
      <c r="G5" s="19" t="inlineStr">
        <is>
          <t>L11</t>
        </is>
      </c>
      <c r="H5" s="19" t="n">
        <v>15</v>
      </c>
      <c r="I5" s="19" t="inlineStr">
        <is>
          <t>EEE p.13</t>
        </is>
      </c>
      <c r="J5" s="21" t="inlineStr">
        <is>
          <t>★★★ High</t>
        </is>
      </c>
      <c r="K5" s="19" t="inlineStr">
        <is>
          <t>Numerical</t>
        </is>
      </c>
      <c r="L5" s="25" t="inlineStr">
        <is>
          <t>◐ Method</t>
        </is>
      </c>
      <c r="M5" s="20" t="inlineStr">
        <is>
          <t>2023-24 7(a) (EEE); 2018-19 1(a) (EEE)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2018-19</t>
        </is>
      </c>
      <c r="C6" s="19" t="inlineStr">
        <is>
          <t>EEE 211</t>
        </is>
      </c>
      <c r="D6" s="19" t="inlineStr">
        <is>
          <t>1(a)</t>
        </is>
      </c>
      <c r="E6" s="20" t="inlineStr">
        <is>
          <t>Orthogonality condition; e^{j2t}, e^{j4t} orthogonal on [0, π]?</t>
        </is>
      </c>
      <c r="F6" s="20" t="inlineStr">
        <is>
          <t>Fourier series idea, orthogonality — Lec 5, sl. 2–23, 44–52</t>
        </is>
      </c>
      <c r="G6" s="19" t="inlineStr">
        <is>
          <t>L11</t>
        </is>
      </c>
      <c r="H6" s="19" t="n">
        <v>10</v>
      </c>
      <c r="I6" s="19" t="inlineStr">
        <is>
          <t>EEE p.27</t>
        </is>
      </c>
      <c r="J6" s="24" t="inlineStr">
        <is>
          <t>★★ Medium</t>
        </is>
      </c>
      <c r="K6" s="19" t="inlineStr">
        <is>
          <t>Numerical</t>
        </is>
      </c>
      <c r="L6" s="22" t="inlineStr">
        <is>
          <t>✔ Solved</t>
        </is>
      </c>
      <c r="M6" s="20" t="inlineStr">
        <is>
          <t>2023-24 7(a) (EEE); 2021-22 3(b) (EEE)</t>
        </is>
      </c>
      <c r="N6" s="23" t="b">
        <v>0</v>
      </c>
      <c r="O6" s="19" t="n"/>
      <c r="P6" s="19" t="n"/>
      <c r="Q6" s="20" t="n"/>
    </row>
    <row r="7">
      <c r="A7" s="26" t="n">
        <v>4</v>
      </c>
      <c r="B7" s="26" t="inlineStr">
        <is>
          <t>2022-23</t>
        </is>
      </c>
      <c r="C7" s="26" t="inlineStr">
        <is>
          <t>EEE 211</t>
        </is>
      </c>
      <c r="D7" s="26" t="inlineStr">
        <is>
          <t>5(a)</t>
        </is>
      </c>
      <c r="E7" s="6" t="inlineStr">
        <is>
          <t>Compact trig FS of 2+3cos2t+4sin2t+2sin(3t+30°)−cos(7t+150°); amplitude spectrum</t>
        </is>
      </c>
      <c r="F7" s="6" t="inlineStr">
        <is>
          <t>Computing FS coefficients — Lec 5, sl. 24–43</t>
        </is>
      </c>
      <c r="G7" s="26" t="inlineStr">
        <is>
          <t>L12</t>
        </is>
      </c>
      <c r="H7" s="26" t="n">
        <v>10</v>
      </c>
      <c r="I7" s="26" t="inlineStr">
        <is>
          <t>EEE p.9</t>
        </is>
      </c>
      <c r="J7" s="21" t="inlineStr">
        <is>
          <t>★★★ High</t>
        </is>
      </c>
      <c r="K7" s="26" t="inlineStr">
        <is>
          <t>Numerical</t>
        </is>
      </c>
      <c r="L7" s="22" t="inlineStr">
        <is>
          <t>✔ Solved</t>
        </is>
      </c>
      <c r="M7" s="6" t="inlineStr">
        <is>
          <t>2020-21 2(b) (CSE 311); 2019-20 1(a) (CSE 311); 2018-19 1(b) (EEE)</t>
        </is>
      </c>
      <c r="N7" s="23" t="b">
        <v>0</v>
      </c>
      <c r="O7" s="26" t="n"/>
      <c r="P7" s="26" t="n"/>
      <c r="Q7" s="6" t="n"/>
    </row>
    <row r="8">
      <c r="A8" s="26" t="n">
        <v>5</v>
      </c>
      <c r="B8" s="26" t="inlineStr">
        <is>
          <t>2022-23</t>
        </is>
      </c>
      <c r="C8" s="26" t="inlineStr">
        <is>
          <t>EEE 211</t>
        </is>
      </c>
      <c r="D8" s="26" t="inlineStr">
        <is>
          <t>7(a)</t>
        </is>
      </c>
      <c r="E8" s="6" t="inlineStr">
        <is>
          <t>Exponential FS of the periodic waveform of Fig. 7(a)</t>
        </is>
      </c>
      <c r="F8" s="6" t="inlineStr">
        <is>
          <t>Computing FS coefficients — Lec 5, sl. 24–43</t>
        </is>
      </c>
      <c r="G8" s="26" t="inlineStr">
        <is>
          <t>L12</t>
        </is>
      </c>
      <c r="H8" s="26" t="n">
        <v>20</v>
      </c>
      <c r="I8" s="26" t="inlineStr">
        <is>
          <t>EEE p.11</t>
        </is>
      </c>
      <c r="J8" s="21" t="inlineStr">
        <is>
          <t>★★★ High</t>
        </is>
      </c>
      <c r="K8" s="26" t="inlineStr">
        <is>
          <t>Numerical</t>
        </is>
      </c>
      <c r="L8" s="25" t="inlineStr">
        <is>
          <t>◐ Method</t>
        </is>
      </c>
      <c r="M8" s="6" t="inlineStr">
        <is>
          <t>2019-20 8(b) (EEE)</t>
        </is>
      </c>
      <c r="N8" s="23" t="b">
        <v>0</v>
      </c>
      <c r="O8" s="26" t="n"/>
      <c r="P8" s="26" t="n"/>
      <c r="Q8" s="6" t="n"/>
    </row>
    <row r="9">
      <c r="A9" s="26" t="n">
        <v>6</v>
      </c>
      <c r="B9" s="26" t="inlineStr">
        <is>
          <t>2020-21</t>
        </is>
      </c>
      <c r="C9" s="26" t="inlineStr">
        <is>
          <t>CSE 311</t>
        </is>
      </c>
      <c r="D9" s="26" t="inlineStr">
        <is>
          <t>2(b)</t>
        </is>
      </c>
      <c r="E9" s="6" t="inlineStr">
        <is>
          <t>Exponential FS coefficients of sin 2πt and cos 2πt; need a full cycle?</t>
        </is>
      </c>
      <c r="F9" s="6" t="inlineStr">
        <is>
          <t>Computing FS coefficients — Lec 5, sl. 24–43</t>
        </is>
      </c>
      <c r="G9" s="26" t="inlineStr">
        <is>
          <t>L12</t>
        </is>
      </c>
      <c r="H9" s="26" t="n">
        <v>17</v>
      </c>
      <c r="I9" s="26" t="n">
        <v>12</v>
      </c>
      <c r="J9" s="21" t="inlineStr">
        <is>
          <t>★★★ High</t>
        </is>
      </c>
      <c r="K9" s="26" t="inlineStr">
        <is>
          <t>Numerical</t>
        </is>
      </c>
      <c r="L9" s="22" t="inlineStr">
        <is>
          <t>✔ Solved</t>
        </is>
      </c>
      <c r="M9" s="6" t="inlineStr">
        <is>
          <t>2019-20 1(a) (CSE 311); 2022-23 5(a) (EEE); 2018-19 1(b) (EEE)</t>
        </is>
      </c>
      <c r="N9" s="23" t="b">
        <v>0</v>
      </c>
      <c r="O9" s="26" t="n"/>
      <c r="P9" s="26" t="n"/>
      <c r="Q9" s="6" t="n"/>
    </row>
    <row r="10">
      <c r="A10" s="26" t="n">
        <v>7</v>
      </c>
      <c r="B10" s="26" t="inlineStr">
        <is>
          <t>2019-20</t>
        </is>
      </c>
      <c r="C10" s="26" t="inlineStr">
        <is>
          <t>CSE 311</t>
        </is>
      </c>
      <c r="D10" s="26" t="inlineStr">
        <is>
          <t>1(a)</t>
        </is>
      </c>
      <c r="E10" s="6" t="inlineStr">
        <is>
          <t>Why cos/sin 2πf₀t has a FS; are its exp. FS coefficients real or imaginary?</t>
        </is>
      </c>
      <c r="F10" s="6" t="inlineStr">
        <is>
          <t>Computing FS coefficients — Lec 5, sl. 24–43</t>
        </is>
      </c>
      <c r="G10" s="26" t="inlineStr">
        <is>
          <t>L12</t>
        </is>
      </c>
      <c r="H10" s="26" t="n">
        <v>17</v>
      </c>
      <c r="I10" s="26" t="n">
        <v>15</v>
      </c>
      <c r="J10" s="21" t="inlineStr">
        <is>
          <t>★★★ High</t>
        </is>
      </c>
      <c r="K10" s="26" t="inlineStr">
        <is>
          <t>Numerical</t>
        </is>
      </c>
      <c r="L10" s="22" t="inlineStr">
        <is>
          <t>✔ Solved</t>
        </is>
      </c>
      <c r="M10" s="6" t="inlineStr">
        <is>
          <t>2020-21 2(b) (CSE 311); 2022-23 5(a) (EEE); 2018-19 1(b) (EEE)</t>
        </is>
      </c>
      <c r="N10" s="23" t="b">
        <v>0</v>
      </c>
      <c r="O10" s="26" t="n"/>
      <c r="P10" s="26" t="n"/>
      <c r="Q10" s="6" t="n"/>
    </row>
    <row r="11">
      <c r="A11" s="26" t="n">
        <v>8</v>
      </c>
      <c r="B11" s="26" t="inlineStr">
        <is>
          <t>2019-20</t>
        </is>
      </c>
      <c r="C11" s="26" t="inlineStr">
        <is>
          <t>EEE 211</t>
        </is>
      </c>
      <c r="D11" s="26" t="inlineStr">
        <is>
          <t>8(b)</t>
        </is>
      </c>
      <c r="E11" s="6" t="inlineStr">
        <is>
          <t>Trig FS a₀, aₙ, bₙ of the triangular wave of Fig. 8(b)</t>
        </is>
      </c>
      <c r="F11" s="6" t="inlineStr">
        <is>
          <t>Computing FS coefficients — Lec 5, sl. 24–43</t>
        </is>
      </c>
      <c r="G11" s="26" t="inlineStr">
        <is>
          <t>L12</t>
        </is>
      </c>
      <c r="H11" s="26" t="n">
        <v>20</v>
      </c>
      <c r="I11" s="26" t="inlineStr">
        <is>
          <t>EEE p.26</t>
        </is>
      </c>
      <c r="J11" s="21" t="inlineStr">
        <is>
          <t>★★★ High</t>
        </is>
      </c>
      <c r="K11" s="26" t="inlineStr">
        <is>
          <t>Numerical</t>
        </is>
      </c>
      <c r="L11" s="22" t="inlineStr">
        <is>
          <t>✔ Solved</t>
        </is>
      </c>
      <c r="M11" s="6" t="inlineStr">
        <is>
          <t>2022-23 7(a) (EEE)</t>
        </is>
      </c>
      <c r="N11" s="23" t="b">
        <v>0</v>
      </c>
      <c r="O11" s="26" t="n"/>
      <c r="P11" s="26" t="n"/>
      <c r="Q11" s="6" t="n"/>
    </row>
    <row r="12">
      <c r="A12" s="26" t="n">
        <v>9</v>
      </c>
      <c r="B12" s="26" t="inlineStr">
        <is>
          <t>2018-19</t>
        </is>
      </c>
      <c r="C12" s="26" t="inlineStr">
        <is>
          <t>EEE 211</t>
        </is>
      </c>
      <c r="D12" s="26" t="inlineStr">
        <is>
          <t>1(b)</t>
        </is>
      </c>
      <c r="E12" s="6" t="inlineStr">
        <is>
          <t>x = 2+½cos(t+45°)+2cos3t−sin(4t+30°): exp FS; magnitude/phase spectra</t>
        </is>
      </c>
      <c r="F12" s="6" t="inlineStr">
        <is>
          <t>Computing FS coefficients — Lec 5, sl. 24–43</t>
        </is>
      </c>
      <c r="G12" s="26" t="inlineStr">
        <is>
          <t>L12</t>
        </is>
      </c>
      <c r="H12" s="26" t="n">
        <v>10</v>
      </c>
      <c r="I12" s="26" t="inlineStr">
        <is>
          <t>EEE p.27</t>
        </is>
      </c>
      <c r="J12" s="24" t="inlineStr">
        <is>
          <t>★★ Medium</t>
        </is>
      </c>
      <c r="K12" s="26" t="inlineStr">
        <is>
          <t>Numerical</t>
        </is>
      </c>
      <c r="L12" s="22" t="inlineStr">
        <is>
          <t>✔ Solved</t>
        </is>
      </c>
      <c r="M12" s="6" t="inlineStr">
        <is>
          <t>2020-21 2(b) (CSE 311); 2019-20 1(a) (CSE 311); 2022-23 5(a) (EEE)</t>
        </is>
      </c>
      <c r="N12" s="23" t="b">
        <v>0</v>
      </c>
      <c r="O12" s="26" t="n"/>
      <c r="P12" s="26" t="n"/>
      <c r="Q12" s="6" t="n"/>
    </row>
    <row r="13">
      <c r="A13" s="19" t="n">
        <v>10</v>
      </c>
      <c r="B13" s="19" t="inlineStr">
        <is>
          <t>2023-24</t>
        </is>
      </c>
      <c r="C13" s="19" t="inlineStr">
        <is>
          <t>CSE 219</t>
        </is>
      </c>
      <c r="D13" s="19" t="inlineStr">
        <is>
          <t>4(a)</t>
        </is>
      </c>
      <c r="E13" s="20" t="inlineStr">
        <is>
          <t>Odd square wave (±A), y = x(t−T₀/6): half-wave symmetry?</t>
        </is>
      </c>
      <c r="F13" s="20" t="inlineStr">
        <is>
          <t>FS properties and symmetry — Lec 6, sl. 2–35</t>
        </is>
      </c>
      <c r="G13" s="19" t="inlineStr">
        <is>
          <t>L13</t>
        </is>
      </c>
      <c r="H13" s="19" t="n">
        <v>5</v>
      </c>
      <c r="I13" s="19" t="inlineStr">
        <is>
          <t>22 batch p.2</t>
        </is>
      </c>
      <c r="J13" s="21" t="inlineStr">
        <is>
          <t>★★★ High</t>
        </is>
      </c>
      <c r="K13" s="19" t="inlineStr">
        <is>
          <t>Theory</t>
        </is>
      </c>
      <c r="L13" s="22" t="inlineStr">
        <is>
          <t>✔ Solved</t>
        </is>
      </c>
      <c r="M13" s="20" t="inlineStr">
        <is>
          <t>2022-23 1(a) (CSE 311); 2018-19 2(b) (CSE 311)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2023-24</t>
        </is>
      </c>
      <c r="C14" s="19" t="inlineStr">
        <is>
          <t>CSE 219</t>
        </is>
      </c>
      <c r="D14" s="19" t="inlineStr">
        <is>
          <t>4(b)–(d)</t>
        </is>
      </c>
      <c r="E14" s="20" t="inlineStr">
        <is>
          <t>Y_k of the shifted square wave; magnitude/phase spectra to k=5; compare with trig FS</t>
        </is>
      </c>
      <c r="F14" s="20" t="inlineStr">
        <is>
          <t>FS properties and symmetry — Lec 6, sl. 2–35</t>
        </is>
      </c>
      <c r="G14" s="19" t="inlineStr">
        <is>
          <t>L13</t>
        </is>
      </c>
      <c r="H14" s="19" t="n">
        <v>25</v>
      </c>
      <c r="I14" s="19" t="inlineStr">
        <is>
          <t>22 batch p.2</t>
        </is>
      </c>
      <c r="J14" s="21" t="inlineStr">
        <is>
          <t>★★★ High</t>
        </is>
      </c>
      <c r="K14" s="19" t="inlineStr">
        <is>
          <t>Numerical</t>
        </is>
      </c>
      <c r="L14" s="22" t="inlineStr">
        <is>
          <t>✔ Solved</t>
        </is>
      </c>
      <c r="M14" s="20" t="inlineStr">
        <is>
          <t>2022-23 5(d); 2020-21 7(a) (EEE)</t>
        </is>
      </c>
      <c r="N14" s="23" t="b">
        <v>0</v>
      </c>
      <c r="O14" s="19" t="n"/>
      <c r="P14" s="19" t="n"/>
      <c r="Q14" s="20" t="n"/>
    </row>
    <row r="15">
      <c r="A15" s="19" t="n">
        <v>12</v>
      </c>
      <c r="B15" s="19" t="inlineStr">
        <is>
          <t>2022-23</t>
        </is>
      </c>
      <c r="C15" s="19" t="inlineStr">
        <is>
          <t>CSE 311</t>
        </is>
      </c>
      <c r="D15" s="19" t="inlineStr">
        <is>
          <t>1(a)</t>
        </is>
      </c>
      <c r="E15" s="20" t="inlineStr">
        <is>
          <t>FS coefficients: even signal → real, odd → imaginary; cos 2πf₀t</t>
        </is>
      </c>
      <c r="F15" s="20" t="inlineStr">
        <is>
          <t>FS properties and symmetry — Lec 6, sl. 2–35</t>
        </is>
      </c>
      <c r="G15" s="19" t="inlineStr">
        <is>
          <t>L13</t>
        </is>
      </c>
      <c r="H15" s="19" t="n">
        <v>17</v>
      </c>
      <c r="I15" s="19" t="n">
        <v>6</v>
      </c>
      <c r="J15" s="21" t="inlineStr">
        <is>
          <t>★★★ High</t>
        </is>
      </c>
      <c r="K15" s="19" t="inlineStr">
        <is>
          <t>Proof</t>
        </is>
      </c>
      <c r="L15" s="22" t="inlineStr">
        <is>
          <t>✔ Solved</t>
        </is>
      </c>
      <c r="M15" s="20" t="inlineStr">
        <is>
          <t>2023-24 4(a); 2018-19 2(b) (CSE 311)</t>
        </is>
      </c>
      <c r="N15" s="23" t="b">
        <v>0</v>
      </c>
      <c r="O15" s="19" t="n"/>
      <c r="P15" s="19" t="n"/>
      <c r="Q15" s="20" t="n"/>
    </row>
    <row r="16">
      <c r="A16" s="19" t="n">
        <v>13</v>
      </c>
      <c r="B16" s="19" t="inlineStr">
        <is>
          <t>2022-23</t>
        </is>
      </c>
      <c r="C16" s="19" t="inlineStr">
        <is>
          <t>CSE 219</t>
        </is>
      </c>
      <c r="D16" s="19" t="inlineStr">
        <is>
          <t>5(d)</t>
        </is>
      </c>
      <c r="E16" s="20" t="inlineStr">
        <is>
          <t>x(t) = Σ_{k=0}^{100} (½)^k e^{jk2πt/50}: real-valued? even?</t>
        </is>
      </c>
      <c r="F16" s="20" t="inlineStr">
        <is>
          <t>FS properties and symmetry — Lec 6, sl. 2–35</t>
        </is>
      </c>
      <c r="G16" s="19" t="inlineStr">
        <is>
          <t>L13</t>
        </is>
      </c>
      <c r="H16" s="19" t="n">
        <v>5</v>
      </c>
      <c r="I16" s="19" t="n">
        <v>3</v>
      </c>
      <c r="J16" s="21" t="inlineStr">
        <is>
          <t>★★★ High</t>
        </is>
      </c>
      <c r="K16" s="19" t="inlineStr">
        <is>
          <t>Theory</t>
        </is>
      </c>
      <c r="L16" s="22" t="inlineStr">
        <is>
          <t>✔ Solved</t>
        </is>
      </c>
      <c r="M16" s="20" t="inlineStr">
        <is>
          <t>2023-24 4(b)–(d); 2020-21 7(a) (EEE)</t>
        </is>
      </c>
      <c r="N16" s="23" t="b">
        <v>0</v>
      </c>
      <c r="O16" s="19" t="n"/>
      <c r="P16" s="19" t="n"/>
      <c r="Q16" s="20" t="n"/>
    </row>
    <row r="17">
      <c r="A17" s="19" t="n">
        <v>14</v>
      </c>
      <c r="B17" s="19" t="inlineStr">
        <is>
          <t>2018-19</t>
        </is>
      </c>
      <c r="C17" s="19" t="inlineStr">
        <is>
          <t>CSE 311</t>
        </is>
      </c>
      <c r="D17" s="19" t="inlineStr">
        <is>
          <t>2(b)</t>
        </is>
      </c>
      <c r="E17" s="20" t="inlineStr">
        <is>
          <t>Even → real, odd → imaginary FS coefficients; half-cycle integration</t>
        </is>
      </c>
      <c r="F17" s="20" t="inlineStr">
        <is>
          <t>FS properties and symmetry — Lec 6, sl. 2–35</t>
        </is>
      </c>
      <c r="G17" s="19" t="inlineStr">
        <is>
          <t>L13</t>
        </is>
      </c>
      <c r="H17" s="19" t="n">
        <v>15</v>
      </c>
      <c r="I17" s="19" t="n">
        <v>18</v>
      </c>
      <c r="J17" s="24" t="inlineStr">
        <is>
          <t>★★ Medium</t>
        </is>
      </c>
      <c r="K17" s="19" t="inlineStr">
        <is>
          <t>Proof</t>
        </is>
      </c>
      <c r="L17" s="22" t="inlineStr">
        <is>
          <t>✔ Solved</t>
        </is>
      </c>
      <c r="M17" s="20" t="inlineStr">
        <is>
          <t>2023-24 4(a); 2022-23 1(a) (CSE 311)</t>
        </is>
      </c>
      <c r="N17" s="23" t="b">
        <v>0</v>
      </c>
      <c r="O17" s="19" t="n"/>
      <c r="P17" s="19" t="n"/>
      <c r="Q17" s="20" t="n"/>
    </row>
    <row r="18">
      <c r="A18" s="26" t="n">
        <v>15</v>
      </c>
      <c r="B18" s="26" t="inlineStr">
        <is>
          <t>2022-23</t>
        </is>
      </c>
      <c r="C18" s="26" t="inlineStr">
        <is>
          <t>EEE 211</t>
        </is>
      </c>
      <c r="D18" s="26" t="inlineStr">
        <is>
          <t>8(a)</t>
        </is>
      </c>
      <c r="E18" s="6" t="inlineStr">
        <is>
          <t>Trig FS of the impulse train δ_{T0}(t); amplitude spectrum</t>
        </is>
      </c>
      <c r="F18" s="6" t="inlineStr">
        <is>
          <t>FS differentiation, impulse trains — Lec 6, sl. 36–72</t>
        </is>
      </c>
      <c r="G18" s="26" t="inlineStr">
        <is>
          <t>L14</t>
        </is>
      </c>
      <c r="H18" s="26" t="n">
        <v>20</v>
      </c>
      <c r="I18" s="26" t="inlineStr">
        <is>
          <t>EEE p.11</t>
        </is>
      </c>
      <c r="J18" s="21" t="inlineStr">
        <is>
          <t>★★★ High</t>
        </is>
      </c>
      <c r="K18" s="26" t="inlineStr">
        <is>
          <t>Numerical</t>
        </is>
      </c>
      <c r="L18" s="22" t="inlineStr">
        <is>
          <t>✔ Solved</t>
        </is>
      </c>
      <c r="M18" s="6" t="inlineStr">
        <is>
          <t>2019-20 7(a) (EEE)</t>
        </is>
      </c>
      <c r="N18" s="23" t="b">
        <v>0</v>
      </c>
      <c r="O18" s="26" t="n"/>
      <c r="P18" s="26" t="n"/>
      <c r="Q18" s="6" t="n"/>
    </row>
    <row r="19">
      <c r="A19" s="26" t="n">
        <v>16</v>
      </c>
      <c r="B19" s="26" t="inlineStr">
        <is>
          <t>2020-21</t>
        </is>
      </c>
      <c r="C19" s="26" t="inlineStr">
        <is>
          <t>EEE 211</t>
        </is>
      </c>
      <c r="D19" s="26" t="inlineStr">
        <is>
          <t>7(a)</t>
        </is>
      </c>
      <c r="E19" s="6" t="inlineStr">
        <is>
          <t>Triangle wave x: exp FS; y (rect train) via FS properties; amplitude spectra</t>
        </is>
      </c>
      <c r="F19" s="6" t="inlineStr">
        <is>
          <t>FS differentiation, impulse trains — Lec 6, sl. 36–72</t>
        </is>
      </c>
      <c r="G19" s="26" t="inlineStr">
        <is>
          <t>L14</t>
        </is>
      </c>
      <c r="H19" s="26" t="n">
        <v>20</v>
      </c>
      <c r="I19" s="26" t="inlineStr">
        <is>
          <t>EEE p.20</t>
        </is>
      </c>
      <c r="J19" s="21" t="inlineStr">
        <is>
          <t>★★★ High</t>
        </is>
      </c>
      <c r="K19" s="26" t="inlineStr">
        <is>
          <t>Numerical</t>
        </is>
      </c>
      <c r="L19" s="22" t="inlineStr">
        <is>
          <t>✔ Solved</t>
        </is>
      </c>
      <c r="M19" s="6" t="inlineStr">
        <is>
          <t>2022-23 5(d); 2023-24 4(b)–(d)</t>
        </is>
      </c>
      <c r="N19" s="23" t="b">
        <v>0</v>
      </c>
      <c r="O19" s="26" t="n"/>
      <c r="P19" s="26" t="n"/>
      <c r="Q19" s="6" t="n"/>
    </row>
    <row r="20">
      <c r="A20" s="26" t="n">
        <v>17</v>
      </c>
      <c r="B20" s="26" t="inlineStr">
        <is>
          <t>2019-20</t>
        </is>
      </c>
      <c r="C20" s="26" t="inlineStr">
        <is>
          <t>EEE 211</t>
        </is>
      </c>
      <c r="D20" s="26" t="inlineStr">
        <is>
          <t>7(a)</t>
        </is>
      </c>
      <c r="E20" s="6" t="inlineStr">
        <is>
          <t>Exponential FS of the two impulse trains of Fig. 7(a)</t>
        </is>
      </c>
      <c r="F20" s="6" t="inlineStr">
        <is>
          <t>FS differentiation, impulse trains — Lec 6, sl. 36–72</t>
        </is>
      </c>
      <c r="G20" s="26" t="inlineStr">
        <is>
          <t>L14</t>
        </is>
      </c>
      <c r="H20" s="26" t="n">
        <v>15</v>
      </c>
      <c r="I20" s="26" t="inlineStr">
        <is>
          <t>EEE p.25</t>
        </is>
      </c>
      <c r="J20" s="21" t="inlineStr">
        <is>
          <t>★★★ High</t>
        </is>
      </c>
      <c r="K20" s="26" t="inlineStr">
        <is>
          <t>Numerical</t>
        </is>
      </c>
      <c r="L20" s="22" t="inlineStr">
        <is>
          <t>✔ Solved</t>
        </is>
      </c>
      <c r="M20" s="6" t="inlineStr">
        <is>
          <t>2022-23 8(a) (EEE)</t>
        </is>
      </c>
      <c r="N20" s="23" t="b">
        <v>0</v>
      </c>
      <c r="O20" s="26" t="n"/>
      <c r="P20" s="26" t="n"/>
      <c r="Q20" s="6" t="n"/>
    </row>
    <row r="21">
      <c r="A21" s="19" t="n">
        <v>18</v>
      </c>
      <c r="B21" s="19" t="inlineStr">
        <is>
          <t>2023-24</t>
        </is>
      </c>
      <c r="C21" s="19" t="inlineStr">
        <is>
          <t>EEE 211</t>
        </is>
      </c>
      <c r="D21" s="19" t="inlineStr">
        <is>
          <t>7(b)</t>
        </is>
      </c>
      <c r="E21" s="20" t="inlineStr">
        <is>
          <t>Half-wave rectified sine (T=0.5 ms) → differentiator &amp; LPF (1 kHz, gain 5): FS of y₁, y₂(t)</t>
        </is>
      </c>
      <c r="F21" s="20" t="inlineStr">
        <is>
          <t>FS multiplication, Parseval, LTI input — Lec 6, sl. 73–81</t>
        </is>
      </c>
      <c r="G21" s="19" t="inlineStr">
        <is>
          <t>L15</t>
        </is>
      </c>
      <c r="H21" s="19" t="n">
        <v>25</v>
      </c>
      <c r="I21" s="19" t="inlineStr">
        <is>
          <t>EEE p.5</t>
        </is>
      </c>
      <c r="J21" s="21" t="inlineStr">
        <is>
          <t>★★★ High</t>
        </is>
      </c>
      <c r="K21" s="19" t="inlineStr">
        <is>
          <t>Numerical</t>
        </is>
      </c>
      <c r="L21" s="22" t="inlineStr">
        <is>
          <t>✔ Solved</t>
        </is>
      </c>
      <c r="M21" s="20" t="inlineStr">
        <is>
          <t>2021-22 3(a) (EEE); 2020-21 7(b) (EEE); 2019-20 5(b) (EEE); 2018-19 1(c) (EEE); 2018-19 3(c) (EEE)</t>
        </is>
      </c>
      <c r="N21" s="23" t="b">
        <v>0</v>
      </c>
      <c r="O21" s="19" t="n"/>
      <c r="P21" s="19" t="n"/>
      <c r="Q21" s="20" t="n"/>
    </row>
    <row r="22">
      <c r="A22" s="19" t="n">
        <v>19</v>
      </c>
      <c r="B22" s="19" t="inlineStr">
        <is>
          <t>2021-22</t>
        </is>
      </c>
      <c r="C22" s="19" t="inlineStr">
        <is>
          <t>EEE 211</t>
        </is>
      </c>
      <c r="D22" s="19" t="inlineStr">
        <is>
          <t>3(a)</t>
        </is>
      </c>
      <c r="E22" s="20" t="inlineStr">
        <is>
          <t>Periodic x (T=4) = δ(t−1)+2[u(t−2)−u(t−4)] into LC–R circuit: spectra of x and y</t>
        </is>
      </c>
      <c r="F22" s="20" t="inlineStr">
        <is>
          <t>FS multiplication, Parseval, LTI input — Lec 6, sl. 73–81</t>
        </is>
      </c>
      <c r="G22" s="19" t="inlineStr">
        <is>
          <t>L15</t>
        </is>
      </c>
      <c r="H22" s="19" t="n">
        <v>20</v>
      </c>
      <c r="I22" s="19" t="inlineStr">
        <is>
          <t>EEE p.13</t>
        </is>
      </c>
      <c r="J22" s="21" t="inlineStr">
        <is>
          <t>★★★ High</t>
        </is>
      </c>
      <c r="K22" s="19" t="inlineStr">
        <is>
          <t>Numerical</t>
        </is>
      </c>
      <c r="L22" s="22" t="inlineStr">
        <is>
          <t>✔ Solved</t>
        </is>
      </c>
      <c r="M22" s="20" t="inlineStr">
        <is>
          <t>2023-24 7(b) (EEE); 2020-21 7(b) (EEE); 2019-20 5(b) (EEE); 2018-19 1(c) (EEE); 2018-19 3(c) (EEE)</t>
        </is>
      </c>
      <c r="N22" s="23" t="b">
        <v>0</v>
      </c>
      <c r="O22" s="19" t="n"/>
      <c r="P22" s="19" t="n"/>
      <c r="Q22" s="20" t="n"/>
    </row>
    <row r="23">
      <c r="A23" s="19" t="n">
        <v>20</v>
      </c>
      <c r="B23" s="19" t="inlineStr">
        <is>
          <t>2020-21</t>
        </is>
      </c>
      <c r="C23" s="19" t="inlineStr">
        <is>
          <t>EEE 211</t>
        </is>
      </c>
      <c r="D23" s="19" t="inlineStr">
        <is>
          <t>7(b)</t>
        </is>
      </c>
      <c r="E23" s="20" t="inlineStr">
        <is>
          <t>y''+3y'+2y = x'+x, x = 2cos t + 6cos 3t: spectra of y; average power</t>
        </is>
      </c>
      <c r="F23" s="20" t="inlineStr">
        <is>
          <t>FS multiplication, Parseval, LTI input — Lec 6, sl. 73–81</t>
        </is>
      </c>
      <c r="G23" s="19" t="inlineStr">
        <is>
          <t>L15</t>
        </is>
      </c>
      <c r="H23" s="19" t="n">
        <v>15</v>
      </c>
      <c r="I23" s="19" t="inlineStr">
        <is>
          <t>EEE p.20</t>
        </is>
      </c>
      <c r="J23" s="21" t="inlineStr">
        <is>
          <t>★★★ High</t>
        </is>
      </c>
      <c r="K23" s="19" t="inlineStr">
        <is>
          <t>Numerical</t>
        </is>
      </c>
      <c r="L23" s="22" t="inlineStr">
        <is>
          <t>✔ Solved</t>
        </is>
      </c>
      <c r="M23" s="20" t="inlineStr">
        <is>
          <t>2023-24 7(b) (EEE); 2021-22 3(a) (EEE); 2019-20 5(b) (EEE); 2018-19 1(c) (EEE); 2018-19 3(c) (EEE)</t>
        </is>
      </c>
      <c r="N23" s="23" t="b">
        <v>0</v>
      </c>
      <c r="O23" s="19" t="n"/>
      <c r="P23" s="19" t="n"/>
      <c r="Q23" s="20" t="n"/>
    </row>
    <row r="24">
      <c r="A24" s="19" t="n">
        <v>21</v>
      </c>
      <c r="B24" s="19" t="inlineStr">
        <is>
          <t>2019-20</t>
        </is>
      </c>
      <c r="C24" s="19" t="inlineStr">
        <is>
          <t>EEE 211</t>
        </is>
      </c>
      <c r="D24" s="19" t="inlineStr">
        <is>
          <t>5(b)</t>
        </is>
      </c>
      <c r="E24" s="20" t="inlineStr">
        <is>
          <t>Full-wave rectified sin t into RC low-pass (15 Ω, 1/5 F): H(ω), y(t)</t>
        </is>
      </c>
      <c r="F24" s="20" t="inlineStr">
        <is>
          <t>FS multiplication, Parseval, LTI input — Lec 6, sl. 73–81</t>
        </is>
      </c>
      <c r="G24" s="19" t="inlineStr">
        <is>
          <t>L15</t>
        </is>
      </c>
      <c r="H24" s="19" t="n">
        <v>20</v>
      </c>
      <c r="I24" s="19" t="inlineStr">
        <is>
          <t>EEE p.24</t>
        </is>
      </c>
      <c r="J24" s="21" t="inlineStr">
        <is>
          <t>★★★ High</t>
        </is>
      </c>
      <c r="K24" s="19" t="inlineStr">
        <is>
          <t>Numerical</t>
        </is>
      </c>
      <c r="L24" s="22" t="inlineStr">
        <is>
          <t>✔ Solved</t>
        </is>
      </c>
      <c r="M24" s="20" t="inlineStr">
        <is>
          <t>2023-24 7(b) (EEE); 2021-22 3(a) (EEE); 2020-21 7(b) (EEE); 2018-19 1(c) (EEE); 2018-19 3(c) (EEE)</t>
        </is>
      </c>
      <c r="N24" s="23" t="b">
        <v>0</v>
      </c>
      <c r="O24" s="19" t="n"/>
      <c r="P24" s="19" t="n"/>
      <c r="Q24" s="20" t="n"/>
    </row>
    <row r="25">
      <c r="A25" s="19" t="n">
        <v>22</v>
      </c>
      <c r="B25" s="19" t="inlineStr">
        <is>
          <t>2018-19</t>
        </is>
      </c>
      <c r="C25" s="19" t="inlineStr">
        <is>
          <t>EEE 211</t>
        </is>
      </c>
      <c r="D25" s="19" t="inlineStr">
        <is>
          <t>1(c)</t>
        </is>
      </c>
      <c r="E25" s="20" t="inlineStr">
        <is>
          <t>Triangular wave (T=4, A=4) into R = 100 Ω + L = 0.1 H: power in R</t>
        </is>
      </c>
      <c r="F25" s="20" t="inlineStr">
        <is>
          <t>FS multiplication, Parseval, LTI input — Lec 6, sl. 73–81</t>
        </is>
      </c>
      <c r="G25" s="19" t="inlineStr">
        <is>
          <t>L15</t>
        </is>
      </c>
      <c r="H25" s="19" t="n">
        <v>15</v>
      </c>
      <c r="I25" s="19" t="inlineStr">
        <is>
          <t>EEE p.27</t>
        </is>
      </c>
      <c r="J25" s="24" t="inlineStr">
        <is>
          <t>★★ Medium</t>
        </is>
      </c>
      <c r="K25" s="19" t="inlineStr">
        <is>
          <t>Numerical</t>
        </is>
      </c>
      <c r="L25" s="25" t="inlineStr">
        <is>
          <t>◐ Method</t>
        </is>
      </c>
      <c r="M25" s="20" t="inlineStr">
        <is>
          <t>2023-24 7(b) (EEE); 2021-22 3(a) (EEE); 2020-21 7(b) (EEE); 2019-20 5(b) (EEE); 2018-19 3(c) (EEE)</t>
        </is>
      </c>
      <c r="N25" s="23" t="b">
        <v>0</v>
      </c>
      <c r="O25" s="19" t="n"/>
      <c r="P25" s="19" t="n"/>
      <c r="Q25" s="20" t="n"/>
    </row>
    <row r="26">
      <c r="A26" s="19" t="n">
        <v>23</v>
      </c>
      <c r="B26" s="19" t="inlineStr">
        <is>
          <t>2018-19</t>
        </is>
      </c>
      <c r="C26" s="19" t="inlineStr">
        <is>
          <t>EEE 211</t>
        </is>
      </c>
      <c r="D26" s="19" t="inlineStr">
        <is>
          <t>3(c)</t>
        </is>
      </c>
      <c r="E26" s="20" t="inlineStr">
        <is>
          <t>C_n = 1 (odd n), T = 2, through band-pass H with ±π/2 phase: h(t), output</t>
        </is>
      </c>
      <c r="F26" s="20" t="inlineStr">
        <is>
          <t>FS multiplication, Parseval, LTI input — Lec 6, sl. 73–81</t>
        </is>
      </c>
      <c r="G26" s="19" t="inlineStr">
        <is>
          <t>L15</t>
        </is>
      </c>
      <c r="H26" s="19" t="n">
        <v>15</v>
      </c>
      <c r="I26" s="19" t="inlineStr">
        <is>
          <t>EEE p.28</t>
        </is>
      </c>
      <c r="J26" s="24" t="inlineStr">
        <is>
          <t>★★ Medium</t>
        </is>
      </c>
      <c r="K26" s="19" t="inlineStr">
        <is>
          <t>Numerical</t>
        </is>
      </c>
      <c r="L26" s="25" t="inlineStr">
        <is>
          <t>◐ Method</t>
        </is>
      </c>
      <c r="M26" s="20" t="inlineStr">
        <is>
          <t>2023-24 7(b) (EEE); 2021-22 3(a) (EEE); 2020-21 7(b) (EEE); 2019-20 5(b) (EEE); 2018-19 1(c) (EEE)</t>
        </is>
      </c>
      <c r="N26" s="23" t="b">
        <v>0</v>
      </c>
      <c r="O26" s="19" t="n"/>
      <c r="P26" s="19" t="n"/>
      <c r="Q26" s="20" t="n"/>
    </row>
  </sheetData>
  <autoFilter ref="A3:Q26"/>
  <conditionalFormatting sqref="A4:Q26">
    <cfRule type="expression" priority="1" dxfId="0">
      <formula>$N4=TRUE</formula>
    </cfRule>
  </conditionalFormatting>
  <conditionalFormatting sqref="O4:O26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26" showDropDown="0" showInputMessage="0" showErrorMessage="0" allowBlank="1" type="list">
      <formula1>"TRUE,FALSE"</formula1>
    </dataValidation>
    <dataValidation sqref="O4:O26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4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7 — Fourier Transform</t>
        </is>
      </c>
    </row>
    <row r="2">
      <c r="A2" s="2" t="inlineStr">
        <is>
          <t>Note file: CSE219_Anik_Fourier_Transform_Notes.docx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EEE 211</t>
        </is>
      </c>
      <c r="D4" s="19" t="inlineStr">
        <is>
          <t>6(a)</t>
        </is>
      </c>
      <c r="E4" s="20" t="inlineStr">
        <is>
          <t>FT of the periodic impulse signal of Fig. 6(a); amplitude &amp; phase spectra</t>
        </is>
      </c>
      <c r="F4" s="20" t="inlineStr">
        <is>
          <t>From FS to FT — Lec 7, sl. 2–18</t>
        </is>
      </c>
      <c r="G4" s="19" t="inlineStr">
        <is>
          <t>L16</t>
        </is>
      </c>
      <c r="H4" s="19" t="n">
        <v>15</v>
      </c>
      <c r="I4" s="19" t="inlineStr">
        <is>
          <t>EEE p.4</t>
        </is>
      </c>
      <c r="J4" s="21" t="inlineStr">
        <is>
          <t>★★★ High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2021-22 1(a) (CSE 311); 2021-22 5(a) (EEE)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2021-22</t>
        </is>
      </c>
      <c r="C5" s="19" t="inlineStr">
        <is>
          <t>CSE 311</t>
        </is>
      </c>
      <c r="D5" s="19" t="inlineStr">
        <is>
          <t>1(a)</t>
        </is>
      </c>
      <c r="E5" s="20" t="inlineStr">
        <is>
          <t>FT of gate of width B and exp. FS of the periodic gate (period 2B); relate</t>
        </is>
      </c>
      <c r="F5" s="20" t="inlineStr">
        <is>
          <t>From FS to FT — Lec 7, sl. 2–18</t>
        </is>
      </c>
      <c r="G5" s="19" t="inlineStr">
        <is>
          <t>L16</t>
        </is>
      </c>
      <c r="H5" s="19" t="n">
        <v>20</v>
      </c>
      <c r="I5" s="19" t="n">
        <v>8</v>
      </c>
      <c r="J5" s="21" t="inlineStr">
        <is>
          <t>★★★ High</t>
        </is>
      </c>
      <c r="K5" s="19" t="inlineStr">
        <is>
          <t>Numerical</t>
        </is>
      </c>
      <c r="L5" s="22" t="inlineStr">
        <is>
          <t>✔ Solved</t>
        </is>
      </c>
      <c r="M5" s="20" t="inlineStr">
        <is>
          <t>2023-24 6(a) (EEE); 2021-22 5(a) (EEE)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2021-22</t>
        </is>
      </c>
      <c r="C6" s="19" t="inlineStr">
        <is>
          <t>EEE 211</t>
        </is>
      </c>
      <c r="D6" s="19" t="inlineStr">
        <is>
          <t>5(a)</t>
        </is>
      </c>
      <c r="E6" s="20" t="inlineStr">
        <is>
          <t>Derive the FT as the T → ∞ limit of the FS</t>
        </is>
      </c>
      <c r="F6" s="20" t="inlineStr">
        <is>
          <t>From FS to FT — Lec 7, sl. 2–18</t>
        </is>
      </c>
      <c r="G6" s="19" t="inlineStr">
        <is>
          <t>L16</t>
        </is>
      </c>
      <c r="H6" s="19" t="n">
        <v>18</v>
      </c>
      <c r="I6" s="19" t="inlineStr">
        <is>
          <t>EEE p.14</t>
        </is>
      </c>
      <c r="J6" s="21" t="inlineStr">
        <is>
          <t>★★★ High</t>
        </is>
      </c>
      <c r="K6" s="19" t="inlineStr">
        <is>
          <t>Derivation</t>
        </is>
      </c>
      <c r="L6" s="22" t="inlineStr">
        <is>
          <t>✔ Solved</t>
        </is>
      </c>
      <c r="M6" s="20" t="inlineStr">
        <is>
          <t>2021-22 1(a) (CSE 311); 2023-24 6(a) (EEE)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2020-21</t>
        </is>
      </c>
      <c r="C7" s="19" t="inlineStr">
        <is>
          <t>CSE 311</t>
        </is>
      </c>
      <c r="D7" s="19" t="inlineStr">
        <is>
          <t>3(b)</t>
        </is>
      </c>
      <c r="E7" s="20" t="inlineStr">
        <is>
          <t>Dirichlet conditions; are they necessary? example</t>
        </is>
      </c>
      <c r="F7" s="20" t="inlineStr">
        <is>
          <t>From FS to FT — Lec 7, sl. 2–18</t>
        </is>
      </c>
      <c r="G7" s="19" t="inlineStr">
        <is>
          <t>L16</t>
        </is>
      </c>
      <c r="H7" s="19" t="n">
        <v>11</v>
      </c>
      <c r="I7" s="19" t="n">
        <v>12</v>
      </c>
      <c r="J7" s="21" t="inlineStr">
        <is>
          <t>★★★ High</t>
        </is>
      </c>
      <c r="K7" s="19" t="inlineStr">
        <is>
          <t>Theory</t>
        </is>
      </c>
      <c r="L7" s="22" t="inlineStr">
        <is>
          <t>✔ Solved</t>
        </is>
      </c>
      <c r="M7" s="20" t="inlineStr">
        <is>
          <t>—</t>
        </is>
      </c>
      <c r="N7" s="23" t="b">
        <v>0</v>
      </c>
      <c r="O7" s="19" t="n"/>
      <c r="P7" s="19" t="n"/>
      <c r="Q7" s="20" t="n"/>
    </row>
    <row r="8">
      <c r="A8" s="26" t="n">
        <v>5</v>
      </c>
      <c r="B8" s="26" t="inlineStr">
        <is>
          <t>2023-24</t>
        </is>
      </c>
      <c r="C8" s="26" t="inlineStr">
        <is>
          <t>CSE 219</t>
        </is>
      </c>
      <c r="D8" s="26" t="inlineStr">
        <is>
          <t>1(c)</t>
        </is>
      </c>
      <c r="E8" s="6" t="inlineStr">
        <is>
          <t>FT of rect(t); FT of rect((t−τ)/T)·cos 2πf₀t</t>
        </is>
      </c>
      <c r="F8" s="6" t="inlineStr">
        <is>
          <t>Rectangles, shifts, modulation — Lec 7, sl. 19–44</t>
        </is>
      </c>
      <c r="G8" s="26" t="inlineStr">
        <is>
          <t>L17</t>
        </is>
      </c>
      <c r="H8" s="26" t="n">
        <v>15</v>
      </c>
      <c r="I8" s="26" t="inlineStr">
        <is>
          <t>22 batch p.2</t>
        </is>
      </c>
      <c r="J8" s="21" t="inlineStr">
        <is>
          <t>★★★ High</t>
        </is>
      </c>
      <c r="K8" s="26" t="inlineStr">
        <is>
          <t>Numerical</t>
        </is>
      </c>
      <c r="L8" s="22" t="inlineStr">
        <is>
          <t>✔ Solved</t>
        </is>
      </c>
      <c r="M8" s="6" t="inlineStr">
        <is>
          <t>2018-19 4(a) (CSE 311); 2023-24 5(a) (EEE); 2022-23 2(b) (EEE); 2022-23 4(a) (EEE); 2021-22 6(a) (EEE); 2020-21 1(b) (EEE); 2018-19 2(c) (EEE)</t>
        </is>
      </c>
      <c r="N8" s="23" t="b">
        <v>0</v>
      </c>
      <c r="O8" s="26" t="n"/>
      <c r="P8" s="26" t="n"/>
      <c r="Q8" s="6" t="n"/>
    </row>
    <row r="9">
      <c r="A9" s="26" t="n">
        <v>6</v>
      </c>
      <c r="B9" s="26" t="inlineStr">
        <is>
          <t>2023-24</t>
        </is>
      </c>
      <c r="C9" s="26" t="inlineStr">
        <is>
          <t>EEE 211</t>
        </is>
      </c>
      <c r="D9" s="26" t="inlineStr">
        <is>
          <t>5(a)</t>
        </is>
      </c>
      <c r="E9" s="6" t="inlineStr">
        <is>
          <t>Quadrature multiplexing (ω_c = 4ω_m): design H(jω); spectra u₁, u₂, v₁, v₂, y₂</t>
        </is>
      </c>
      <c r="F9" s="6" t="inlineStr">
        <is>
          <t>Rectangles, shifts, modulation — Lec 7, sl. 19–44</t>
        </is>
      </c>
      <c r="G9" s="26" t="inlineStr">
        <is>
          <t>L17</t>
        </is>
      </c>
      <c r="H9" s="26" t="n">
        <v>20</v>
      </c>
      <c r="I9" s="26" t="inlineStr">
        <is>
          <t>EEE p.3–4</t>
        </is>
      </c>
      <c r="J9" s="21" t="inlineStr">
        <is>
          <t>★★★ High</t>
        </is>
      </c>
      <c r="K9" s="26" t="inlineStr">
        <is>
          <t>Design</t>
        </is>
      </c>
      <c r="L9" s="22" t="inlineStr">
        <is>
          <t>✔ Solved</t>
        </is>
      </c>
      <c r="M9" s="6" t="inlineStr">
        <is>
          <t>2023-24 1(c); 2018-19 4(a) (CSE 311); 2022-23 2(b) (EEE); 2022-23 4(a) (EEE); 2021-22 6(a) (EEE); 2020-21 1(b) (EEE); 2018-19 2(c) (EEE)</t>
        </is>
      </c>
      <c r="N9" s="23" t="b">
        <v>0</v>
      </c>
      <c r="O9" s="26" t="n"/>
      <c r="P9" s="26" t="n"/>
      <c r="Q9" s="6" t="n"/>
    </row>
    <row r="10">
      <c r="A10" s="26" t="n">
        <v>7</v>
      </c>
      <c r="B10" s="26" t="inlineStr">
        <is>
          <t>2022-23</t>
        </is>
      </c>
      <c r="C10" s="26" t="inlineStr">
        <is>
          <t>CSE 311</t>
        </is>
      </c>
      <c r="D10" s="26" t="inlineStr">
        <is>
          <t>1(b)</t>
        </is>
      </c>
      <c r="E10" s="6" t="inlineStr">
        <is>
          <t>Spectrum of Π(t/2B); practical spectra; how sampling changes the band</t>
        </is>
      </c>
      <c r="F10" s="6" t="inlineStr">
        <is>
          <t>Rectangles, shifts, modulation — Lec 7, sl. 19–44</t>
        </is>
      </c>
      <c r="G10" s="26" t="inlineStr">
        <is>
          <t>L17</t>
        </is>
      </c>
      <c r="H10" s="26" t="n">
        <v>18</v>
      </c>
      <c r="I10" s="26" t="n">
        <v>6</v>
      </c>
      <c r="J10" s="21" t="inlineStr">
        <is>
          <t>★★★ High</t>
        </is>
      </c>
      <c r="K10" s="26" t="inlineStr">
        <is>
          <t>Numerical</t>
        </is>
      </c>
      <c r="L10" s="22" t="inlineStr">
        <is>
          <t>✔ Solved</t>
        </is>
      </c>
      <c r="M10" s="6" t="inlineStr">
        <is>
          <t>2022-23 6(a)–(b); 2022-23 6(c)–(d); 2023-24 2(a); 2019-20 1(b) (CSE 311)</t>
        </is>
      </c>
      <c r="N10" s="23" t="b">
        <v>0</v>
      </c>
      <c r="O10" s="26" t="n"/>
      <c r="P10" s="26" t="n"/>
      <c r="Q10" s="6" t="n"/>
    </row>
    <row r="11">
      <c r="A11" s="26" t="n">
        <v>8</v>
      </c>
      <c r="B11" s="26" t="inlineStr">
        <is>
          <t>2022-23</t>
        </is>
      </c>
      <c r="C11" s="26" t="inlineStr">
        <is>
          <t>EEE 211</t>
        </is>
      </c>
      <c r="D11" s="26" t="inlineStr">
        <is>
          <t>2(b)</t>
        </is>
      </c>
      <c r="E11" s="6" t="inlineStr">
        <is>
          <t>AM of a down-sampled signal, filter H_f: spectra of x, y, z; energy of z</t>
        </is>
      </c>
      <c r="F11" s="6" t="inlineStr">
        <is>
          <t>Rectangles, shifts, modulation — Lec 7, sl. 19–44</t>
        </is>
      </c>
      <c r="G11" s="26" t="inlineStr">
        <is>
          <t>L17</t>
        </is>
      </c>
      <c r="H11" s="26" t="n">
        <v>25</v>
      </c>
      <c r="I11" s="26" t="inlineStr">
        <is>
          <t>EEE p.8</t>
        </is>
      </c>
      <c r="J11" s="21" t="inlineStr">
        <is>
          <t>★★★ High</t>
        </is>
      </c>
      <c r="K11" s="26" t="inlineStr">
        <is>
          <t>Numerical</t>
        </is>
      </c>
      <c r="L11" s="22" t="inlineStr">
        <is>
          <t>✔ Solved</t>
        </is>
      </c>
      <c r="M11" s="6" t="inlineStr">
        <is>
          <t>2023-24 1(c); 2018-19 4(a) (CSE 311); 2023-24 5(a) (EEE); 2022-23 4(a) (EEE); 2021-22 6(a) (EEE); 2020-21 1(b) (EEE); 2018-19 2(c) (EEE)</t>
        </is>
      </c>
      <c r="N11" s="23" t="b">
        <v>0</v>
      </c>
      <c r="O11" s="26" t="n"/>
      <c r="P11" s="26" t="n"/>
      <c r="Q11" s="6" t="n"/>
    </row>
    <row r="12">
      <c r="A12" s="26" t="n">
        <v>9</v>
      </c>
      <c r="B12" s="26" t="inlineStr">
        <is>
          <t>2022-23</t>
        </is>
      </c>
      <c r="C12" s="26" t="inlineStr">
        <is>
          <t>EEE 211</t>
        </is>
      </c>
      <c r="D12" s="26" t="inlineStr">
        <is>
          <t>4(a)</t>
        </is>
      </c>
      <c r="E12" s="6" t="inlineStr">
        <is>
          <t>AM receiver with phase error θ, LPF gain 2: output</t>
        </is>
      </c>
      <c r="F12" s="6" t="inlineStr">
        <is>
          <t>Rectangles, shifts, modulation — Lec 7, sl. 19–44</t>
        </is>
      </c>
      <c r="G12" s="26" t="inlineStr">
        <is>
          <t>L17</t>
        </is>
      </c>
      <c r="H12" s="26" t="n">
        <v>15</v>
      </c>
      <c r="I12" s="26" t="inlineStr">
        <is>
          <t>EEE p.9</t>
        </is>
      </c>
      <c r="J12" s="21" t="inlineStr">
        <is>
          <t>★★★ High</t>
        </is>
      </c>
      <c r="K12" s="26" t="inlineStr">
        <is>
          <t>Numerical</t>
        </is>
      </c>
      <c r="L12" s="22" t="inlineStr">
        <is>
          <t>✔ Solved</t>
        </is>
      </c>
      <c r="M12" s="6" t="inlineStr">
        <is>
          <t>2023-24 1(c); 2018-19 4(a) (CSE 311); 2023-24 5(a) (EEE); 2022-23 2(b) (EEE); 2021-22 6(a) (EEE); 2020-21 1(b) (EEE); 2018-19 2(c) (EEE)</t>
        </is>
      </c>
      <c r="N12" s="23" t="b">
        <v>0</v>
      </c>
      <c r="O12" s="26" t="n"/>
      <c r="P12" s="26" t="n"/>
      <c r="Q12" s="6" t="n"/>
    </row>
    <row r="13">
      <c r="A13" s="26" t="n">
        <v>10</v>
      </c>
      <c r="B13" s="26" t="inlineStr">
        <is>
          <t>2021-22</t>
        </is>
      </c>
      <c r="C13" s="26" t="inlineStr">
        <is>
          <t>EEE 211</t>
        </is>
      </c>
      <c r="D13" s="26" t="inlineStr">
        <is>
          <t>6(a)</t>
        </is>
      </c>
      <c r="E13" s="6" t="inlineStr">
        <is>
          <t>Band-pass x_a through c = cos10t, h₁, sampler p(t), h₂: spectra x₁…x₄</t>
        </is>
      </c>
      <c r="F13" s="6" t="inlineStr">
        <is>
          <t>Rectangles, shifts, modulation — Lec 7, sl. 19–44</t>
        </is>
      </c>
      <c r="G13" s="26" t="inlineStr">
        <is>
          <t>L17</t>
        </is>
      </c>
      <c r="H13" s="26" t="n">
        <v>20</v>
      </c>
      <c r="I13" s="26" t="inlineStr">
        <is>
          <t>EEE p.14–15</t>
        </is>
      </c>
      <c r="J13" s="21" t="inlineStr">
        <is>
          <t>★★★ High</t>
        </is>
      </c>
      <c r="K13" s="26" t="inlineStr">
        <is>
          <t>Numerical</t>
        </is>
      </c>
      <c r="L13" s="22" t="inlineStr">
        <is>
          <t>✔ Solved</t>
        </is>
      </c>
      <c r="M13" s="6" t="inlineStr">
        <is>
          <t>2023-24 1(c); 2018-19 4(a) (CSE 311); 2023-24 5(a) (EEE); 2022-23 2(b) (EEE); 2022-23 4(a) (EEE); 2020-21 1(b) (EEE); 2018-19 2(c) (EEE)</t>
        </is>
      </c>
      <c r="N13" s="23" t="b">
        <v>0</v>
      </c>
      <c r="O13" s="26" t="n"/>
      <c r="P13" s="26" t="n"/>
      <c r="Q13" s="6" t="n"/>
    </row>
    <row r="14">
      <c r="A14" s="26" t="n">
        <v>11</v>
      </c>
      <c r="B14" s="26" t="inlineStr">
        <is>
          <t>2020-21</t>
        </is>
      </c>
      <c r="C14" s="26" t="inlineStr">
        <is>
          <t>EEE 211</t>
        </is>
      </c>
      <c r="D14" s="26" t="inlineStr">
        <is>
          <t>1(b)</t>
        </is>
      </c>
      <c r="E14" s="6" t="inlineStr">
        <is>
          <t>m(t) through H₁, H₂ (Hilbert pair) × cos/sin: spectrum of y, energy by Parseval</t>
        </is>
      </c>
      <c r="F14" s="6" t="inlineStr">
        <is>
          <t>Rectangles, shifts, modulation — Lec 7, sl. 19–44</t>
        </is>
      </c>
      <c r="G14" s="26" t="inlineStr">
        <is>
          <t>L17</t>
        </is>
      </c>
      <c r="H14" s="26" t="n">
        <v>20</v>
      </c>
      <c r="I14" s="26" t="inlineStr">
        <is>
          <t>EEE p.17</t>
        </is>
      </c>
      <c r="J14" s="21" t="inlineStr">
        <is>
          <t>★★★ High</t>
        </is>
      </c>
      <c r="K14" s="26" t="inlineStr">
        <is>
          <t>Numerical</t>
        </is>
      </c>
      <c r="L14" s="25" t="inlineStr">
        <is>
          <t>◐ Method</t>
        </is>
      </c>
      <c r="M14" s="6" t="inlineStr">
        <is>
          <t>2023-24 1(c); 2018-19 4(a) (CSE 311); 2023-24 5(a) (EEE); 2022-23 2(b) (EEE); 2022-23 4(a) (EEE); 2021-22 6(a) (EEE); 2018-19 2(c) (EEE)</t>
        </is>
      </c>
      <c r="N14" s="23" t="b">
        <v>0</v>
      </c>
      <c r="O14" s="26" t="n"/>
      <c r="P14" s="26" t="n"/>
      <c r="Q14" s="6" t="n"/>
    </row>
    <row r="15">
      <c r="A15" s="26" t="n">
        <v>12</v>
      </c>
      <c r="B15" s="26" t="inlineStr">
        <is>
          <t>2019-20</t>
        </is>
      </c>
      <c r="C15" s="26" t="inlineStr">
        <is>
          <t>CSE 311</t>
        </is>
      </c>
      <c r="D15" s="26" t="inlineStr">
        <is>
          <t>2(a)</t>
        </is>
      </c>
      <c r="E15" s="6" t="inlineStr">
        <is>
          <t>Time delay ↔ linear phase; what if a voice signal lost linear phase?</t>
        </is>
      </c>
      <c r="F15" s="6" t="inlineStr">
        <is>
          <t>Rectangles, shifts, modulation — Lec 7, sl. 19–44</t>
        </is>
      </c>
      <c r="G15" s="26" t="inlineStr">
        <is>
          <t>L17</t>
        </is>
      </c>
      <c r="H15" s="26" t="n">
        <v>24</v>
      </c>
      <c r="I15" s="26" t="n">
        <v>15</v>
      </c>
      <c r="J15" s="21" t="inlineStr">
        <is>
          <t>★★★ High</t>
        </is>
      </c>
      <c r="K15" s="26" t="inlineStr">
        <is>
          <t>Proof</t>
        </is>
      </c>
      <c r="L15" s="22" t="inlineStr">
        <is>
          <t>✔ Solved</t>
        </is>
      </c>
      <c r="M15" s="6" t="inlineStr">
        <is>
          <t>2023-24 6(c) (EEE); 2022-23 2(a) (EEE); 2020-21 1(a) (EEE)</t>
        </is>
      </c>
      <c r="N15" s="23" t="b">
        <v>0</v>
      </c>
      <c r="O15" s="26" t="n"/>
      <c r="P15" s="26" t="n"/>
      <c r="Q15" s="6" t="n"/>
    </row>
    <row r="16">
      <c r="A16" s="26" t="n">
        <v>13</v>
      </c>
      <c r="B16" s="26" t="inlineStr">
        <is>
          <t>2018-19</t>
        </is>
      </c>
      <c r="C16" s="26" t="inlineStr">
        <is>
          <t>EEE 211</t>
        </is>
      </c>
      <c r="D16" s="26" t="inlineStr">
        <is>
          <t>2(c)</t>
        </is>
      </c>
      <c r="E16" s="6" t="inlineStr">
        <is>
          <t>SSB generation (ω_f = ω_m): spectrum of y; h_f(t); realizable?</t>
        </is>
      </c>
      <c r="F16" s="6" t="inlineStr">
        <is>
          <t>Rectangles, shifts, modulation — Lec 7, sl. 19–44</t>
        </is>
      </c>
      <c r="G16" s="26" t="inlineStr">
        <is>
          <t>L17</t>
        </is>
      </c>
      <c r="H16" s="26" t="n">
        <v>15</v>
      </c>
      <c r="I16" s="26" t="inlineStr">
        <is>
          <t>EEE p.28</t>
        </is>
      </c>
      <c r="J16" s="24" t="inlineStr">
        <is>
          <t>★★ Medium</t>
        </is>
      </c>
      <c r="K16" s="26" t="inlineStr">
        <is>
          <t>Numerical</t>
        </is>
      </c>
      <c r="L16" s="25" t="inlineStr">
        <is>
          <t>◐ Method</t>
        </is>
      </c>
      <c r="M16" s="6" t="inlineStr">
        <is>
          <t>2023-24 1(c); 2018-19 4(a) (CSE 311); 2023-24 5(a) (EEE); 2022-23 2(b) (EEE); 2022-23 4(a) (EEE); 2021-22 6(a) (EEE); 2020-21 1(b) (EEE)</t>
        </is>
      </c>
      <c r="N16" s="23" t="b">
        <v>0</v>
      </c>
      <c r="O16" s="26" t="n"/>
      <c r="P16" s="26" t="n"/>
      <c r="Q16" s="6" t="n"/>
    </row>
    <row r="17">
      <c r="A17" s="26" t="n">
        <v>14</v>
      </c>
      <c r="B17" s="26" t="inlineStr">
        <is>
          <t>2018-19</t>
        </is>
      </c>
      <c r="C17" s="26" t="inlineStr">
        <is>
          <t>CSE 311</t>
        </is>
      </c>
      <c r="D17" s="26" t="inlineStr">
        <is>
          <t>4(a)</t>
        </is>
      </c>
      <c r="E17" s="6" t="inlineStr">
        <is>
          <t>Frequency-shifting property; FDM; dual technique</t>
        </is>
      </c>
      <c r="F17" s="6" t="inlineStr">
        <is>
          <t>Rectangles, shifts, modulation — Lec 7, sl. 19–44</t>
        </is>
      </c>
      <c r="G17" s="26" t="inlineStr">
        <is>
          <t>L17</t>
        </is>
      </c>
      <c r="H17" s="26" t="n">
        <v>18</v>
      </c>
      <c r="I17" s="26" t="n">
        <v>18</v>
      </c>
      <c r="J17" s="24" t="inlineStr">
        <is>
          <t>★★ Medium</t>
        </is>
      </c>
      <c r="K17" s="26" t="inlineStr">
        <is>
          <t>Theory</t>
        </is>
      </c>
      <c r="L17" s="22" t="inlineStr">
        <is>
          <t>✔ Solved</t>
        </is>
      </c>
      <c r="M17" s="6" t="inlineStr">
        <is>
          <t>2023-24 1(c); 2023-24 5(a) (EEE); 2022-23 2(b) (EEE); 2022-23 4(a) (EEE); 2021-22 6(a) (EEE); 2020-21 1(b) (EEE); 2018-19 2(c) (EEE)</t>
        </is>
      </c>
      <c r="N17" s="23" t="b">
        <v>0</v>
      </c>
      <c r="O17" s="26" t="n"/>
      <c r="P17" s="26" t="n"/>
      <c r="Q17" s="6" t="n"/>
    </row>
    <row r="18">
      <c r="A18" s="19" t="n">
        <v>15</v>
      </c>
      <c r="B18" s="19" t="inlineStr">
        <is>
          <t>2023-24</t>
        </is>
      </c>
      <c r="C18" s="19" t="inlineStr">
        <is>
          <t>CSE 219</t>
        </is>
      </c>
      <c r="D18" s="19" t="inlineStr">
        <is>
          <t>2(a)</t>
        </is>
      </c>
      <c r="E18" s="20" t="inlineStr">
        <is>
          <t>FT of x₁ = e^{−at}u(t), then of x₂ = e^{−a|t|}</t>
        </is>
      </c>
      <c r="F18" s="20" t="inlineStr">
        <is>
          <t>FT pairs and properties — Lec 7 + textbook</t>
        </is>
      </c>
      <c r="G18" s="19" t="inlineStr">
        <is>
          <t>L18</t>
        </is>
      </c>
      <c r="H18" s="19" t="n">
        <v>10</v>
      </c>
      <c r="I18" s="19" t="inlineStr">
        <is>
          <t>22 batch p.2</t>
        </is>
      </c>
      <c r="J18" s="21" t="inlineStr">
        <is>
          <t>★★★ High</t>
        </is>
      </c>
      <c r="K18" s="19" t="inlineStr">
        <is>
          <t>Numerical</t>
        </is>
      </c>
      <c r="L18" s="22" t="inlineStr">
        <is>
          <t>✔ Solved</t>
        </is>
      </c>
      <c r="M18" s="20" t="inlineStr">
        <is>
          <t>2022-23 6(a)–(b); 2022-23 6(c)–(d); 2022-23 1(b) (CSE 311); 2019-20 1(b) (CSE 311)</t>
        </is>
      </c>
      <c r="N18" s="23" t="b">
        <v>0</v>
      </c>
      <c r="O18" s="19" t="n"/>
      <c r="P18" s="19" t="n"/>
      <c r="Q18" s="20" t="n"/>
    </row>
    <row r="19">
      <c r="A19" s="19" t="n">
        <v>16</v>
      </c>
      <c r="B19" s="19" t="inlineStr">
        <is>
          <t>2023-24</t>
        </is>
      </c>
      <c r="C19" s="19" t="inlineStr">
        <is>
          <t>CSE 219</t>
        </is>
      </c>
      <c r="D19" s="19" t="inlineStr">
        <is>
          <t>2(b)</t>
        </is>
      </c>
      <c r="E19" s="20" t="inlineStr">
        <is>
          <t>Evaluate I(a) = ∫ f²/(a²+(2πf)²)² df using Parseval</t>
        </is>
      </c>
      <c r="F19" s="20" t="inlineStr">
        <is>
          <t>FT pairs and properties — Lec 7 + textbook</t>
        </is>
      </c>
      <c r="G19" s="19" t="inlineStr">
        <is>
          <t>L18</t>
        </is>
      </c>
      <c r="H19" s="19" t="n">
        <v>20</v>
      </c>
      <c r="I19" s="19" t="inlineStr">
        <is>
          <t>22 batch p.2</t>
        </is>
      </c>
      <c r="J19" s="21" t="inlineStr">
        <is>
          <t>★★★ High</t>
        </is>
      </c>
      <c r="K19" s="19" t="inlineStr">
        <is>
          <t>Numerical</t>
        </is>
      </c>
      <c r="L19" s="22" t="inlineStr">
        <is>
          <t>✔ Solved</t>
        </is>
      </c>
      <c r="M19" s="20" t="inlineStr">
        <is>
          <t>2023-24 6(b) (EEE); 2018-19 2(a) (EEE)</t>
        </is>
      </c>
      <c r="N19" s="23" t="b">
        <v>0</v>
      </c>
      <c r="O19" s="19" t="n"/>
      <c r="P19" s="19" t="n"/>
      <c r="Q19" s="20" t="n"/>
    </row>
    <row r="20">
      <c r="A20" s="19" t="n">
        <v>17</v>
      </c>
      <c r="B20" s="19" t="inlineStr">
        <is>
          <t>2023-24</t>
        </is>
      </c>
      <c r="C20" s="19" t="inlineStr">
        <is>
          <t>EEE 211</t>
        </is>
      </c>
      <c r="D20" s="19" t="inlineStr">
        <is>
          <t>6(b)</t>
        </is>
      </c>
      <c r="E20" s="20" t="inlineStr">
        <is>
          <t>FT of sin(at)/(πt); energy by Parseval</t>
        </is>
      </c>
      <c r="F20" s="20" t="inlineStr">
        <is>
          <t>FT pairs and properties — Lec 7 + textbook</t>
        </is>
      </c>
      <c r="G20" s="19" t="inlineStr">
        <is>
          <t>L18</t>
        </is>
      </c>
      <c r="H20" s="19" t="n">
        <v>10</v>
      </c>
      <c r="I20" s="19" t="inlineStr">
        <is>
          <t>EEE p.4</t>
        </is>
      </c>
      <c r="J20" s="21" t="inlineStr">
        <is>
          <t>★★★ High</t>
        </is>
      </c>
      <c r="K20" s="19" t="inlineStr">
        <is>
          <t>Numerical</t>
        </is>
      </c>
      <c r="L20" s="22" t="inlineStr">
        <is>
          <t>✔ Solved</t>
        </is>
      </c>
      <c r="M20" s="20" t="inlineStr">
        <is>
          <t>2023-24 2(b); 2018-19 2(a) (EEE)</t>
        </is>
      </c>
      <c r="N20" s="23" t="b">
        <v>0</v>
      </c>
      <c r="O20" s="19" t="n"/>
      <c r="P20" s="19" t="n"/>
      <c r="Q20" s="20" t="n"/>
    </row>
    <row r="21">
      <c r="A21" s="19" t="n">
        <v>18</v>
      </c>
      <c r="B21" s="19" t="inlineStr">
        <is>
          <t>2023-24</t>
        </is>
      </c>
      <c r="C21" s="19" t="inlineStr">
        <is>
          <t>EEE 211</t>
        </is>
      </c>
      <c r="D21" s="19" t="inlineStr">
        <is>
          <t>6(c)</t>
        </is>
      </c>
      <c r="E21" s="20" t="inlineStr">
        <is>
          <t>FT of u(t); prove the integration property</t>
        </is>
      </c>
      <c r="F21" s="20" t="inlineStr">
        <is>
          <t>FT pairs and properties — Lec 7 + textbook</t>
        </is>
      </c>
      <c r="G21" s="19" t="inlineStr">
        <is>
          <t>L18</t>
        </is>
      </c>
      <c r="H21" s="19" t="n">
        <v>10</v>
      </c>
      <c r="I21" s="19" t="inlineStr">
        <is>
          <t>EEE p.4</t>
        </is>
      </c>
      <c r="J21" s="21" t="inlineStr">
        <is>
          <t>★★★ High</t>
        </is>
      </c>
      <c r="K21" s="19" t="inlineStr">
        <is>
          <t>Derivation</t>
        </is>
      </c>
      <c r="L21" s="22" t="inlineStr">
        <is>
          <t>✔ Solved</t>
        </is>
      </c>
      <c r="M21" s="20" t="inlineStr">
        <is>
          <t>2019-20 2(a) (CSE 311); 2022-23 2(a) (EEE); 2020-21 1(a) (EEE)</t>
        </is>
      </c>
      <c r="N21" s="23" t="b">
        <v>0</v>
      </c>
      <c r="O21" s="19" t="n"/>
      <c r="P21" s="19" t="n"/>
      <c r="Q21" s="20" t="n"/>
    </row>
    <row r="22">
      <c r="A22" s="19" t="n">
        <v>19</v>
      </c>
      <c r="B22" s="19" t="inlineStr">
        <is>
          <t>2022-23</t>
        </is>
      </c>
      <c r="C22" s="19" t="inlineStr">
        <is>
          <t>CSE 311</t>
        </is>
      </c>
      <c r="D22" s="19" t="inlineStr">
        <is>
          <t>2(a)</t>
        </is>
      </c>
      <c r="E22" s="20" t="inlineStr">
        <is>
          <t>Prove g*h ↔ G(f)H(f); LTI output is a convolution</t>
        </is>
      </c>
      <c r="F22" s="20" t="inlineStr">
        <is>
          <t>FT pairs and properties — Lec 7 + textbook</t>
        </is>
      </c>
      <c r="G22" s="19" t="inlineStr">
        <is>
          <t>L18</t>
        </is>
      </c>
      <c r="H22" s="19" t="n">
        <v>20</v>
      </c>
      <c r="I22" s="19" t="n">
        <v>6</v>
      </c>
      <c r="J22" s="21" t="inlineStr">
        <is>
          <t>★★★ High</t>
        </is>
      </c>
      <c r="K22" s="19" t="inlineStr">
        <is>
          <t>Proof</t>
        </is>
      </c>
      <c r="L22" s="22" t="inlineStr">
        <is>
          <t>✔ Solved</t>
        </is>
      </c>
      <c r="M22" s="20" t="inlineStr">
        <is>
          <t>—</t>
        </is>
      </c>
      <c r="N22" s="23" t="b">
        <v>0</v>
      </c>
      <c r="O22" s="19" t="n"/>
      <c r="P22" s="19" t="n"/>
      <c r="Q22" s="20" t="n"/>
    </row>
    <row r="23">
      <c r="A23" s="19" t="n">
        <v>20</v>
      </c>
      <c r="B23" s="19" t="inlineStr">
        <is>
          <t>2022-23</t>
        </is>
      </c>
      <c r="C23" s="19" t="inlineStr">
        <is>
          <t>EEE 211</t>
        </is>
      </c>
      <c r="D23" s="19" t="inlineStr">
        <is>
          <t>2(a)</t>
        </is>
      </c>
      <c r="E23" s="20" t="inlineStr">
        <is>
          <t>Closed-form FT of x(t) (ramp 0→1, flat to 2)</t>
        </is>
      </c>
      <c r="F23" s="20" t="inlineStr">
        <is>
          <t>FT pairs and properties — Lec 7 + textbook</t>
        </is>
      </c>
      <c r="G23" s="19" t="inlineStr">
        <is>
          <t>L18</t>
        </is>
      </c>
      <c r="H23" s="19" t="n">
        <v>10</v>
      </c>
      <c r="I23" s="19" t="inlineStr">
        <is>
          <t>EEE p.8</t>
        </is>
      </c>
      <c r="J23" s="21" t="inlineStr">
        <is>
          <t>★★★ High</t>
        </is>
      </c>
      <c r="K23" s="19" t="inlineStr">
        <is>
          <t>Numerical</t>
        </is>
      </c>
      <c r="L23" s="22" t="inlineStr">
        <is>
          <t>✔ Solved</t>
        </is>
      </c>
      <c r="M23" s="20" t="inlineStr">
        <is>
          <t>2019-20 2(a) (CSE 311); 2023-24 6(c) (EEE); 2020-21 1(a) (EEE)</t>
        </is>
      </c>
      <c r="N23" s="23" t="b">
        <v>0</v>
      </c>
      <c r="O23" s="19" t="n"/>
      <c r="P23" s="19" t="n"/>
      <c r="Q23" s="20" t="n"/>
    </row>
    <row r="24">
      <c r="A24" s="19" t="n">
        <v>21</v>
      </c>
      <c r="B24" s="19" t="inlineStr">
        <is>
          <t>2022-23</t>
        </is>
      </c>
      <c r="C24" s="19" t="inlineStr">
        <is>
          <t>CSE 219</t>
        </is>
      </c>
      <c r="D24" s="19" t="inlineStr">
        <is>
          <t>5(b)</t>
        </is>
      </c>
      <c r="E24" s="20" t="inlineStr">
        <is>
          <t>X(jω)=1 for |ω|&lt;3π and X₁(jω) of Fig. 1: define X₁, inverse FT, X₁ via X, x₁ via x, x₁(t)</t>
        </is>
      </c>
      <c r="F24" s="20" t="inlineStr">
        <is>
          <t>FT pairs and properties — Lec 7 + textbook</t>
        </is>
      </c>
      <c r="G24" s="19" t="inlineStr">
        <is>
          <t>L18</t>
        </is>
      </c>
      <c r="H24" s="19" t="n">
        <v>20</v>
      </c>
      <c r="I24" s="19" t="inlineStr">
        <is>
          <t>2–3</t>
        </is>
      </c>
      <c r="J24" s="21" t="inlineStr">
        <is>
          <t>★★★ High</t>
        </is>
      </c>
      <c r="K24" s="19" t="inlineStr">
        <is>
          <t>Numerical</t>
        </is>
      </c>
      <c r="L24" s="22" t="inlineStr">
        <is>
          <t>✔ Solved</t>
        </is>
      </c>
      <c r="M24" s="20" t="inlineStr">
        <is>
          <t>2021-22 5(b) (EEE)</t>
        </is>
      </c>
      <c r="N24" s="23" t="b">
        <v>0</v>
      </c>
      <c r="O24" s="19" t="n"/>
      <c r="P24" s="19" t="n"/>
      <c r="Q24" s="20" t="n"/>
    </row>
    <row r="25">
      <c r="A25" s="19" t="n">
        <v>22</v>
      </c>
      <c r="B25" s="19" t="inlineStr">
        <is>
          <t>2022-23</t>
        </is>
      </c>
      <c r="C25" s="19" t="inlineStr">
        <is>
          <t>CSE 219</t>
        </is>
      </c>
      <c r="D25" s="19" t="inlineStr">
        <is>
          <t>6(a)–(b)</t>
        </is>
      </c>
      <c r="E25" s="20" t="inlineStr">
        <is>
          <t>f(t) = e^{−at}u(t): define f(−t); FT of f(t) and f(−t)</t>
        </is>
      </c>
      <c r="F25" s="20" t="inlineStr">
        <is>
          <t>FT pairs and properties — Lec 7 + textbook</t>
        </is>
      </c>
      <c r="G25" s="19" t="inlineStr">
        <is>
          <t>L18</t>
        </is>
      </c>
      <c r="H25" s="19" t="n">
        <v>15</v>
      </c>
      <c r="I25" s="19" t="n">
        <v>3</v>
      </c>
      <c r="J25" s="21" t="inlineStr">
        <is>
          <t>★★★ High</t>
        </is>
      </c>
      <c r="K25" s="19" t="inlineStr">
        <is>
          <t>Numerical</t>
        </is>
      </c>
      <c r="L25" s="22" t="inlineStr">
        <is>
          <t>✔ Solved</t>
        </is>
      </c>
      <c r="M25" s="20" t="inlineStr">
        <is>
          <t>2022-23 6(c)–(d); 2023-24 2(a); 2022-23 1(b) (CSE 311); 2019-20 1(b) (CSE 311)</t>
        </is>
      </c>
      <c r="N25" s="23" t="b">
        <v>0</v>
      </c>
      <c r="O25" s="19" t="n"/>
      <c r="P25" s="19" t="n"/>
      <c r="Q25" s="20" t="n"/>
    </row>
    <row r="26">
      <c r="A26" s="19" t="n">
        <v>23</v>
      </c>
      <c r="B26" s="19" t="inlineStr">
        <is>
          <t>2022-23</t>
        </is>
      </c>
      <c r="C26" s="19" t="inlineStr">
        <is>
          <t>CSE 219</t>
        </is>
      </c>
      <c r="D26" s="19" t="inlineStr">
        <is>
          <t>6(c)–(d)</t>
        </is>
      </c>
      <c r="E26" s="20" t="inlineStr">
        <is>
          <t>Write sign(t) using f(t), f(−t); FT of sign(t) by properties</t>
        </is>
      </c>
      <c r="F26" s="20" t="inlineStr">
        <is>
          <t>FT pairs and properties — Lec 7 + textbook</t>
        </is>
      </c>
      <c r="G26" s="19" t="inlineStr">
        <is>
          <t>L18</t>
        </is>
      </c>
      <c r="H26" s="19" t="n">
        <v>15</v>
      </c>
      <c r="I26" s="19" t="n">
        <v>3</v>
      </c>
      <c r="J26" s="21" t="inlineStr">
        <is>
          <t>★★★ High</t>
        </is>
      </c>
      <c r="K26" s="19" t="inlineStr">
        <is>
          <t>Numerical</t>
        </is>
      </c>
      <c r="L26" s="22" t="inlineStr">
        <is>
          <t>✔ Solved</t>
        </is>
      </c>
      <c r="M26" s="20" t="inlineStr">
        <is>
          <t>2022-23 6(a)–(b); 2023-24 2(a); 2022-23 1(b) (CSE 311); 2019-20 1(b) (CSE 311)</t>
        </is>
      </c>
      <c r="N26" s="23" t="b">
        <v>0</v>
      </c>
      <c r="O26" s="19" t="n"/>
      <c r="P26" s="19" t="n"/>
      <c r="Q26" s="20" t="n"/>
    </row>
    <row r="27">
      <c r="A27" s="19" t="n">
        <v>24</v>
      </c>
      <c r="B27" s="19" t="inlineStr">
        <is>
          <t>2021-22</t>
        </is>
      </c>
      <c r="C27" s="19" t="inlineStr">
        <is>
          <t>CSE 311</t>
        </is>
      </c>
      <c r="D27" s="19" t="inlineStr">
        <is>
          <t>3(a)</t>
        </is>
      </c>
      <c r="E27" s="20" t="inlineStr">
        <is>
          <t>Time compression ↔ frequency expansion (quantization part is comms)</t>
        </is>
      </c>
      <c r="F27" s="20" t="inlineStr">
        <is>
          <t>FT pairs and properties — Lec 7 + textbook</t>
        </is>
      </c>
      <c r="G27" s="19" t="inlineStr">
        <is>
          <t>L18</t>
        </is>
      </c>
      <c r="H27" s="19" t="n">
        <v>20</v>
      </c>
      <c r="I27" s="19" t="n">
        <v>8</v>
      </c>
      <c r="J27" s="21" t="inlineStr">
        <is>
          <t>★★★ High</t>
        </is>
      </c>
      <c r="K27" s="19" t="inlineStr">
        <is>
          <t>Theory</t>
        </is>
      </c>
      <c r="L27" s="22" t="inlineStr">
        <is>
          <t>✔ Solved</t>
        </is>
      </c>
      <c r="M27" s="20" t="inlineStr">
        <is>
          <t>—</t>
        </is>
      </c>
      <c r="N27" s="23" t="b">
        <v>0</v>
      </c>
      <c r="O27" s="19" t="n"/>
      <c r="P27" s="19" t="n"/>
      <c r="Q27" s="20" t="n"/>
    </row>
    <row r="28">
      <c r="A28" s="19" t="n">
        <v>25</v>
      </c>
      <c r="B28" s="19" t="inlineStr">
        <is>
          <t>2021-22</t>
        </is>
      </c>
      <c r="C28" s="19" t="inlineStr">
        <is>
          <t>EEE 211</t>
        </is>
      </c>
      <c r="D28" s="19" t="inlineStr">
        <is>
          <t>5(b)</t>
        </is>
      </c>
      <c r="E28" s="20" t="inlineStr">
        <is>
          <t>Inverse FT of the piecewise-constant X(ω) of Fig. 5(b)</t>
        </is>
      </c>
      <c r="F28" s="20" t="inlineStr">
        <is>
          <t>FT pairs and properties — Lec 7 + textbook</t>
        </is>
      </c>
      <c r="G28" s="19" t="inlineStr">
        <is>
          <t>L18</t>
        </is>
      </c>
      <c r="H28" s="19" t="n">
        <v>17</v>
      </c>
      <c r="I28" s="19" t="inlineStr">
        <is>
          <t>EEE p.14</t>
        </is>
      </c>
      <c r="J28" s="21" t="inlineStr">
        <is>
          <t>★★★ High</t>
        </is>
      </c>
      <c r="K28" s="19" t="inlineStr">
        <is>
          <t>Numerical</t>
        </is>
      </c>
      <c r="L28" s="22" t="inlineStr">
        <is>
          <t>✔ Solved</t>
        </is>
      </c>
      <c r="M28" s="20" t="inlineStr">
        <is>
          <t>2022-23 5(b)</t>
        </is>
      </c>
      <c r="N28" s="23" t="b">
        <v>0</v>
      </c>
      <c r="O28" s="19" t="n"/>
      <c r="P28" s="19" t="n"/>
      <c r="Q28" s="20" t="n"/>
    </row>
    <row r="29">
      <c r="A29" s="19" t="n">
        <v>26</v>
      </c>
      <c r="B29" s="19" t="inlineStr">
        <is>
          <t>2020-21</t>
        </is>
      </c>
      <c r="C29" s="19" t="inlineStr">
        <is>
          <t>EEE 211</t>
        </is>
      </c>
      <c r="D29" s="19" t="inlineStr">
        <is>
          <t>1(a)</t>
        </is>
      </c>
      <c r="E29" s="20" t="inlineStr">
        <is>
          <t>X(ω) = jω/(ω²−3jω−2): FT of (dx/dt)·cos t</t>
        </is>
      </c>
      <c r="F29" s="20" t="inlineStr">
        <is>
          <t>FT pairs and properties — Lec 7 + textbook</t>
        </is>
      </c>
      <c r="G29" s="19" t="inlineStr">
        <is>
          <t>L18</t>
        </is>
      </c>
      <c r="H29" s="19" t="n">
        <v>15</v>
      </c>
      <c r="I29" s="19" t="inlineStr">
        <is>
          <t>EEE p.17</t>
        </is>
      </c>
      <c r="J29" s="21" t="inlineStr">
        <is>
          <t>★★★ High</t>
        </is>
      </c>
      <c r="K29" s="19" t="inlineStr">
        <is>
          <t>Numerical</t>
        </is>
      </c>
      <c r="L29" s="22" t="inlineStr">
        <is>
          <t>✔ Solved</t>
        </is>
      </c>
      <c r="M29" s="20" t="inlineStr">
        <is>
          <t>2019-20 2(a) (CSE 311); 2023-24 6(c) (EEE); 2022-23 2(a) (EEE)</t>
        </is>
      </c>
      <c r="N29" s="23" t="b">
        <v>0</v>
      </c>
      <c r="O29" s="19" t="n"/>
      <c r="P29" s="19" t="n"/>
      <c r="Q29" s="20" t="n"/>
    </row>
    <row r="30">
      <c r="A30" s="19" t="n">
        <v>27</v>
      </c>
      <c r="B30" s="19" t="inlineStr">
        <is>
          <t>2019-20</t>
        </is>
      </c>
      <c r="C30" s="19" t="inlineStr">
        <is>
          <t>CSE 311</t>
        </is>
      </c>
      <c r="D30" s="19" t="inlineStr">
        <is>
          <t>1(b)</t>
        </is>
      </c>
      <c r="E30" s="20" t="inlineStr">
        <is>
          <t>FT of cos/sin 2πf₀t; Dirichlet; necessity for FT existence</t>
        </is>
      </c>
      <c r="F30" s="20" t="inlineStr">
        <is>
          <t>FT pairs and properties — Lec 7 + textbook</t>
        </is>
      </c>
      <c r="G30" s="19" t="inlineStr">
        <is>
          <t>L18</t>
        </is>
      </c>
      <c r="H30" s="19" t="n">
        <v>18</v>
      </c>
      <c r="I30" s="19" t="n">
        <v>15</v>
      </c>
      <c r="J30" s="21" t="inlineStr">
        <is>
          <t>★★★ High</t>
        </is>
      </c>
      <c r="K30" s="19" t="inlineStr">
        <is>
          <t>Numerical</t>
        </is>
      </c>
      <c r="L30" s="22" t="inlineStr">
        <is>
          <t>✔ Solved</t>
        </is>
      </c>
      <c r="M30" s="20" t="inlineStr">
        <is>
          <t>2022-23 6(a)–(b); 2022-23 6(c)–(d); 2023-24 2(a); 2022-23 1(b) (CSE 311)</t>
        </is>
      </c>
      <c r="N30" s="23" t="b">
        <v>0</v>
      </c>
      <c r="O30" s="19" t="n"/>
      <c r="P30" s="19" t="n"/>
      <c r="Q30" s="20" t="n"/>
    </row>
    <row r="31">
      <c r="A31" s="19" t="n">
        <v>28</v>
      </c>
      <c r="B31" s="19" t="inlineStr">
        <is>
          <t>2019-20</t>
        </is>
      </c>
      <c r="C31" s="19" t="inlineStr">
        <is>
          <t>EEE 211</t>
        </is>
      </c>
      <c r="D31" s="19" t="inlineStr">
        <is>
          <t>6(b)</t>
        </is>
      </c>
      <c r="E31" s="20" t="inlineStr">
        <is>
          <t>State and prove the duality property</t>
        </is>
      </c>
      <c r="F31" s="20" t="inlineStr">
        <is>
          <t>FT pairs and properties — Lec 7 + textbook</t>
        </is>
      </c>
      <c r="G31" s="19" t="inlineStr">
        <is>
          <t>L18</t>
        </is>
      </c>
      <c r="H31" s="19" t="n">
        <v>20</v>
      </c>
      <c r="I31" s="19" t="inlineStr">
        <is>
          <t>EEE p.25</t>
        </is>
      </c>
      <c r="J31" s="21" t="inlineStr">
        <is>
          <t>★★★ High</t>
        </is>
      </c>
      <c r="K31" s="19" t="inlineStr">
        <is>
          <t>Proof</t>
        </is>
      </c>
      <c r="L31" s="22" t="inlineStr">
        <is>
          <t>✔ Solved</t>
        </is>
      </c>
      <c r="M31" s="20" t="inlineStr">
        <is>
          <t>—</t>
        </is>
      </c>
      <c r="N31" s="23" t="b">
        <v>0</v>
      </c>
      <c r="O31" s="19" t="n"/>
      <c r="P31" s="19" t="n"/>
      <c r="Q31" s="20" t="n"/>
    </row>
    <row r="32">
      <c r="A32" s="19" t="n">
        <v>29</v>
      </c>
      <c r="B32" s="19" t="inlineStr">
        <is>
          <t>2018-19</t>
        </is>
      </c>
      <c r="C32" s="19" t="inlineStr">
        <is>
          <t>EEE 211</t>
        </is>
      </c>
      <c r="D32" s="19" t="inlineStr">
        <is>
          <t>2(a)</t>
        </is>
      </c>
      <c r="E32" s="20" t="inlineStr">
        <is>
          <t>Prove E = (1/2π)∫|X|²dω; energy of sinc(t/2)</t>
        </is>
      </c>
      <c r="F32" s="20" t="inlineStr">
        <is>
          <t>FT pairs and properties — Lec 7 + textbook</t>
        </is>
      </c>
      <c r="G32" s="19" t="inlineStr">
        <is>
          <t>L18</t>
        </is>
      </c>
      <c r="H32" s="19" t="n">
        <v>10</v>
      </c>
      <c r="I32" s="19" t="inlineStr">
        <is>
          <t>EEE p.27</t>
        </is>
      </c>
      <c r="J32" s="24" t="inlineStr">
        <is>
          <t>★★ Medium</t>
        </is>
      </c>
      <c r="K32" s="19" t="inlineStr">
        <is>
          <t>Proof</t>
        </is>
      </c>
      <c r="L32" s="22" t="inlineStr">
        <is>
          <t>✔ Solved</t>
        </is>
      </c>
      <c r="M32" s="20" t="inlineStr">
        <is>
          <t>2023-24 2(b); 2023-24 6(b) (EEE)</t>
        </is>
      </c>
      <c r="N32" s="23" t="b">
        <v>0</v>
      </c>
      <c r="O32" s="19" t="n"/>
      <c r="P32" s="19" t="n"/>
      <c r="Q32" s="20" t="n"/>
    </row>
    <row r="33">
      <c r="A33" s="26" t="n">
        <v>30</v>
      </c>
      <c r="B33" s="26" t="inlineStr">
        <is>
          <t>2022-23</t>
        </is>
      </c>
      <c r="C33" s="26" t="inlineStr">
        <is>
          <t>CSE 311</t>
        </is>
      </c>
      <c r="D33" s="26" t="inlineStr">
        <is>
          <t>2(b)</t>
        </is>
      </c>
      <c r="E33" s="6" t="inlineStr">
        <is>
          <t>Distortionless vs all-pass system; how to test distortionless</t>
        </is>
      </c>
      <c r="F33" s="6" t="inlineStr">
        <is>
          <t>LTI in frequency, filters, bandwidth — Lec 7, sl. 45–59 + textbook</t>
        </is>
      </c>
      <c r="G33" s="26" t="inlineStr">
        <is>
          <t>L19</t>
        </is>
      </c>
      <c r="H33" s="26" t="n">
        <v>15</v>
      </c>
      <c r="I33" s="26" t="n">
        <v>6</v>
      </c>
      <c r="J33" s="21" t="inlineStr">
        <is>
          <t>★★★ High</t>
        </is>
      </c>
      <c r="K33" s="26" t="inlineStr">
        <is>
          <t>Theory</t>
        </is>
      </c>
      <c r="L33" s="22" t="inlineStr">
        <is>
          <t>✔ Solved</t>
        </is>
      </c>
      <c r="M33" s="6" t="inlineStr">
        <is>
          <t>2021-22 2(a) (CSE 311); 2020-21 4(a) (CSE 311); 2018-19 1(b) (CSE 311)</t>
        </is>
      </c>
      <c r="N33" s="23" t="b">
        <v>0</v>
      </c>
      <c r="O33" s="26" t="n"/>
      <c r="P33" s="26" t="n"/>
      <c r="Q33" s="6" t="n"/>
    </row>
    <row r="34">
      <c r="A34" s="26" t="n">
        <v>31</v>
      </c>
      <c r="B34" s="26" t="inlineStr">
        <is>
          <t>2021-22</t>
        </is>
      </c>
      <c r="C34" s="26" t="inlineStr">
        <is>
          <t>CSE 311</t>
        </is>
      </c>
      <c r="D34" s="26" t="inlineStr">
        <is>
          <t>2(a)</t>
        </is>
      </c>
      <c r="E34" s="6" t="inlineStr">
        <is>
          <t>All-pass vs distortionless; frequency response; why ideal filters are unrealizable</t>
        </is>
      </c>
      <c r="F34" s="6" t="inlineStr">
        <is>
          <t>LTI in frequency, filters, bandwidth — Lec 7, sl. 45–59 + textbook</t>
        </is>
      </c>
      <c r="G34" s="26" t="inlineStr">
        <is>
          <t>L19</t>
        </is>
      </c>
      <c r="H34" s="26" t="n">
        <v>20</v>
      </c>
      <c r="I34" s="26" t="n">
        <v>8</v>
      </c>
      <c r="J34" s="21" t="inlineStr">
        <is>
          <t>★★★ High</t>
        </is>
      </c>
      <c r="K34" s="26" t="inlineStr">
        <is>
          <t>Theory</t>
        </is>
      </c>
      <c r="L34" s="22" t="inlineStr">
        <is>
          <t>✔ Solved</t>
        </is>
      </c>
      <c r="M34" s="6" t="inlineStr">
        <is>
          <t>2022-23 2(b) (CSE 311); 2020-21 4(a) (CSE 311); 2018-19 1(b) (CSE 311)</t>
        </is>
      </c>
      <c r="N34" s="23" t="b">
        <v>0</v>
      </c>
      <c r="O34" s="26" t="n"/>
      <c r="P34" s="26" t="n"/>
      <c r="Q34" s="6" t="n"/>
    </row>
    <row r="35">
      <c r="A35" s="26" t="n">
        <v>32</v>
      </c>
      <c r="B35" s="26" t="inlineStr">
        <is>
          <t>2021-22</t>
        </is>
      </c>
      <c r="C35" s="26" t="inlineStr">
        <is>
          <t>CSE 311</t>
        </is>
      </c>
      <c r="D35" s="26" t="inlineStr">
        <is>
          <t>6(a)</t>
        </is>
      </c>
      <c r="E35" s="6" t="inlineStr">
        <is>
          <t>Power spectral density; power from PSD</t>
        </is>
      </c>
      <c r="F35" s="6" t="inlineStr">
        <is>
          <t>LTI in frequency, filters, bandwidth — Lec 7, sl. 45–59 + textbook</t>
        </is>
      </c>
      <c r="G35" s="26" t="inlineStr">
        <is>
          <t>L19</t>
        </is>
      </c>
      <c r="H35" s="26" t="n">
        <v>5</v>
      </c>
      <c r="I35" s="26" t="n">
        <v>10</v>
      </c>
      <c r="J35" s="21" t="inlineStr">
        <is>
          <t>★★★ High</t>
        </is>
      </c>
      <c r="K35" s="26" t="inlineStr">
        <is>
          <t>Theory</t>
        </is>
      </c>
      <c r="L35" s="22" t="inlineStr">
        <is>
          <t>✔ Solved</t>
        </is>
      </c>
      <c r="M35" s="6" t="inlineStr">
        <is>
          <t>2020-21 2(a) (EEE)</t>
        </is>
      </c>
      <c r="N35" s="23" t="b">
        <v>0</v>
      </c>
      <c r="O35" s="26" t="n"/>
      <c r="P35" s="26" t="n"/>
      <c r="Q35" s="6" t="n"/>
    </row>
    <row r="36">
      <c r="A36" s="26" t="n">
        <v>33</v>
      </c>
      <c r="B36" s="26" t="inlineStr">
        <is>
          <t>2021-22</t>
        </is>
      </c>
      <c r="C36" s="26" t="inlineStr">
        <is>
          <t>EEE 211</t>
        </is>
      </c>
      <c r="D36" s="26" t="inlineStr">
        <is>
          <t>6(b)</t>
        </is>
      </c>
      <c r="E36" s="6" t="inlineStr">
        <is>
          <t>h = e^{2t}u(−t): 3-dB bandwidth, 1/e duration, product</t>
        </is>
      </c>
      <c r="F36" s="6" t="inlineStr">
        <is>
          <t>LTI in frequency, filters, bandwidth — Lec 7, sl. 45–59 + textbook</t>
        </is>
      </c>
      <c r="G36" s="26" t="inlineStr">
        <is>
          <t>L19</t>
        </is>
      </c>
      <c r="H36" s="26" t="n">
        <v>15</v>
      </c>
      <c r="I36" s="26" t="inlineStr">
        <is>
          <t>EEE p.15</t>
        </is>
      </c>
      <c r="J36" s="21" t="inlineStr">
        <is>
          <t>★★★ High</t>
        </is>
      </c>
      <c r="K36" s="26" t="inlineStr">
        <is>
          <t>Numerical</t>
        </is>
      </c>
      <c r="L36" s="22" t="inlineStr">
        <is>
          <t>✔ Solved</t>
        </is>
      </c>
      <c r="M36" s="6" t="inlineStr">
        <is>
          <t>2020-21 2(b) (EEE); 2019-20 6(a) (EEE)</t>
        </is>
      </c>
      <c r="N36" s="23" t="b">
        <v>0</v>
      </c>
      <c r="O36" s="26" t="n"/>
      <c r="P36" s="26" t="n"/>
      <c r="Q36" s="6" t="n"/>
    </row>
    <row r="37">
      <c r="A37" s="26" t="n">
        <v>34</v>
      </c>
      <c r="B37" s="26" t="inlineStr">
        <is>
          <t>2020-21</t>
        </is>
      </c>
      <c r="C37" s="26" t="inlineStr">
        <is>
          <t>EEE 211</t>
        </is>
      </c>
      <c r="D37" s="26" t="inlineStr">
        <is>
          <t>2(a)</t>
        </is>
      </c>
      <c r="E37" s="6" t="inlineStr">
        <is>
          <t>PSD of Σδ(t−nT)</t>
        </is>
      </c>
      <c r="F37" s="6" t="inlineStr">
        <is>
          <t>LTI in frequency, filters, bandwidth — Lec 7, sl. 45–59 + textbook</t>
        </is>
      </c>
      <c r="G37" s="26" t="inlineStr">
        <is>
          <t>L19</t>
        </is>
      </c>
      <c r="H37" s="26" t="n">
        <v>8</v>
      </c>
      <c r="I37" s="26" t="inlineStr">
        <is>
          <t>EEE p.17</t>
        </is>
      </c>
      <c r="J37" s="21" t="inlineStr">
        <is>
          <t>★★★ High</t>
        </is>
      </c>
      <c r="K37" s="26" t="inlineStr">
        <is>
          <t>Numerical</t>
        </is>
      </c>
      <c r="L37" s="22" t="inlineStr">
        <is>
          <t>✔ Solved</t>
        </is>
      </c>
      <c r="M37" s="6" t="inlineStr">
        <is>
          <t>2021-22 6(a) (CSE 311)</t>
        </is>
      </c>
      <c r="N37" s="23" t="b">
        <v>0</v>
      </c>
      <c r="O37" s="26" t="n"/>
      <c r="P37" s="26" t="n"/>
      <c r="Q37" s="6" t="n"/>
    </row>
    <row r="38">
      <c r="A38" s="26" t="n">
        <v>35</v>
      </c>
      <c r="B38" s="26" t="inlineStr">
        <is>
          <t>2020-21</t>
        </is>
      </c>
      <c r="C38" s="26" t="inlineStr">
        <is>
          <t>EEE 211</t>
        </is>
      </c>
      <c r="D38" s="26" t="inlineStr">
        <is>
          <t>2(b)</t>
        </is>
      </c>
      <c r="E38" s="6" t="inlineStr">
        <is>
          <t>3-dB bandwidth of e^{−3t}u(t)</t>
        </is>
      </c>
      <c r="F38" s="6" t="inlineStr">
        <is>
          <t>LTI in frequency, filters, bandwidth — Lec 7, sl. 45–59 + textbook</t>
        </is>
      </c>
      <c r="G38" s="26" t="inlineStr">
        <is>
          <t>L19</t>
        </is>
      </c>
      <c r="H38" s="26" t="n">
        <v>7</v>
      </c>
      <c r="I38" s="26" t="inlineStr">
        <is>
          <t>EEE p.17</t>
        </is>
      </c>
      <c r="J38" s="21" t="inlineStr">
        <is>
          <t>★★★ High</t>
        </is>
      </c>
      <c r="K38" s="26" t="inlineStr">
        <is>
          <t>Numerical</t>
        </is>
      </c>
      <c r="L38" s="22" t="inlineStr">
        <is>
          <t>✔ Solved</t>
        </is>
      </c>
      <c r="M38" s="6" t="inlineStr">
        <is>
          <t>2021-22 6(b) (EEE); 2019-20 6(a) (EEE)</t>
        </is>
      </c>
      <c r="N38" s="23" t="b">
        <v>0</v>
      </c>
      <c r="O38" s="26" t="n"/>
      <c r="P38" s="26" t="n"/>
      <c r="Q38" s="6" t="n"/>
    </row>
    <row r="39">
      <c r="A39" s="26" t="n">
        <v>36</v>
      </c>
      <c r="B39" s="26" t="inlineStr">
        <is>
          <t>2020-21</t>
        </is>
      </c>
      <c r="C39" s="26" t="inlineStr">
        <is>
          <t>EEE 211</t>
        </is>
      </c>
      <c r="D39" s="26" t="inlineStr">
        <is>
          <t>2(c)</t>
        </is>
      </c>
      <c r="E39" s="6" t="inlineStr">
        <is>
          <t>Causal y''+6y'+8y = 2x: H(ω); response to te^{−2t}u(t)</t>
        </is>
      </c>
      <c r="F39" s="6" t="inlineStr">
        <is>
          <t>LTI in frequency, filters, bandwidth — Lec 7, sl. 45–59 + textbook</t>
        </is>
      </c>
      <c r="G39" s="26" t="inlineStr">
        <is>
          <t>L19</t>
        </is>
      </c>
      <c r="H39" s="26" t="n">
        <v>20</v>
      </c>
      <c r="I39" s="26" t="inlineStr">
        <is>
          <t>EEE p.17</t>
        </is>
      </c>
      <c r="J39" s="21" t="inlineStr">
        <is>
          <t>★★★ High</t>
        </is>
      </c>
      <c r="K39" s="26" t="inlineStr">
        <is>
          <t>Numerical</t>
        </is>
      </c>
      <c r="L39" s="22" t="inlineStr">
        <is>
          <t>✔ Solved</t>
        </is>
      </c>
      <c r="M39" s="6" t="inlineStr">
        <is>
          <t>2018-19 4(a) (EEE)</t>
        </is>
      </c>
      <c r="N39" s="23" t="b">
        <v>0</v>
      </c>
      <c r="O39" s="26" t="n"/>
      <c r="P39" s="26" t="n"/>
      <c r="Q39" s="6" t="n"/>
    </row>
    <row r="40">
      <c r="A40" s="26" t="n">
        <v>37</v>
      </c>
      <c r="B40" s="26" t="inlineStr">
        <is>
          <t>2020-21</t>
        </is>
      </c>
      <c r="C40" s="26" t="inlineStr">
        <is>
          <t>CSE 311</t>
        </is>
      </c>
      <c r="D40" s="26" t="inlineStr">
        <is>
          <t>4(a)</t>
        </is>
      </c>
      <c r="E40" s="6" t="inlineStr">
        <is>
          <t>Characteristics of a distortionless system and their physical meaning</t>
        </is>
      </c>
      <c r="F40" s="6" t="inlineStr">
        <is>
          <t>LTI in frequency, filters, bandwidth — Lec 7, sl. 45–59 + textbook</t>
        </is>
      </c>
      <c r="G40" s="26" t="inlineStr">
        <is>
          <t>L19</t>
        </is>
      </c>
      <c r="H40" s="26" t="n">
        <v>20</v>
      </c>
      <c r="I40" s="26" t="n">
        <v>12</v>
      </c>
      <c r="J40" s="21" t="inlineStr">
        <is>
          <t>★★★ High</t>
        </is>
      </c>
      <c r="K40" s="26" t="inlineStr">
        <is>
          <t>Theory</t>
        </is>
      </c>
      <c r="L40" s="22" t="inlineStr">
        <is>
          <t>✔ Solved</t>
        </is>
      </c>
      <c r="M40" s="6" t="inlineStr">
        <is>
          <t>2022-23 2(b) (CSE 311); 2021-22 2(a) (CSE 311); 2018-19 1(b) (CSE 311)</t>
        </is>
      </c>
      <c r="N40" s="23" t="b">
        <v>0</v>
      </c>
      <c r="O40" s="26" t="n"/>
      <c r="P40" s="26" t="n"/>
      <c r="Q40" s="6" t="n"/>
    </row>
    <row r="41">
      <c r="A41" s="26" t="n">
        <v>38</v>
      </c>
      <c r="B41" s="26" t="inlineStr">
        <is>
          <t>2019-20</t>
        </is>
      </c>
      <c r="C41" s="26" t="inlineStr">
        <is>
          <t>EEE 211</t>
        </is>
      </c>
      <c r="D41" s="26" t="inlineStr">
        <is>
          <t>6(a)</t>
        </is>
      </c>
      <c r="E41" s="6" t="inlineStr">
        <is>
          <t>1/e duration of Ae^{−t/T}u(t), x₁(3t), x₁(t/2)</t>
        </is>
      </c>
      <c r="F41" s="6" t="inlineStr">
        <is>
          <t>LTI in frequency, filters, bandwidth — Lec 7, sl. 45–59 + textbook</t>
        </is>
      </c>
      <c r="G41" s="26" t="inlineStr">
        <is>
          <t>L19</t>
        </is>
      </c>
      <c r="H41" s="26" t="n">
        <v>15</v>
      </c>
      <c r="I41" s="26" t="inlineStr">
        <is>
          <t>EEE p.25</t>
        </is>
      </c>
      <c r="J41" s="21" t="inlineStr">
        <is>
          <t>★★★ High</t>
        </is>
      </c>
      <c r="K41" s="26" t="inlineStr">
        <is>
          <t>Numerical</t>
        </is>
      </c>
      <c r="L41" s="22" t="inlineStr">
        <is>
          <t>✔ Solved</t>
        </is>
      </c>
      <c r="M41" s="6" t="inlineStr">
        <is>
          <t>2021-22 6(b) (EEE); 2020-21 2(b) (EEE)</t>
        </is>
      </c>
      <c r="N41" s="23" t="b">
        <v>0</v>
      </c>
      <c r="O41" s="26" t="n"/>
      <c r="P41" s="26" t="n"/>
      <c r="Q41" s="6" t="n"/>
    </row>
    <row r="42">
      <c r="A42" s="26" t="n">
        <v>39</v>
      </c>
      <c r="B42" s="26" t="inlineStr">
        <is>
          <t>2018-19</t>
        </is>
      </c>
      <c r="C42" s="26" t="inlineStr">
        <is>
          <t>CSE 311</t>
        </is>
      </c>
      <c r="D42" s="26" t="inlineStr">
        <is>
          <t>1(b)</t>
        </is>
      </c>
      <c r="E42" s="6" t="inlineStr">
        <is>
          <t>Distortionless transmission; is an all-pass system distortionless?</t>
        </is>
      </c>
      <c r="F42" s="6" t="inlineStr">
        <is>
          <t>LTI in frequency, filters, bandwidth — Lec 7, sl. 45–59 + textbook</t>
        </is>
      </c>
      <c r="G42" s="26" t="inlineStr">
        <is>
          <t>L19</t>
        </is>
      </c>
      <c r="H42" s="26" t="n">
        <v>14</v>
      </c>
      <c r="I42" s="26" t="n">
        <v>18</v>
      </c>
      <c r="J42" s="24" t="inlineStr">
        <is>
          <t>★★ Medium</t>
        </is>
      </c>
      <c r="K42" s="26" t="inlineStr">
        <is>
          <t>Theory</t>
        </is>
      </c>
      <c r="L42" s="22" t="inlineStr">
        <is>
          <t>✔ Solved</t>
        </is>
      </c>
      <c r="M42" s="6" t="inlineStr">
        <is>
          <t>2022-23 2(b) (CSE 311); 2021-22 2(a) (CSE 311); 2020-21 4(a) (CSE 311)</t>
        </is>
      </c>
      <c r="N42" s="23" t="b">
        <v>0</v>
      </c>
      <c r="O42" s="26" t="n"/>
      <c r="P42" s="26" t="n"/>
      <c r="Q42" s="6" t="n"/>
    </row>
    <row r="43">
      <c r="A43" s="26" t="n">
        <v>40</v>
      </c>
      <c r="B43" s="26" t="inlineStr">
        <is>
          <t>2018-19</t>
        </is>
      </c>
      <c r="C43" s="26" t="inlineStr">
        <is>
          <t>EEE 211</t>
        </is>
      </c>
      <c r="D43" s="26" t="inlineStr">
        <is>
          <t>2(b)</t>
        </is>
      </c>
      <c r="E43" s="6" t="inlineStr">
        <is>
          <t>x = e^{−αt}u through h = sin2t/(πt): Y(ω); α for half the input energy</t>
        </is>
      </c>
      <c r="F43" s="6" t="inlineStr">
        <is>
          <t>LTI in frequency, filters, bandwidth — Lec 7, sl. 45–59 + textbook</t>
        </is>
      </c>
      <c r="G43" s="26" t="inlineStr">
        <is>
          <t>L19</t>
        </is>
      </c>
      <c r="H43" s="26" t="n">
        <v>10</v>
      </c>
      <c r="I43" s="26" t="inlineStr">
        <is>
          <t>EEE p.27–28</t>
        </is>
      </c>
      <c r="J43" s="22" t="inlineStr">
        <is>
          <t>★ Low</t>
        </is>
      </c>
      <c r="K43" s="26" t="inlineStr">
        <is>
          <t>Numerical</t>
        </is>
      </c>
      <c r="L43" s="22" t="inlineStr">
        <is>
          <t>✔ Solved</t>
        </is>
      </c>
      <c r="M43" s="6" t="inlineStr">
        <is>
          <t>—</t>
        </is>
      </c>
      <c r="N43" s="23" t="b">
        <v>0</v>
      </c>
      <c r="O43" s="26" t="n"/>
      <c r="P43" s="26" t="n"/>
      <c r="Q43" s="6" t="n"/>
    </row>
    <row r="44">
      <c r="A44" s="26" t="n">
        <v>41</v>
      </c>
      <c r="B44" s="26" t="inlineStr">
        <is>
          <t>2018-19</t>
        </is>
      </c>
      <c r="C44" s="26" t="inlineStr">
        <is>
          <t>EEE 211</t>
        </is>
      </c>
      <c r="D44" s="26" t="inlineStr">
        <is>
          <t>4(a)</t>
        </is>
      </c>
      <c r="E44" s="6" t="inlineStr">
        <is>
          <t>Causal y''+6y'+8y = 2x by FT: h(t); y for x = te^{−2t}u</t>
        </is>
      </c>
      <c r="F44" s="6" t="inlineStr">
        <is>
          <t>LTI in frequency, filters, bandwidth — Lec 7, sl. 45–59 + textbook</t>
        </is>
      </c>
      <c r="G44" s="26" t="inlineStr">
        <is>
          <t>L19</t>
        </is>
      </c>
      <c r="H44" s="26" t="n">
        <v>17</v>
      </c>
      <c r="I44" s="26" t="inlineStr">
        <is>
          <t>EEE p.29</t>
        </is>
      </c>
      <c r="J44" s="24" t="inlineStr">
        <is>
          <t>★★ Medium</t>
        </is>
      </c>
      <c r="K44" s="26" t="inlineStr">
        <is>
          <t>Numerical</t>
        </is>
      </c>
      <c r="L44" s="22" t="inlineStr">
        <is>
          <t>✔ Solved</t>
        </is>
      </c>
      <c r="M44" s="6" t="inlineStr">
        <is>
          <t>2020-21 2(c) (EEE)</t>
        </is>
      </c>
      <c r="N44" s="23" t="b">
        <v>0</v>
      </c>
      <c r="O44" s="26" t="n"/>
      <c r="P44" s="26" t="n"/>
      <c r="Q44" s="6" t="n"/>
    </row>
  </sheetData>
  <autoFilter ref="A3:Q44"/>
  <conditionalFormatting sqref="A4:Q44">
    <cfRule type="expression" priority="1" dxfId="0">
      <formula>$N4=TRUE</formula>
    </cfRule>
  </conditionalFormatting>
  <conditionalFormatting sqref="O4:O44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44" showDropDown="0" showInputMessage="0" showErrorMessage="0" allowBlank="1" type="list">
      <formula1>"TRUE,FALSE"</formula1>
    </dataValidation>
    <dataValidation sqref="O4:O44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2026-10-26T07:25:24Z</dcterms:created>
  <dcterms:modified xmlns:dcterms="http://purl.org/dc/terms/" xmlns:xsi="http://www.w3.org/2001/XMLSchema-instance" xsi:type="dcterms:W3CDTF">2026-10-26T07:25:24Z</dcterms:modified>
</cp:coreProperties>
</file>