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1 Ch1 Performance" sheetId="3" state="visible" r:id="rId3"/>
    <sheet xmlns:r="http://schemas.openxmlformats.org/officeDocument/2006/relationships" name="2 ALU Design" sheetId="4" state="visible" r:id="rId4"/>
    <sheet xmlns:r="http://schemas.openxmlformats.org/officeDocument/2006/relationships" name="3 Ch2 MIPS ISA" sheetId="5" state="visible" r:id="rId5"/>
    <sheet xmlns:r="http://schemas.openxmlformats.org/officeDocument/2006/relationships" name="4 Ch3 Arithmetic" sheetId="6" state="visible" r:id="rId6"/>
    <sheet xmlns:r="http://schemas.openxmlformats.org/officeDocument/2006/relationships" name="Outside Notes" sheetId="7" state="visible" r:id="rId7"/>
  </sheets>
  <definedNames>
    <definedName name="_xlnm._FilterDatabase" localSheetId="2" hidden="1">'1 Ch1 Performance'!$A$3:$Q$30</definedName>
    <definedName name="_xlnm._FilterDatabase" localSheetId="3" hidden="1">'2 ALU Design'!$A$3:$Q$14</definedName>
    <definedName name="_xlnm._FilterDatabase" localSheetId="4" hidden="1">'3 Ch2 MIPS ISA'!$A$3:$Q$73</definedName>
    <definedName name="_xlnm._FilterDatabase" localSheetId="5" hidden="1">'4 Ch3 Arithmetic'!$A$3:$Q$34</definedName>
    <definedName name="_xlnm._FilterDatabase" localSheetId="6" hidden="1">'Outside Notes'!$A$3:$J$21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F3864"/>
      <sz val="16"/>
    </font>
    <font>
      <b val="1"/>
    </font>
    <font>
      <b val="1"/>
      <color rgb="001F3864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/>
    </xf>
    <xf numFmtId="9" fontId="5" fillId="10" borderId="1" applyAlignment="1" pivotButton="0" quotePrefix="0" xfId="0">
      <alignment horizontal="center"/>
    </xf>
    <xf numFmtId="0" fontId="6" fillId="0" borderId="0" pivotButton="0" quotePrefix="0" xfId="0"/>
    <xf numFmtId="0" fontId="0" fillId="11" borderId="1" applyAlignment="1" pivotButton="0" quotePrefix="0" xfId="0">
      <alignment horizontal="center"/>
    </xf>
    <xf numFmtId="9" fontId="0" fillId="11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9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2">
      <c r="B2" s="1" t="inlineStr">
        <is>
          <t>CSE 209 (Tushar Sir part) — TF Practice Tracker</t>
        </is>
      </c>
    </row>
    <row r="3">
      <c r="B3" s="2" t="inlineStr">
        <is>
          <t>Every ART-part question in TF209.pdf (CSE209 ALL TF QUES), mapped to the note file and lesson that teaches it.</t>
        </is>
      </c>
    </row>
    <row r="5">
      <c r="B5" s="3" t="inlineStr">
        <is>
          <t>Workflow — after you finish a note file</t>
        </is>
      </c>
      <c r="C5" s="4" t="n"/>
    </row>
    <row r="6">
      <c r="B6" s="5" t="inlineStr">
        <is>
          <t>1. Open its tab</t>
        </is>
      </c>
      <c r="C6" s="6" t="inlineStr">
        <is>
          <t>Tabs 1–4 follow the order of your note files. Q No. runs lesson by lesson, newest year first inside each lesson.</t>
        </is>
      </c>
    </row>
    <row r="7">
      <c r="B7" s="5" t="inlineStr">
        <is>
          <t>2. Filter</t>
        </is>
      </c>
      <c r="C7" s="6" t="inlineStr">
        <is>
          <t>Use the filter arrow on Priority → ★★★ High first (2019-20 onward). Then ★★ Medium, then ★ Low.</t>
        </is>
      </c>
    </row>
    <row r="8">
      <c r="B8" s="5" t="inlineStr">
        <is>
          <t>3. Solve</t>
        </is>
      </c>
      <c r="C8" s="6" t="inlineStr">
        <is>
          <t>Open TF209.pdf (CSE209 ALL TF QUES) at the TF Page shown. Solve on paper under exam time (≈1.5 min per mark). Do not read the note solution first.</t>
        </is>
      </c>
    </row>
    <row r="9">
      <c r="B9" s="5" t="inlineStr">
        <is>
          <t>4. Check</t>
        </is>
      </c>
      <c r="C9" s="6" t="inlineStr">
        <is>
          <t>In Notes tells you what the note has: ✔ Solved = same question worked out; ◐ Method = method / model answer you can apply; ○ Partly = notes cover most of it, finish the rest yourself.</t>
        </is>
      </c>
    </row>
    <row r="10">
      <c r="B10" s="5" t="inlineStr">
        <is>
          <t>5. Record</t>
        </is>
      </c>
      <c r="C10" s="6" t="inlineStr">
        <is>
          <t>Tick Done, pick Confidence, add the Date. Write mistakes in My Notes. Re-solve every 'Weak' row before the exam.</t>
        </is>
      </c>
    </row>
    <row r="11">
      <c r="B11" s="5" t="inlineStr">
        <is>
          <t>6. Repeats</t>
        </is>
      </c>
      <c r="C11" s="6" t="inlineStr">
        <is>
          <t>'Same Type Also In' lists other papers with the same question type. Solve one, then try a repeat cold — that is the real test.</t>
        </is>
      </c>
    </row>
    <row r="13">
      <c r="B13" s="3" t="inlineStr">
        <is>
          <t>Columns you edit (all others are fixed data)</t>
        </is>
      </c>
      <c r="C13" s="4" t="n"/>
    </row>
    <row r="14">
      <c r="B14" s="5" t="inlineStr">
        <is>
          <t>Done (col N)</t>
        </is>
      </c>
      <c r="C14" s="6" t="inlineStr">
        <is>
          <t>TRUE / FALSE. In Google Sheets: select N4 downward → Insert → Checkbox. The values stay; ticking turns the row green.</t>
        </is>
      </c>
    </row>
    <row r="15">
      <c r="B15" s="5" t="inlineStr">
        <is>
          <t>Confidence (col O)</t>
        </is>
      </c>
      <c r="C15" s="6" t="inlineStr">
        <is>
          <t>Dropdown: Weak / OK / Strong. Weak rows turn the cell red.</t>
        </is>
      </c>
    </row>
    <row r="16">
      <c r="B16" s="5" t="inlineStr">
        <is>
          <t>Date (col P)</t>
        </is>
      </c>
      <c r="C16" s="6" t="inlineStr">
        <is>
          <t>Date you solved it, e.g. 16-Oct-2026.</t>
        </is>
      </c>
    </row>
    <row r="17">
      <c r="B17" s="5" t="inlineStr">
        <is>
          <t>My Notes (col Q)</t>
        </is>
      </c>
      <c r="C17" s="6" t="inlineStr">
        <is>
          <t>Mistakes, missing steps, formula you forgot.</t>
        </is>
      </c>
    </row>
    <row r="19">
      <c r="B19" s="3" t="inlineStr">
        <is>
          <t>Legend</t>
        </is>
      </c>
      <c r="C19" s="4" t="n"/>
    </row>
    <row r="20">
      <c r="B20" s="5" t="inlineStr">
        <is>
          <t>★★★ High</t>
        </is>
      </c>
      <c r="C20" s="6" t="inlineStr">
        <is>
          <t>Asked in 2019-20 or later (most important — current question style).</t>
        </is>
      </c>
    </row>
    <row r="21">
      <c r="B21" s="5" t="inlineStr">
        <is>
          <t>★★ Medium</t>
        </is>
      </c>
      <c r="C21" s="6" t="inlineStr">
        <is>
          <t>Older paper, but the same question type appears at least twice in TF.</t>
        </is>
      </c>
    </row>
    <row r="22">
      <c r="B22" s="5" t="inlineStr">
        <is>
          <t>★ Low</t>
        </is>
      </c>
      <c r="C22" s="6" t="inlineStr">
        <is>
          <t>Older paper, asked once.</t>
        </is>
      </c>
    </row>
    <row r="23">
      <c r="B23" s="5" t="inlineStr">
        <is>
          <t>Type</t>
        </is>
      </c>
      <c r="C23" s="6" t="inlineStr">
        <is>
          <t>Numerical = calculation · Trace = tables / step-by-step simulation · Design = construct / draw · Proof = prove / disprove · Theory = explain.</t>
        </is>
      </c>
    </row>
    <row r="24">
      <c r="B24" s="5" t="inlineStr">
        <is>
          <t>Course</t>
        </is>
      </c>
      <c r="C24" s="6" t="inlineStr">
        <is>
          <t>CSE 209 = current course code; CSE 305 = old code for the same content.</t>
        </is>
      </c>
    </row>
    <row r="25">
      <c r="B25" s="5" t="inlineStr">
        <is>
          <t>Topic</t>
        </is>
      </c>
      <c r="C25" s="6" t="inlineStr">
        <is>
          <t>Note lesson title — slide PDF and slide numbers.</t>
        </is>
      </c>
    </row>
    <row r="26">
      <c r="B26" s="5" t="inlineStr">
        <is>
          <t>Outside Notes tab</t>
        </is>
      </c>
      <c r="C26" s="6" t="inlineStr">
        <is>
          <t>ART-section questions from older papers on topics not in the current slides. Check with your teacher before spending time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1" customWidth="1" min="3" max="3"/>
    <col width="8" customWidth="1" min="4" max="4"/>
    <col width="9" customWidth="1" min="5" max="5"/>
    <col width="12" customWidth="1" min="6" max="6"/>
    <col width="11" customWidth="1" min="7" max="7"/>
    <col width="14" customWidth="1" min="8" max="8"/>
    <col width="7" customWidth="1" min="9" max="9"/>
    <col width="46" customWidth="1" min="10" max="10"/>
  </cols>
  <sheetData>
    <row r="1">
      <c r="A1" s="1" t="inlineStr">
        <is>
          <t>Progress Dashboard</t>
        </is>
      </c>
    </row>
    <row r="2">
      <c r="A2" s="2" t="inlineStr">
        <is>
          <t>Updates automatically when you tick Done / set Confidence in tabs 1–4.</t>
        </is>
      </c>
    </row>
    <row r="4">
      <c r="A4" s="7" t="inlineStr">
        <is>
          <t>#</t>
        </is>
      </c>
      <c r="B4" s="7" t="inlineStr">
        <is>
          <t>Note file (tab)</t>
        </is>
      </c>
      <c r="C4" s="7" t="inlineStr">
        <is>
          <t>Questions</t>
        </is>
      </c>
      <c r="D4" s="7" t="inlineStr">
        <is>
          <t>Done</t>
        </is>
      </c>
      <c r="E4" s="7" t="inlineStr">
        <is>
          <t>% Done</t>
        </is>
      </c>
      <c r="F4" s="7" t="inlineStr">
        <is>
          <t>Marks (total)</t>
        </is>
      </c>
      <c r="G4" s="7" t="inlineStr">
        <is>
          <t>Marks done</t>
        </is>
      </c>
      <c r="H4" s="7" t="inlineStr">
        <is>
          <t>High-priority left</t>
        </is>
      </c>
      <c r="I4" s="7" t="inlineStr">
        <is>
          <t>Weak</t>
        </is>
      </c>
      <c r="J4" s="7" t="inlineStr">
        <is>
          <t>Next unsolved (top of tab)</t>
        </is>
      </c>
    </row>
    <row r="5">
      <c r="A5" s="8" t="n">
        <v>1</v>
      </c>
      <c r="B5" s="9" t="inlineStr">
        <is>
          <t>1 Ch1 Performance</t>
        </is>
      </c>
      <c r="C5" s="8">
        <f>COUNTA('1 Ch1 Performance'!$E$4:$E$30)</f>
        <v/>
      </c>
      <c r="D5" s="8">
        <f>COUNTIF('1 Ch1 Performance'!$N$4:$N$30,TRUE())</f>
        <v/>
      </c>
      <c r="E5" s="10">
        <f>IF(C5=0,0,D5/C5)</f>
        <v/>
      </c>
      <c r="F5" s="8">
        <f>SUM('1 Ch1 Performance'!$H$4:$H$30)</f>
        <v/>
      </c>
      <c r="G5" s="8">
        <f>SUMIF('1 Ch1 Performance'!$N$4:$N$30,TRUE(),'1 Ch1 Performance'!$H$4:$H$30)</f>
        <v/>
      </c>
      <c r="H5" s="8">
        <f>COUNTIFS('1 Ch1 Performance'!$J$4:$J$30,"★★★ High",'1 Ch1 Performance'!$N$4:$N$30,FALSE())</f>
        <v/>
      </c>
      <c r="I5" s="8">
        <f>COUNTIF('1 Ch1 Performance'!$O$4:$O$30,"Weak")</f>
        <v/>
      </c>
      <c r="J5" s="9">
        <f>IFERROR("Q"&amp;INDEX('1 Ch1 Performance'!$A$4:$A$30,MATCH(FALSE(),'1 Ch1 Performance'!$N$4:$N$30,0))&amp;" · "&amp;INDEX('1 Ch1 Performance'!$B$4:$B$30,MATCH(FALSE(),'1 Ch1 Performance'!$N$4:$N$30,0))&amp;" "&amp;INDEX('1 Ch1 Performance'!$D$4:$D$30,MATCH(FALSE(),'1 Ch1 Performance'!$N$4:$N$30,0))&amp;" · TF p."&amp;INDEX('1 Ch1 Performance'!$I$4:$I$30,MATCH(FALSE(),'1 Ch1 Performance'!$N$4:$N$30,0)),"All done ✔")</f>
        <v/>
      </c>
    </row>
    <row r="6">
      <c r="A6" s="8" t="n">
        <v>2</v>
      </c>
      <c r="B6" s="9" t="inlineStr">
        <is>
          <t>2 ALU Design</t>
        </is>
      </c>
      <c r="C6" s="8">
        <f>COUNTA('2 ALU Design'!$E$4:$E$14)</f>
        <v/>
      </c>
      <c r="D6" s="8">
        <f>COUNTIF('2 ALU Design'!$N$4:$N$14,TRUE())</f>
        <v/>
      </c>
      <c r="E6" s="10">
        <f>IF(C6=0,0,D6/C6)</f>
        <v/>
      </c>
      <c r="F6" s="8">
        <f>SUM('2 ALU Design'!$H$4:$H$14)</f>
        <v/>
      </c>
      <c r="G6" s="8">
        <f>SUMIF('2 ALU Design'!$N$4:$N$14,TRUE(),'2 ALU Design'!$H$4:$H$14)</f>
        <v/>
      </c>
      <c r="H6" s="8">
        <f>COUNTIFS('2 ALU Design'!$J$4:$J$14,"★★★ High",'2 ALU Design'!$N$4:$N$14,FALSE())</f>
        <v/>
      </c>
      <c r="I6" s="8">
        <f>COUNTIF('2 ALU Design'!$O$4:$O$14,"Weak")</f>
        <v/>
      </c>
      <c r="J6" s="9">
        <f>IFERROR("Q"&amp;INDEX('2 ALU Design'!$A$4:$A$14,MATCH(FALSE(),'2 ALU Design'!$N$4:$N$14,0))&amp;" · "&amp;INDEX('2 ALU Design'!$B$4:$B$14,MATCH(FALSE(),'2 ALU Design'!$N$4:$N$14,0))&amp;" "&amp;INDEX('2 ALU Design'!$D$4:$D$14,MATCH(FALSE(),'2 ALU Design'!$N$4:$N$14,0))&amp;" · TF p."&amp;INDEX('2 ALU Design'!$I$4:$I$14,MATCH(FALSE(),'2 ALU Design'!$N$4:$N$14,0)),"All done ✔")</f>
        <v/>
      </c>
    </row>
    <row r="7">
      <c r="A7" s="8" t="n">
        <v>3</v>
      </c>
      <c r="B7" s="9" t="inlineStr">
        <is>
          <t>3 Ch2 MIPS ISA</t>
        </is>
      </c>
      <c r="C7" s="8">
        <f>COUNTA('3 Ch2 MIPS ISA'!$E$4:$E$73)</f>
        <v/>
      </c>
      <c r="D7" s="8">
        <f>COUNTIF('3 Ch2 MIPS ISA'!$N$4:$N$73,TRUE())</f>
        <v/>
      </c>
      <c r="E7" s="10">
        <f>IF(C7=0,0,D7/C7)</f>
        <v/>
      </c>
      <c r="F7" s="8">
        <f>SUM('3 Ch2 MIPS ISA'!$H$4:$H$73)</f>
        <v/>
      </c>
      <c r="G7" s="8">
        <f>SUMIF('3 Ch2 MIPS ISA'!$N$4:$N$73,TRUE(),'3 Ch2 MIPS ISA'!$H$4:$H$73)</f>
        <v/>
      </c>
      <c r="H7" s="8">
        <f>COUNTIFS('3 Ch2 MIPS ISA'!$J$4:$J$73,"★★★ High",'3 Ch2 MIPS ISA'!$N$4:$N$73,FALSE())</f>
        <v/>
      </c>
      <c r="I7" s="8">
        <f>COUNTIF('3 Ch2 MIPS ISA'!$O$4:$O$73,"Weak")</f>
        <v/>
      </c>
      <c r="J7" s="9">
        <f>IFERROR("Q"&amp;INDEX('3 Ch2 MIPS ISA'!$A$4:$A$73,MATCH(FALSE(),'3 Ch2 MIPS ISA'!$N$4:$N$73,0))&amp;" · "&amp;INDEX('3 Ch2 MIPS ISA'!$B$4:$B$73,MATCH(FALSE(),'3 Ch2 MIPS ISA'!$N$4:$N$73,0))&amp;" "&amp;INDEX('3 Ch2 MIPS ISA'!$D$4:$D$73,MATCH(FALSE(),'3 Ch2 MIPS ISA'!$N$4:$N$73,0))&amp;" · TF p."&amp;INDEX('3 Ch2 MIPS ISA'!$I$4:$I$73,MATCH(FALSE(),'3 Ch2 MIPS ISA'!$N$4:$N$73,0)),"All done ✔")</f>
        <v/>
      </c>
    </row>
    <row r="8">
      <c r="A8" s="8" t="n">
        <v>4</v>
      </c>
      <c r="B8" s="9" t="inlineStr">
        <is>
          <t>4 Ch3 Arithmetic</t>
        </is>
      </c>
      <c r="C8" s="8">
        <f>COUNTA('4 Ch3 Arithmetic'!$E$4:$E$34)</f>
        <v/>
      </c>
      <c r="D8" s="8">
        <f>COUNTIF('4 Ch3 Arithmetic'!$N$4:$N$34,TRUE())</f>
        <v/>
      </c>
      <c r="E8" s="10">
        <f>IF(C8=0,0,D8/C8)</f>
        <v/>
      </c>
      <c r="F8" s="8">
        <f>SUM('4 Ch3 Arithmetic'!$H$4:$H$34)</f>
        <v/>
      </c>
      <c r="G8" s="8">
        <f>SUMIF('4 Ch3 Arithmetic'!$N$4:$N$34,TRUE(),'4 Ch3 Arithmetic'!$H$4:$H$34)</f>
        <v/>
      </c>
      <c r="H8" s="8">
        <f>COUNTIFS('4 Ch3 Arithmetic'!$J$4:$J$34,"★★★ High",'4 Ch3 Arithmetic'!$N$4:$N$34,FALSE())</f>
        <v/>
      </c>
      <c r="I8" s="8">
        <f>COUNTIF('4 Ch3 Arithmetic'!$O$4:$O$34,"Weak")</f>
        <v/>
      </c>
      <c r="J8" s="9">
        <f>IFERROR("Q"&amp;INDEX('4 Ch3 Arithmetic'!$A$4:$A$34,MATCH(FALSE(),'4 Ch3 Arithmetic'!$N$4:$N$34,0))&amp;" · "&amp;INDEX('4 Ch3 Arithmetic'!$B$4:$B$34,MATCH(FALSE(),'4 Ch3 Arithmetic'!$N$4:$N$34,0))&amp;" "&amp;INDEX('4 Ch3 Arithmetic'!$D$4:$D$34,MATCH(FALSE(),'4 Ch3 Arithmetic'!$N$4:$N$34,0))&amp;" · TF p."&amp;INDEX('4 Ch3 Arithmetic'!$I$4:$I$34,MATCH(FALSE(),'4 Ch3 Arithmetic'!$N$4:$N$34,0)),"All done ✔")</f>
        <v/>
      </c>
    </row>
    <row r="9">
      <c r="B9" s="11" t="inlineStr">
        <is>
          <t>TOTAL</t>
        </is>
      </c>
      <c r="C9" s="11">
        <f>SUM(C5:C8)</f>
        <v/>
      </c>
      <c r="D9" s="11">
        <f>SUM(D5:D8)</f>
        <v/>
      </c>
      <c r="E9" s="12">
        <f>IF(C9=0,0,D9/C9)</f>
        <v/>
      </c>
      <c r="F9" s="11">
        <f>SUM(F5:F8)</f>
        <v/>
      </c>
      <c r="G9" s="11">
        <f>SUM(G5:G8)</f>
        <v/>
      </c>
      <c r="H9" s="11">
        <f>SUM(H5:H8)</f>
        <v/>
      </c>
      <c r="I9" s="11">
        <f>SUM(I5:I8)</f>
        <v/>
      </c>
    </row>
    <row r="11">
      <c r="A11" s="13" t="inlineStr">
        <is>
          <t>Questions by year (tabs 1–4)</t>
        </is>
      </c>
    </row>
    <row r="12">
      <c r="A12" s="7" t="inlineStr">
        <is>
          <t>#</t>
        </is>
      </c>
      <c r="B12" s="7" t="inlineStr">
        <is>
          <t>Year</t>
        </is>
      </c>
      <c r="C12" s="7" t="inlineStr">
        <is>
          <t>Questions</t>
        </is>
      </c>
      <c r="D12" s="7" t="inlineStr">
        <is>
          <t>Done</t>
        </is>
      </c>
      <c r="E12" s="7" t="inlineStr">
        <is>
          <t>% Done</t>
        </is>
      </c>
      <c r="F12" s="7" t="inlineStr">
        <is>
          <t>Marks (total)</t>
        </is>
      </c>
    </row>
    <row r="13">
      <c r="A13" s="14" t="n">
        <v>1</v>
      </c>
      <c r="B13" s="14" t="inlineStr">
        <is>
          <t>2023-24</t>
        </is>
      </c>
      <c r="C13" s="14">
        <f>COUNTIF('1 Ch1 Performance'!$B$4:$B$30,$B13)+COUNTIF('2 ALU Design'!$B$4:$B$14,$B13)+COUNTIF('3 Ch2 MIPS ISA'!$B$4:$B$73,$B13)+COUNTIF('4 Ch3 Arithmetic'!$B$4:$B$34,$B13)</f>
        <v/>
      </c>
      <c r="D13" s="14">
        <f>COUNTIFS('1 Ch1 Performance'!$B$4:$B$30,$B13,'1 Ch1 Performance'!$N$4:$N$30,TRUE())+COUNTIFS('2 ALU Design'!$B$4:$B$14,$B13,'2 ALU Design'!$N$4:$N$14,TRUE())+COUNTIFS('3 Ch2 MIPS ISA'!$B$4:$B$73,$B13,'3 Ch2 MIPS ISA'!$N$4:$N$73,TRUE())+COUNTIFS('4 Ch3 Arithmetic'!$B$4:$B$34,$B13,'4 Ch3 Arithmetic'!$N$4:$N$34,TRUE())</f>
        <v/>
      </c>
      <c r="E13" s="15">
        <f>IF(C13=0,0,D13/C13)</f>
        <v/>
      </c>
      <c r="F13" s="14">
        <f>SUMIF('1 Ch1 Performance'!$B$4:$B$30,$B13,'1 Ch1 Performance'!$H$4:$H$30)+SUMIF('2 ALU Design'!$B$4:$B$14,$B13,'2 ALU Design'!$H$4:$H$14)+SUMIF('3 Ch2 MIPS ISA'!$B$4:$B$73,$B13,'3 Ch2 MIPS ISA'!$H$4:$H$73)+SUMIF('4 Ch3 Arithmetic'!$B$4:$B$34,$B13,'4 Ch3 Arithmetic'!$H$4:$H$34)</f>
        <v/>
      </c>
    </row>
    <row r="14">
      <c r="A14" s="14" t="n">
        <v>2</v>
      </c>
      <c r="B14" s="14" t="inlineStr">
        <is>
          <t>2022-23</t>
        </is>
      </c>
      <c r="C14" s="14">
        <f>COUNTIF('1 Ch1 Performance'!$B$4:$B$30,$B14)+COUNTIF('2 ALU Design'!$B$4:$B$14,$B14)+COUNTIF('3 Ch2 MIPS ISA'!$B$4:$B$73,$B14)+COUNTIF('4 Ch3 Arithmetic'!$B$4:$B$34,$B14)</f>
        <v/>
      </c>
      <c r="D14" s="14">
        <f>COUNTIFS('1 Ch1 Performance'!$B$4:$B$30,$B14,'1 Ch1 Performance'!$N$4:$N$30,TRUE())+COUNTIFS('2 ALU Design'!$B$4:$B$14,$B14,'2 ALU Design'!$N$4:$N$14,TRUE())+COUNTIFS('3 Ch2 MIPS ISA'!$B$4:$B$73,$B14,'3 Ch2 MIPS ISA'!$N$4:$N$73,TRUE())+COUNTIFS('4 Ch3 Arithmetic'!$B$4:$B$34,$B14,'4 Ch3 Arithmetic'!$N$4:$N$34,TRUE())</f>
        <v/>
      </c>
      <c r="E14" s="15">
        <f>IF(C14=0,0,D14/C14)</f>
        <v/>
      </c>
      <c r="F14" s="14">
        <f>SUMIF('1 Ch1 Performance'!$B$4:$B$30,$B14,'1 Ch1 Performance'!$H$4:$H$30)+SUMIF('2 ALU Design'!$B$4:$B$14,$B14,'2 ALU Design'!$H$4:$H$14)+SUMIF('3 Ch2 MIPS ISA'!$B$4:$B$73,$B14,'3 Ch2 MIPS ISA'!$H$4:$H$73)+SUMIF('4 Ch3 Arithmetic'!$B$4:$B$34,$B14,'4 Ch3 Arithmetic'!$H$4:$H$34)</f>
        <v/>
      </c>
    </row>
    <row r="15">
      <c r="A15" s="14" t="n">
        <v>3</v>
      </c>
      <c r="B15" s="14" t="inlineStr">
        <is>
          <t>2021-22</t>
        </is>
      </c>
      <c r="C15" s="14">
        <f>COUNTIF('1 Ch1 Performance'!$B$4:$B$30,$B15)+COUNTIF('2 ALU Design'!$B$4:$B$14,$B15)+COUNTIF('3 Ch2 MIPS ISA'!$B$4:$B$73,$B15)+COUNTIF('4 Ch3 Arithmetic'!$B$4:$B$34,$B15)</f>
        <v/>
      </c>
      <c r="D15" s="14">
        <f>COUNTIFS('1 Ch1 Performance'!$B$4:$B$30,$B15,'1 Ch1 Performance'!$N$4:$N$30,TRUE())+COUNTIFS('2 ALU Design'!$B$4:$B$14,$B15,'2 ALU Design'!$N$4:$N$14,TRUE())+COUNTIFS('3 Ch2 MIPS ISA'!$B$4:$B$73,$B15,'3 Ch2 MIPS ISA'!$N$4:$N$73,TRUE())+COUNTIFS('4 Ch3 Arithmetic'!$B$4:$B$34,$B15,'4 Ch3 Arithmetic'!$N$4:$N$34,TRUE())</f>
        <v/>
      </c>
      <c r="E15" s="15">
        <f>IF(C15=0,0,D15/C15)</f>
        <v/>
      </c>
      <c r="F15" s="14">
        <f>SUMIF('1 Ch1 Performance'!$B$4:$B$30,$B15,'1 Ch1 Performance'!$H$4:$H$30)+SUMIF('2 ALU Design'!$B$4:$B$14,$B15,'2 ALU Design'!$H$4:$H$14)+SUMIF('3 Ch2 MIPS ISA'!$B$4:$B$73,$B15,'3 Ch2 MIPS ISA'!$H$4:$H$73)+SUMIF('4 Ch3 Arithmetic'!$B$4:$B$34,$B15,'4 Ch3 Arithmetic'!$H$4:$H$34)</f>
        <v/>
      </c>
    </row>
    <row r="16">
      <c r="A16" s="14" t="n">
        <v>4</v>
      </c>
      <c r="B16" s="14" t="inlineStr">
        <is>
          <t>2020-21</t>
        </is>
      </c>
      <c r="C16" s="14">
        <f>COUNTIF('1 Ch1 Performance'!$B$4:$B$30,$B16)+COUNTIF('2 ALU Design'!$B$4:$B$14,$B16)+COUNTIF('3 Ch2 MIPS ISA'!$B$4:$B$73,$B16)+COUNTIF('4 Ch3 Arithmetic'!$B$4:$B$34,$B16)</f>
        <v/>
      </c>
      <c r="D16" s="14">
        <f>COUNTIFS('1 Ch1 Performance'!$B$4:$B$30,$B16,'1 Ch1 Performance'!$N$4:$N$30,TRUE())+COUNTIFS('2 ALU Design'!$B$4:$B$14,$B16,'2 ALU Design'!$N$4:$N$14,TRUE())+COUNTIFS('3 Ch2 MIPS ISA'!$B$4:$B$73,$B16,'3 Ch2 MIPS ISA'!$N$4:$N$73,TRUE())+COUNTIFS('4 Ch3 Arithmetic'!$B$4:$B$34,$B16,'4 Ch3 Arithmetic'!$N$4:$N$34,TRUE())</f>
        <v/>
      </c>
      <c r="E16" s="15">
        <f>IF(C16=0,0,D16/C16)</f>
        <v/>
      </c>
      <c r="F16" s="14">
        <f>SUMIF('1 Ch1 Performance'!$B$4:$B$30,$B16,'1 Ch1 Performance'!$H$4:$H$30)+SUMIF('2 ALU Design'!$B$4:$B$14,$B16,'2 ALU Design'!$H$4:$H$14)+SUMIF('3 Ch2 MIPS ISA'!$B$4:$B$73,$B16,'3 Ch2 MIPS ISA'!$H$4:$H$73)+SUMIF('4 Ch3 Arithmetic'!$B$4:$B$34,$B16,'4 Ch3 Arithmetic'!$H$4:$H$34)</f>
        <v/>
      </c>
    </row>
    <row r="17">
      <c r="A17" s="14" t="n">
        <v>5</v>
      </c>
      <c r="B17" s="14" t="inlineStr">
        <is>
          <t>2019-20</t>
        </is>
      </c>
      <c r="C17" s="14">
        <f>COUNTIF('1 Ch1 Performance'!$B$4:$B$30,$B17)+COUNTIF('2 ALU Design'!$B$4:$B$14,$B17)+COUNTIF('3 Ch2 MIPS ISA'!$B$4:$B$73,$B17)+COUNTIF('4 Ch3 Arithmetic'!$B$4:$B$34,$B17)</f>
        <v/>
      </c>
      <c r="D17" s="14">
        <f>COUNTIFS('1 Ch1 Performance'!$B$4:$B$30,$B17,'1 Ch1 Performance'!$N$4:$N$30,TRUE())+COUNTIFS('2 ALU Design'!$B$4:$B$14,$B17,'2 ALU Design'!$N$4:$N$14,TRUE())+COUNTIFS('3 Ch2 MIPS ISA'!$B$4:$B$73,$B17,'3 Ch2 MIPS ISA'!$N$4:$N$73,TRUE())+COUNTIFS('4 Ch3 Arithmetic'!$B$4:$B$34,$B17,'4 Ch3 Arithmetic'!$N$4:$N$34,TRUE())</f>
        <v/>
      </c>
      <c r="E17" s="15">
        <f>IF(C17=0,0,D17/C17)</f>
        <v/>
      </c>
      <c r="F17" s="14">
        <f>SUMIF('1 Ch1 Performance'!$B$4:$B$30,$B17,'1 Ch1 Performance'!$H$4:$H$30)+SUMIF('2 ALU Design'!$B$4:$B$14,$B17,'2 ALU Design'!$H$4:$H$14)+SUMIF('3 Ch2 MIPS ISA'!$B$4:$B$73,$B17,'3 Ch2 MIPS ISA'!$H$4:$H$73)+SUMIF('4 Ch3 Arithmetic'!$B$4:$B$34,$B17,'4 Ch3 Arithmetic'!$H$4:$H$34)</f>
        <v/>
      </c>
    </row>
    <row r="18">
      <c r="A18" s="16" t="n">
        <v>6</v>
      </c>
      <c r="B18" s="16" t="inlineStr">
        <is>
          <t>2018-19</t>
        </is>
      </c>
      <c r="C18" s="16">
        <f>COUNTIF('1 Ch1 Performance'!$B$4:$B$30,$B18)+COUNTIF('2 ALU Design'!$B$4:$B$14,$B18)+COUNTIF('3 Ch2 MIPS ISA'!$B$4:$B$73,$B18)+COUNTIF('4 Ch3 Arithmetic'!$B$4:$B$34,$B18)</f>
        <v/>
      </c>
      <c r="D18" s="16">
        <f>COUNTIFS('1 Ch1 Performance'!$B$4:$B$30,$B18,'1 Ch1 Performance'!$N$4:$N$30,TRUE())+COUNTIFS('2 ALU Design'!$B$4:$B$14,$B18,'2 ALU Design'!$N$4:$N$14,TRUE())+COUNTIFS('3 Ch2 MIPS ISA'!$B$4:$B$73,$B18,'3 Ch2 MIPS ISA'!$N$4:$N$73,TRUE())+COUNTIFS('4 Ch3 Arithmetic'!$B$4:$B$34,$B18,'4 Ch3 Arithmetic'!$N$4:$N$34,TRUE())</f>
        <v/>
      </c>
      <c r="E18" s="17">
        <f>IF(C18=0,0,D18/C18)</f>
        <v/>
      </c>
      <c r="F18" s="16">
        <f>SUMIF('1 Ch1 Performance'!$B$4:$B$30,$B18,'1 Ch1 Performance'!$H$4:$H$30)+SUMIF('2 ALU Design'!$B$4:$B$14,$B18,'2 ALU Design'!$H$4:$H$14)+SUMIF('3 Ch2 MIPS ISA'!$B$4:$B$73,$B18,'3 Ch2 MIPS ISA'!$H$4:$H$73)+SUMIF('4 Ch3 Arithmetic'!$B$4:$B$34,$B18,'4 Ch3 Arithmetic'!$H$4:$H$34)</f>
        <v/>
      </c>
    </row>
    <row r="19">
      <c r="A19" s="16" t="n">
        <v>7</v>
      </c>
      <c r="B19" s="16" t="inlineStr">
        <is>
          <t>2017-18</t>
        </is>
      </c>
      <c r="C19" s="16">
        <f>COUNTIF('1 Ch1 Performance'!$B$4:$B$30,$B19)+COUNTIF('2 ALU Design'!$B$4:$B$14,$B19)+COUNTIF('3 Ch2 MIPS ISA'!$B$4:$B$73,$B19)+COUNTIF('4 Ch3 Arithmetic'!$B$4:$B$34,$B19)</f>
        <v/>
      </c>
      <c r="D19" s="16">
        <f>COUNTIFS('1 Ch1 Performance'!$B$4:$B$30,$B19,'1 Ch1 Performance'!$N$4:$N$30,TRUE())+COUNTIFS('2 ALU Design'!$B$4:$B$14,$B19,'2 ALU Design'!$N$4:$N$14,TRUE())+COUNTIFS('3 Ch2 MIPS ISA'!$B$4:$B$73,$B19,'3 Ch2 MIPS ISA'!$N$4:$N$73,TRUE())+COUNTIFS('4 Ch3 Arithmetic'!$B$4:$B$34,$B19,'4 Ch3 Arithmetic'!$N$4:$N$34,TRUE())</f>
        <v/>
      </c>
      <c r="E19" s="17">
        <f>IF(C19=0,0,D19/C19)</f>
        <v/>
      </c>
      <c r="F19" s="16">
        <f>SUMIF('1 Ch1 Performance'!$B$4:$B$30,$B19,'1 Ch1 Performance'!$H$4:$H$30)+SUMIF('2 ALU Design'!$B$4:$B$14,$B19,'2 ALU Design'!$H$4:$H$14)+SUMIF('3 Ch2 MIPS ISA'!$B$4:$B$73,$B19,'3 Ch2 MIPS ISA'!$H$4:$H$73)+SUMIF('4 Ch3 Arithmetic'!$B$4:$B$34,$B19,'4 Ch3 Arithmetic'!$H$4:$H$34)</f>
        <v/>
      </c>
    </row>
    <row r="20">
      <c r="A20" s="16" t="n">
        <v>8</v>
      </c>
      <c r="B20" s="16" t="inlineStr">
        <is>
          <t>2016-17</t>
        </is>
      </c>
      <c r="C20" s="16">
        <f>COUNTIF('1 Ch1 Performance'!$B$4:$B$30,$B20)+COUNTIF('2 ALU Design'!$B$4:$B$14,$B20)+COUNTIF('3 Ch2 MIPS ISA'!$B$4:$B$73,$B20)+COUNTIF('4 Ch3 Arithmetic'!$B$4:$B$34,$B20)</f>
        <v/>
      </c>
      <c r="D20" s="16">
        <f>COUNTIFS('1 Ch1 Performance'!$B$4:$B$30,$B20,'1 Ch1 Performance'!$N$4:$N$30,TRUE())+COUNTIFS('2 ALU Design'!$B$4:$B$14,$B20,'2 ALU Design'!$N$4:$N$14,TRUE())+COUNTIFS('3 Ch2 MIPS ISA'!$B$4:$B$73,$B20,'3 Ch2 MIPS ISA'!$N$4:$N$73,TRUE())+COUNTIFS('4 Ch3 Arithmetic'!$B$4:$B$34,$B20,'4 Ch3 Arithmetic'!$N$4:$N$34,TRUE())</f>
        <v/>
      </c>
      <c r="E20" s="17">
        <f>IF(C20=0,0,D20/C20)</f>
        <v/>
      </c>
      <c r="F20" s="16">
        <f>SUMIF('1 Ch1 Performance'!$B$4:$B$30,$B20,'1 Ch1 Performance'!$H$4:$H$30)+SUMIF('2 ALU Design'!$B$4:$B$14,$B20,'2 ALU Design'!$H$4:$H$14)+SUMIF('3 Ch2 MIPS ISA'!$B$4:$B$73,$B20,'3 Ch2 MIPS ISA'!$H$4:$H$73)+SUMIF('4 Ch3 Arithmetic'!$B$4:$B$34,$B20,'4 Ch3 Arithmetic'!$H$4:$H$34)</f>
        <v/>
      </c>
    </row>
    <row r="21">
      <c r="A21" s="16" t="n">
        <v>9</v>
      </c>
      <c r="B21" s="16" t="inlineStr">
        <is>
          <t>2015-16</t>
        </is>
      </c>
      <c r="C21" s="16">
        <f>COUNTIF('1 Ch1 Performance'!$B$4:$B$30,$B21)+COUNTIF('2 ALU Design'!$B$4:$B$14,$B21)+COUNTIF('3 Ch2 MIPS ISA'!$B$4:$B$73,$B21)+COUNTIF('4 Ch3 Arithmetic'!$B$4:$B$34,$B21)</f>
        <v/>
      </c>
      <c r="D21" s="16">
        <f>COUNTIFS('1 Ch1 Performance'!$B$4:$B$30,$B21,'1 Ch1 Performance'!$N$4:$N$30,TRUE())+COUNTIFS('2 ALU Design'!$B$4:$B$14,$B21,'2 ALU Design'!$N$4:$N$14,TRUE())+COUNTIFS('3 Ch2 MIPS ISA'!$B$4:$B$73,$B21,'3 Ch2 MIPS ISA'!$N$4:$N$73,TRUE())+COUNTIFS('4 Ch3 Arithmetic'!$B$4:$B$34,$B21,'4 Ch3 Arithmetic'!$N$4:$N$34,TRUE())</f>
        <v/>
      </c>
      <c r="E21" s="17">
        <f>IF(C21=0,0,D21/C21)</f>
        <v/>
      </c>
      <c r="F21" s="16">
        <f>SUMIF('1 Ch1 Performance'!$B$4:$B$30,$B21,'1 Ch1 Performance'!$H$4:$H$30)+SUMIF('2 ALU Design'!$B$4:$B$14,$B21,'2 ALU Design'!$H$4:$H$14)+SUMIF('3 Ch2 MIPS ISA'!$B$4:$B$73,$B21,'3 Ch2 MIPS ISA'!$H$4:$H$73)+SUMIF('4 Ch3 Arithmetic'!$B$4:$B$34,$B21,'4 Ch3 Arithmetic'!$H$4:$H$34)</f>
        <v/>
      </c>
    </row>
    <row r="22">
      <c r="A22" s="16" t="n">
        <v>10</v>
      </c>
      <c r="B22" s="16" t="inlineStr">
        <is>
          <t>2014-15</t>
        </is>
      </c>
      <c r="C22" s="16">
        <f>COUNTIF('1 Ch1 Performance'!$B$4:$B$30,$B22)+COUNTIF('2 ALU Design'!$B$4:$B$14,$B22)+COUNTIF('3 Ch2 MIPS ISA'!$B$4:$B$73,$B22)+COUNTIF('4 Ch3 Arithmetic'!$B$4:$B$34,$B22)</f>
        <v/>
      </c>
      <c r="D22" s="16">
        <f>COUNTIFS('1 Ch1 Performance'!$B$4:$B$30,$B22,'1 Ch1 Performance'!$N$4:$N$30,TRUE())+COUNTIFS('2 ALU Design'!$B$4:$B$14,$B22,'2 ALU Design'!$N$4:$N$14,TRUE())+COUNTIFS('3 Ch2 MIPS ISA'!$B$4:$B$73,$B22,'3 Ch2 MIPS ISA'!$N$4:$N$73,TRUE())+COUNTIFS('4 Ch3 Arithmetic'!$B$4:$B$34,$B22,'4 Ch3 Arithmetic'!$N$4:$N$34,TRUE())</f>
        <v/>
      </c>
      <c r="E22" s="17">
        <f>IF(C22=0,0,D22/C22)</f>
        <v/>
      </c>
      <c r="F22" s="16">
        <f>SUMIF('1 Ch1 Performance'!$B$4:$B$30,$B22,'1 Ch1 Performance'!$H$4:$H$30)+SUMIF('2 ALU Design'!$B$4:$B$14,$B22,'2 ALU Design'!$H$4:$H$14)+SUMIF('3 Ch2 MIPS ISA'!$B$4:$B$73,$B22,'3 Ch2 MIPS ISA'!$H$4:$H$73)+SUMIF('4 Ch3 Arithmetic'!$B$4:$B$34,$B22,'4 Ch3 Arithmetic'!$H$4:$H$34)</f>
        <v/>
      </c>
    </row>
    <row r="23">
      <c r="A23" s="16" t="n">
        <v>11</v>
      </c>
      <c r="B23" s="16" t="inlineStr">
        <is>
          <t>2013-14</t>
        </is>
      </c>
      <c r="C23" s="16">
        <f>COUNTIF('1 Ch1 Performance'!$B$4:$B$30,$B23)+COUNTIF('2 ALU Design'!$B$4:$B$14,$B23)+COUNTIF('3 Ch2 MIPS ISA'!$B$4:$B$73,$B23)+COUNTIF('4 Ch3 Arithmetic'!$B$4:$B$34,$B23)</f>
        <v/>
      </c>
      <c r="D23" s="16">
        <f>COUNTIFS('1 Ch1 Performance'!$B$4:$B$30,$B23,'1 Ch1 Performance'!$N$4:$N$30,TRUE())+COUNTIFS('2 ALU Design'!$B$4:$B$14,$B23,'2 ALU Design'!$N$4:$N$14,TRUE())+COUNTIFS('3 Ch2 MIPS ISA'!$B$4:$B$73,$B23,'3 Ch2 MIPS ISA'!$N$4:$N$73,TRUE())+COUNTIFS('4 Ch3 Arithmetic'!$B$4:$B$34,$B23,'4 Ch3 Arithmetic'!$N$4:$N$34,TRUE())</f>
        <v/>
      </c>
      <c r="E23" s="17">
        <f>IF(C23=0,0,D23/C23)</f>
        <v/>
      </c>
      <c r="F23" s="16">
        <f>SUMIF('1 Ch1 Performance'!$B$4:$B$30,$B23,'1 Ch1 Performance'!$H$4:$H$30)+SUMIF('2 ALU Design'!$B$4:$B$14,$B23,'2 ALU Design'!$H$4:$H$14)+SUMIF('3 Ch2 MIPS ISA'!$B$4:$B$73,$B23,'3 Ch2 MIPS ISA'!$H$4:$H$73)+SUMIF('4 Ch3 Arithmetic'!$B$4:$B$34,$B23,'4 Ch3 Arithmetic'!$H$4:$H$34)</f>
        <v/>
      </c>
    </row>
    <row r="24">
      <c r="A24" s="16" t="n">
        <v>12</v>
      </c>
      <c r="B24" s="16" t="inlineStr">
        <is>
          <t>2012-13</t>
        </is>
      </c>
      <c r="C24" s="16">
        <f>COUNTIF('1 Ch1 Performance'!$B$4:$B$30,$B24)+COUNTIF('2 ALU Design'!$B$4:$B$14,$B24)+COUNTIF('3 Ch2 MIPS ISA'!$B$4:$B$73,$B24)+COUNTIF('4 Ch3 Arithmetic'!$B$4:$B$34,$B24)</f>
        <v/>
      </c>
      <c r="D24" s="16">
        <f>COUNTIFS('1 Ch1 Performance'!$B$4:$B$30,$B24,'1 Ch1 Performance'!$N$4:$N$30,TRUE())+COUNTIFS('2 ALU Design'!$B$4:$B$14,$B24,'2 ALU Design'!$N$4:$N$14,TRUE())+COUNTIFS('3 Ch2 MIPS ISA'!$B$4:$B$73,$B24,'3 Ch2 MIPS ISA'!$N$4:$N$73,TRUE())+COUNTIFS('4 Ch3 Arithmetic'!$B$4:$B$34,$B24,'4 Ch3 Arithmetic'!$N$4:$N$34,TRUE())</f>
        <v/>
      </c>
      <c r="E24" s="17">
        <f>IF(C24=0,0,D24/C24)</f>
        <v/>
      </c>
      <c r="F24" s="16">
        <f>SUMIF('1 Ch1 Performance'!$B$4:$B$30,$B24,'1 Ch1 Performance'!$H$4:$H$30)+SUMIF('2 ALU Design'!$B$4:$B$14,$B24,'2 ALU Design'!$H$4:$H$14)+SUMIF('3 Ch2 MIPS ISA'!$B$4:$B$73,$B24,'3 Ch2 MIPS ISA'!$H$4:$H$73)+SUMIF('4 Ch3 Arithmetic'!$B$4:$B$34,$B24,'4 Ch3 Arithmetic'!$H$4:$H$34)</f>
        <v/>
      </c>
    </row>
    <row r="25">
      <c r="A25" s="16" t="n">
        <v>13</v>
      </c>
      <c r="B25" s="16" t="inlineStr">
        <is>
          <t>2011-12</t>
        </is>
      </c>
      <c r="C25" s="16">
        <f>COUNTIF('1 Ch1 Performance'!$B$4:$B$30,$B25)+COUNTIF('2 ALU Design'!$B$4:$B$14,$B25)+COUNTIF('3 Ch2 MIPS ISA'!$B$4:$B$73,$B25)+COUNTIF('4 Ch3 Arithmetic'!$B$4:$B$34,$B25)</f>
        <v/>
      </c>
      <c r="D25" s="16">
        <f>COUNTIFS('1 Ch1 Performance'!$B$4:$B$30,$B25,'1 Ch1 Performance'!$N$4:$N$30,TRUE())+COUNTIFS('2 ALU Design'!$B$4:$B$14,$B25,'2 ALU Design'!$N$4:$N$14,TRUE())+COUNTIFS('3 Ch2 MIPS ISA'!$B$4:$B$73,$B25,'3 Ch2 MIPS ISA'!$N$4:$N$73,TRUE())+COUNTIFS('4 Ch3 Arithmetic'!$B$4:$B$34,$B25,'4 Ch3 Arithmetic'!$N$4:$N$34,TRUE())</f>
        <v/>
      </c>
      <c r="E25" s="17">
        <f>IF(C25=0,0,D25/C25)</f>
        <v/>
      </c>
      <c r="F25" s="16">
        <f>SUMIF('1 Ch1 Performance'!$B$4:$B$30,$B25,'1 Ch1 Performance'!$H$4:$H$30)+SUMIF('2 ALU Design'!$B$4:$B$14,$B25,'2 ALU Design'!$H$4:$H$14)+SUMIF('3 Ch2 MIPS ISA'!$B$4:$B$73,$B25,'3 Ch2 MIPS ISA'!$H$4:$H$73)+SUMIF('4 Ch3 Arithmetic'!$B$4:$B$34,$B25,'4 Ch3 Arithmetic'!$H$4:$H$34)</f>
        <v/>
      </c>
    </row>
    <row r="26">
      <c r="B26" s="2" t="inlineStr">
        <is>
          <t>Shaded years = ★★★ High priority (2019-20 onward).</t>
        </is>
      </c>
    </row>
    <row r="27">
      <c r="B27" s="2" t="inlineStr">
        <is>
          <t>'CSE 209 (22 batch).pdf' is identical to TF209 pp. 1–7 (2023-24); 'All Merged Questions.pdf' = TF209 pp. 8–87.</t>
        </is>
      </c>
    </row>
    <row r="28">
      <c r="B28" s="2" t="inlineStr">
        <is>
          <t>Outside Notes rows marked 'solved in Ch3 notes L23' / 'Ch1 notes L4' have full textbook solutions in the notes.</t>
        </is>
      </c>
    </row>
    <row r="29">
      <c r="B29" s="2" t="inlineStr">
        <is>
          <t>2022-23 11(b) and 12(c) are shared with the RS tracker (jal and j-reach parts are there).</t>
        </is>
      </c>
    </row>
  </sheetData>
  <conditionalFormatting sqref="E5:E9">
    <cfRule type="dataBar" priority="1">
      <dataBar>
        <cfvo type="num" val="0"/>
        <cfvo type="num" val="1"/>
        <color rgb="0063BE7B"/>
      </dataBar>
    </cfRule>
  </conditionalFormatting>
  <conditionalFormatting sqref="E13:E25">
    <cfRule type="dataBar" priority="2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Chapter 1 — Abstractions, Technology &amp; Performance</t>
        </is>
      </c>
    </row>
    <row r="2">
      <c r="A2" s="2" t="inlineStr">
        <is>
          <t>Note file: CSE209_ART_Ch1_Performance_Notes.docx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2020-21</t>
        </is>
      </c>
      <c r="C4" s="19" t="inlineStr">
        <is>
          <t>CSE 305</t>
        </is>
      </c>
      <c r="D4" s="19" t="inlineStr">
        <is>
          <t>10(a)</t>
        </is>
      </c>
      <c r="E4" s="20" t="inlineStr">
        <is>
          <t>Briefly explain the eight great ideas in computer architecture</t>
        </is>
      </c>
      <c r="F4" s="20" t="inlineStr">
        <is>
          <t>Abstraction, components, great ideas — Ch1, sl. 1–13</t>
        </is>
      </c>
      <c r="G4" s="19" t="inlineStr">
        <is>
          <t>L1</t>
        </is>
      </c>
      <c r="H4" s="19" t="n">
        <v>12</v>
      </c>
      <c r="I4" s="19" t="inlineStr">
        <is>
          <t>30</t>
        </is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2011-12</t>
        </is>
      </c>
      <c r="C5" s="19" t="inlineStr">
        <is>
          <t>CSE 305</t>
        </is>
      </c>
      <c r="D5" s="19" t="inlineStr">
        <is>
          <t>1(a)</t>
        </is>
      </c>
      <c r="E5" s="20" t="inlineStr">
        <is>
          <t>Components of a computer and the task of each</t>
        </is>
      </c>
      <c r="F5" s="20" t="inlineStr">
        <is>
          <t>Abstraction, components, great ideas — Ch1, sl. 1–13</t>
        </is>
      </c>
      <c r="G5" s="19" t="inlineStr">
        <is>
          <t>L1</t>
        </is>
      </c>
      <c r="H5" s="19" t="n">
        <v>7.5</v>
      </c>
      <c r="I5" s="19" t="inlineStr">
        <is>
          <t>84</t>
        </is>
      </c>
      <c r="J5" s="22" t="inlineStr">
        <is>
          <t>★ Low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—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2023-24</t>
        </is>
      </c>
      <c r="C6" s="24" t="inlineStr">
        <is>
          <t>CSE 209</t>
        </is>
      </c>
      <c r="D6" s="24" t="inlineStr">
        <is>
          <t>6(a)</t>
        </is>
      </c>
      <c r="E6" s="6" t="inlineStr">
        <is>
          <t>A: 4 GHz, 10 s; B must run in 6 s but needs 1.2× the clock cycles — target clock rate of B?</t>
        </is>
      </c>
      <c r="F6" s="6" t="inlineStr">
        <is>
          <t>Response time, throughput, CPU time — Ch1, sl. 14–20</t>
        </is>
      </c>
      <c r="G6" s="24" t="inlineStr">
        <is>
          <t>L2</t>
        </is>
      </c>
      <c r="H6" s="24" t="n">
        <v>13</v>
      </c>
      <c r="I6" s="24" t="inlineStr">
        <is>
          <t>6</t>
        </is>
      </c>
      <c r="J6" s="21" t="inlineStr">
        <is>
          <t>★★★ High</t>
        </is>
      </c>
      <c r="K6" s="24" t="inlineStr">
        <is>
          <t>Numerical</t>
        </is>
      </c>
      <c r="L6" s="22" t="inlineStr">
        <is>
          <t>✔ Solved</t>
        </is>
      </c>
      <c r="M6" s="6" t="inlineStr">
        <is>
          <t>2015-16 1(a)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2022-23</t>
        </is>
      </c>
      <c r="C7" s="24" t="inlineStr">
        <is>
          <t>CSE 305</t>
        </is>
      </c>
      <c r="D7" s="24" t="inlineStr">
        <is>
          <t>7(a)</t>
        </is>
      </c>
      <c r="E7" s="6" t="inlineStr">
        <is>
          <t>Define response time and throughput. Are they synonymous?</t>
        </is>
      </c>
      <c r="F7" s="6" t="inlineStr">
        <is>
          <t>Response time, throughput, CPU time — Ch1, sl. 14–20</t>
        </is>
      </c>
      <c r="G7" s="24" t="inlineStr">
        <is>
          <t>L2</t>
        </is>
      </c>
      <c r="H7" s="24" t="n">
        <v>5</v>
      </c>
      <c r="I7" s="24" t="inlineStr">
        <is>
          <t>19</t>
        </is>
      </c>
      <c r="J7" s="21" t="inlineStr">
        <is>
          <t>★★★ High</t>
        </is>
      </c>
      <c r="K7" s="24" t="inlineStr">
        <is>
          <t>Theory</t>
        </is>
      </c>
      <c r="L7" s="22" t="inlineStr">
        <is>
          <t>✔ Solved</t>
        </is>
      </c>
      <c r="M7" s="6" t="inlineStr">
        <is>
          <t>2013-14 5(a)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2015-16</t>
        </is>
      </c>
      <c r="C8" s="24" t="inlineStr">
        <is>
          <t>CSE 305</t>
        </is>
      </c>
      <c r="D8" s="24" t="inlineStr">
        <is>
          <t>1(a)</t>
        </is>
      </c>
      <c r="E8" s="6" t="inlineStr">
        <is>
          <t>P1 3 GHz CPI 1.5, P2 2.5 GHz CPI 1.0, P3 4 GHz CPI 2.2: highest IPS; cycles &amp; instr in 10 s; clock for −30 % time with +20 % CPI</t>
        </is>
      </c>
      <c r="F8" s="6" t="inlineStr">
        <is>
          <t>Response time, throughput, CPU time — Ch1, sl. 14–20</t>
        </is>
      </c>
      <c r="G8" s="24" t="inlineStr">
        <is>
          <t>L2</t>
        </is>
      </c>
      <c r="H8" s="24" t="n">
        <v>10</v>
      </c>
      <c r="I8" s="24" t="inlineStr">
        <is>
          <t>63</t>
        </is>
      </c>
      <c r="J8" s="25" t="inlineStr">
        <is>
          <t>★★ Medium</t>
        </is>
      </c>
      <c r="K8" s="24" t="inlineStr">
        <is>
          <t>Numerical</t>
        </is>
      </c>
      <c r="L8" s="22" t="inlineStr">
        <is>
          <t>✔ Solved</t>
        </is>
      </c>
      <c r="M8" s="6" t="inlineStr">
        <is>
          <t>2023-24 6(a)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2013-14</t>
        </is>
      </c>
      <c r="C9" s="24" t="inlineStr">
        <is>
          <t>CSE 305</t>
        </is>
      </c>
      <c r="D9" s="24" t="inlineStr">
        <is>
          <t>5(a)</t>
        </is>
      </c>
      <c r="E9" s="6" t="inlineStr">
        <is>
          <t>What is Moore's law? Response time and throughput</t>
        </is>
      </c>
      <c r="F9" s="6" t="inlineStr">
        <is>
          <t>Response time, throughput, CPU time — Ch1, sl. 14–20</t>
        </is>
      </c>
      <c r="G9" s="24" t="inlineStr">
        <is>
          <t>L2</t>
        </is>
      </c>
      <c r="H9" s="24" t="n">
        <v>6</v>
      </c>
      <c r="I9" s="24" t="inlineStr">
        <is>
          <t>75</t>
        </is>
      </c>
      <c r="J9" s="25" t="inlineStr">
        <is>
          <t>★★ Medium</t>
        </is>
      </c>
      <c r="K9" s="24" t="inlineStr">
        <is>
          <t>Theory</t>
        </is>
      </c>
      <c r="L9" s="22" t="inlineStr">
        <is>
          <t>✔ Solved</t>
        </is>
      </c>
      <c r="M9" s="6" t="inlineStr">
        <is>
          <t>2022-23 7(a) (CSE 305)</t>
        </is>
      </c>
      <c r="N9" s="23" t="b">
        <v>0</v>
      </c>
      <c r="O9" s="24" t="n"/>
      <c r="P9" s="24" t="n"/>
      <c r="Q9" s="6" t="n"/>
    </row>
    <row r="10">
      <c r="A10" s="19" t="n">
        <v>7</v>
      </c>
      <c r="B10" s="19" t="inlineStr">
        <is>
          <t>2022-23</t>
        </is>
      </c>
      <c r="C10" s="19" t="inlineStr">
        <is>
          <t>CSE 305</t>
        </is>
      </c>
      <c r="D10" s="19" t="inlineStr">
        <is>
          <t>6(d)</t>
        </is>
      </c>
      <c r="E10" s="20" t="inlineStr">
        <is>
          <t>P1 2.7 GHz (CPI 2,1,3,2) vs P2 3.2 GHz (2,3,2,3), 1.2×10⁶ instr 20/25/40/15 %: cycles, faster, max gain if 40 % improved</t>
        </is>
      </c>
      <c r="F10" s="20" t="inlineStr">
        <is>
          <t>CPI, instruction mix, performance equation — Ch1, sl. 21–25</t>
        </is>
      </c>
      <c r="G10" s="19" t="inlineStr">
        <is>
          <t>L3</t>
        </is>
      </c>
      <c r="H10" s="19" t="n">
        <v>15</v>
      </c>
      <c r="I10" s="19" t="inlineStr">
        <is>
          <t>19</t>
        </is>
      </c>
      <c r="J10" s="21" t="inlineStr">
        <is>
          <t>★★★ High</t>
        </is>
      </c>
      <c r="K10" s="19" t="inlineStr">
        <is>
          <t>Numerical</t>
        </is>
      </c>
      <c r="L10" s="22" t="inlineStr">
        <is>
          <t>✔ Solved</t>
        </is>
      </c>
      <c r="M10" s="20" t="inlineStr">
        <is>
          <t>2021-22 8(a); 2020-21 12(a); 2019-20 1(a); 2018-19 7(b); 2017-18 5(a); 2016-17 5(c); …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2021-22</t>
        </is>
      </c>
      <c r="C11" s="19" t="inlineStr">
        <is>
          <t>CSE 305</t>
        </is>
      </c>
      <c r="D11" s="19" t="inlineStr">
        <is>
          <t>8(a)</t>
        </is>
      </c>
      <c r="E11" s="20" t="inlineStr">
        <is>
          <t>P1 2.7 GHz (CPI 3,3,2) vs P2 3.5 GHz (2,4,1), 200,000 instr 25/60/15 %: cycles, time, CPI of C for 2×</t>
        </is>
      </c>
      <c r="F11" s="20" t="inlineStr">
        <is>
          <t>CPI, instruction mix, performance equation — Ch1, sl. 21–25</t>
        </is>
      </c>
      <c r="G11" s="19" t="inlineStr">
        <is>
          <t>L3</t>
        </is>
      </c>
      <c r="H11" s="19" t="n">
        <v>11</v>
      </c>
      <c r="I11" s="19" t="inlineStr">
        <is>
          <t>25</t>
        </is>
      </c>
      <c r="J11" s="21" t="inlineStr">
        <is>
          <t>★★★ High</t>
        </is>
      </c>
      <c r="K11" s="19" t="inlineStr">
        <is>
          <t>Numerical</t>
        </is>
      </c>
      <c r="L11" s="22" t="inlineStr">
        <is>
          <t>✔ Solved</t>
        </is>
      </c>
      <c r="M11" s="20" t="inlineStr">
        <is>
          <t>2022-23 6(d) (CSE 305); 2020-21 12(a); 2019-20 1(a); 2018-19 7(b); 2017-18 5(a); 2016-17 5(c); …</t>
        </is>
      </c>
      <c r="N11" s="23" t="b">
        <v>0</v>
      </c>
      <c r="O11" s="19" t="n"/>
      <c r="P11" s="19" t="n"/>
      <c r="Q11" s="20" t="n"/>
    </row>
    <row r="12">
      <c r="A12" s="19" t="n">
        <v>9</v>
      </c>
      <c r="B12" s="19" t="inlineStr">
        <is>
          <t>2020-21</t>
        </is>
      </c>
      <c r="C12" s="19" t="inlineStr">
        <is>
          <t>CSE 305</t>
        </is>
      </c>
      <c r="D12" s="19" t="inlineStr">
        <is>
          <t>12(a)</t>
        </is>
      </c>
      <c r="E12" s="20" t="inlineStr">
        <is>
          <t>Programs A and B (mult/add/sub/div CPI 3/1/2/4): which has the higher average CPI?</t>
        </is>
      </c>
      <c r="F12" s="20" t="inlineStr">
        <is>
          <t>CPI, instruction mix, performance equation — Ch1, sl. 21–25</t>
        </is>
      </c>
      <c r="G12" s="19" t="inlineStr">
        <is>
          <t>L3</t>
        </is>
      </c>
      <c r="H12" s="19" t="n">
        <v>8</v>
      </c>
      <c r="I12" s="19" t="inlineStr">
        <is>
          <t>33</t>
        </is>
      </c>
      <c r="J12" s="21" t="inlineStr">
        <is>
          <t>★★★ High</t>
        </is>
      </c>
      <c r="K12" s="19" t="inlineStr">
        <is>
          <t>Numerical</t>
        </is>
      </c>
      <c r="L12" s="22" t="inlineStr">
        <is>
          <t>✔ Solved</t>
        </is>
      </c>
      <c r="M12" s="20" t="inlineStr">
        <is>
          <t>2022-23 6(d) (CSE 305); 2021-22 8(a); 2019-20 1(a); 2018-19 7(b); 2017-18 5(a); 2016-17 5(c); …</t>
        </is>
      </c>
      <c r="N12" s="23" t="b">
        <v>0</v>
      </c>
      <c r="O12" s="19" t="n"/>
      <c r="P12" s="19" t="n"/>
      <c r="Q12" s="20" t="n"/>
    </row>
    <row r="13">
      <c r="A13" s="19" t="n">
        <v>10</v>
      </c>
      <c r="B13" s="19" t="inlineStr">
        <is>
          <t>2019-20</t>
        </is>
      </c>
      <c r="C13" s="19" t="inlineStr">
        <is>
          <t>CSE 305</t>
        </is>
      </c>
      <c r="D13" s="19" t="inlineStr">
        <is>
          <t>1(a)</t>
        </is>
      </c>
      <c r="E13" s="20" t="inlineStr">
        <is>
          <t>Logs of systems A (2 GHz) and B (2.5 GHz): compare performance on Program 1</t>
        </is>
      </c>
      <c r="F13" s="20" t="inlineStr">
        <is>
          <t>CPI, instruction mix, performance equation — Ch1, sl. 21–25</t>
        </is>
      </c>
      <c r="G13" s="19" t="inlineStr">
        <is>
          <t>L3</t>
        </is>
      </c>
      <c r="H13" s="19" t="n">
        <v>15</v>
      </c>
      <c r="I13" s="19" t="inlineStr">
        <is>
          <t>36</t>
        </is>
      </c>
      <c r="J13" s="21" t="inlineStr">
        <is>
          <t>★★★ High</t>
        </is>
      </c>
      <c r="K13" s="19" t="inlineStr">
        <is>
          <t>Numerical</t>
        </is>
      </c>
      <c r="L13" s="22" t="inlineStr">
        <is>
          <t>✔ Solved</t>
        </is>
      </c>
      <c r="M13" s="20" t="inlineStr">
        <is>
          <t>2022-23 6(d) (CSE 305); 2021-22 8(a); 2020-21 12(a); 2018-19 7(b); 2017-18 5(a); 2016-17 5(c); …</t>
        </is>
      </c>
      <c r="N13" s="23" t="b">
        <v>0</v>
      </c>
      <c r="O13" s="19" t="n"/>
      <c r="P13" s="19" t="n"/>
      <c r="Q13" s="20" t="n"/>
    </row>
    <row r="14">
      <c r="A14" s="19" t="n">
        <v>11</v>
      </c>
      <c r="B14" s="19" t="inlineStr">
        <is>
          <t>2018-19</t>
        </is>
      </c>
      <c r="C14" s="19" t="inlineStr">
        <is>
          <t>CSE 305</t>
        </is>
      </c>
      <c r="D14" s="19" t="inlineStr">
        <is>
          <t>7(b)</t>
        </is>
      </c>
      <c r="E14" s="20" t="inlineStr">
        <is>
          <t>4 GHz, FP/INT/LS/BR = 160/110/10/16 M, CPI 2/1/5/2: time; FP or LS CPI for 2×; ±15 %/−20 % change</t>
        </is>
      </c>
      <c r="F14" s="20" t="inlineStr">
        <is>
          <t>CPI, instruction mix, performance equation — Ch1, sl. 21–25</t>
        </is>
      </c>
      <c r="G14" s="19" t="inlineStr">
        <is>
          <t>L3</t>
        </is>
      </c>
      <c r="H14" s="19" t="n">
        <v>20</v>
      </c>
      <c r="I14" s="19" t="inlineStr">
        <is>
          <t>45–46</t>
        </is>
      </c>
      <c r="J14" s="25" t="inlineStr">
        <is>
          <t>★★ Medium</t>
        </is>
      </c>
      <c r="K14" s="19" t="inlineStr">
        <is>
          <t>Numerical</t>
        </is>
      </c>
      <c r="L14" s="22" t="inlineStr">
        <is>
          <t>✔ Solved</t>
        </is>
      </c>
      <c r="M14" s="20" t="inlineStr">
        <is>
          <t>2022-23 6(d) (CSE 305); 2021-22 8(a); 2020-21 12(a); 2019-20 1(a); 2017-18 5(a); 2016-17 5(c); …</t>
        </is>
      </c>
      <c r="N14" s="23" t="b">
        <v>0</v>
      </c>
      <c r="O14" s="19" t="n"/>
      <c r="P14" s="19" t="n"/>
      <c r="Q14" s="20" t="n"/>
    </row>
    <row r="15">
      <c r="A15" s="19" t="n">
        <v>12</v>
      </c>
      <c r="B15" s="19" t="inlineStr">
        <is>
          <t>2017-18</t>
        </is>
      </c>
      <c r="C15" s="19" t="inlineStr">
        <is>
          <t>CSE 305</t>
        </is>
      </c>
      <c r="D15" s="19" t="inlineStr">
        <is>
          <t>5(a)</t>
        </is>
      </c>
      <c r="E15" s="20" t="inlineStr">
        <is>
          <t>Classes A/B/C CPI 1.2/2/2.5; P1 (40,10,16) vs P2 (12,13,40): faster by how much; CPI of B for P1 2×</t>
        </is>
      </c>
      <c r="F15" s="20" t="inlineStr">
        <is>
          <t>CPI, instruction mix, performance equation — Ch1, sl. 21–25</t>
        </is>
      </c>
      <c r="G15" s="19" t="inlineStr">
        <is>
          <t>L3</t>
        </is>
      </c>
      <c r="H15" s="19" t="n">
        <v>15</v>
      </c>
      <c r="I15" s="19" t="inlineStr">
        <is>
          <t>51–52</t>
        </is>
      </c>
      <c r="J15" s="25" t="inlineStr">
        <is>
          <t>★★ Medium</t>
        </is>
      </c>
      <c r="K15" s="19" t="inlineStr">
        <is>
          <t>Numerical</t>
        </is>
      </c>
      <c r="L15" s="22" t="inlineStr">
        <is>
          <t>✔ Solved</t>
        </is>
      </c>
      <c r="M15" s="20" t="inlineStr">
        <is>
          <t>2022-23 6(d) (CSE 305); 2021-22 8(a); 2020-21 12(a); 2019-20 1(a); 2018-19 7(b); 2016-17 5(c); …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2016-17</t>
        </is>
      </c>
      <c r="C16" s="19" t="inlineStr">
        <is>
          <t>CSE 305</t>
        </is>
      </c>
      <c r="D16" s="19" t="inlineStr">
        <is>
          <t>5(c)</t>
        </is>
      </c>
      <c r="E16" s="20" t="inlineStr">
        <is>
          <t>3 GHz, FP/INT/LS/BR = 40/80/90/15 M, CPI 1/1/3/2: time; FP CPI for 2×; +20 %/−10 % CPI change</t>
        </is>
      </c>
      <c r="F16" s="20" t="inlineStr">
        <is>
          <t>CPI, instruction mix, performance equation — Ch1, sl. 21–25</t>
        </is>
      </c>
      <c r="G16" s="19" t="inlineStr">
        <is>
          <t>L3</t>
        </is>
      </c>
      <c r="H16" s="19" t="n">
        <v>15</v>
      </c>
      <c r="I16" s="19" t="inlineStr">
        <is>
          <t>58</t>
        </is>
      </c>
      <c r="J16" s="25" t="inlineStr">
        <is>
          <t>★★ Medium</t>
        </is>
      </c>
      <c r="K16" s="19" t="inlineStr">
        <is>
          <t>Numerical</t>
        </is>
      </c>
      <c r="L16" s="22" t="inlineStr">
        <is>
          <t>✔ Solved</t>
        </is>
      </c>
      <c r="M16" s="20" t="inlineStr">
        <is>
          <t>2022-23 6(d) (CSE 305); 2021-22 8(a); 2020-21 12(a); 2019-20 1(a); 2018-19 7(b); 2017-18 5(a); …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2015-16</t>
        </is>
      </c>
      <c r="C17" s="19" t="inlineStr">
        <is>
          <t>CSE 305</t>
        </is>
      </c>
      <c r="D17" s="19" t="inlineStr">
        <is>
          <t>1(b)</t>
        </is>
      </c>
      <c r="E17" s="20" t="inlineStr">
        <is>
          <t>Arith/store/load/branch = 500/50/100/50, cycles 1/5/5/2, 4 GHz: time, CPI; loads halved → speedup, CPI</t>
        </is>
      </c>
      <c r="F17" s="20" t="inlineStr">
        <is>
          <t>CPI, instruction mix, performance equation — Ch1, sl. 21–25</t>
        </is>
      </c>
      <c r="G17" s="19" t="inlineStr">
        <is>
          <t>L3</t>
        </is>
      </c>
      <c r="H17" s="19" t="n">
        <v>10</v>
      </c>
      <c r="I17" s="19" t="inlineStr">
        <is>
          <t>63</t>
        </is>
      </c>
      <c r="J17" s="25" t="inlineStr">
        <is>
          <t>★★ Medium</t>
        </is>
      </c>
      <c r="K17" s="19" t="inlineStr">
        <is>
          <t>Numerical</t>
        </is>
      </c>
      <c r="L17" s="22" t="inlineStr">
        <is>
          <t>✔ Solved</t>
        </is>
      </c>
      <c r="M17" s="20" t="inlineStr">
        <is>
          <t>2022-23 6(d) (CSE 305); 2021-22 8(a); 2020-21 12(a); 2019-20 1(a); 2018-19 7(b); 2017-18 5(a); …</t>
        </is>
      </c>
      <c r="N17" s="23" t="b">
        <v>0</v>
      </c>
      <c r="O17" s="19" t="n"/>
      <c r="P17" s="19" t="n"/>
      <c r="Q17" s="20" t="n"/>
    </row>
    <row r="18">
      <c r="A18" s="19" t="n">
        <v>15</v>
      </c>
      <c r="B18" s="19" t="inlineStr">
        <is>
          <t>2015-16</t>
        </is>
      </c>
      <c r="C18" s="19" t="inlineStr">
        <is>
          <t>CSE 305</t>
        </is>
      </c>
      <c r="D18" s="19" t="inlineStr">
        <is>
          <t>1(c)</t>
        </is>
      </c>
      <c r="E18" s="20" t="inlineStr">
        <is>
          <t>CPI 1/12/5, 2.56 G arith, 1.28 G ld/st, 256 M branch, 2 GHz, divided by 0.7p: time on 1/2/4 processors etc.</t>
        </is>
      </c>
      <c r="F18" s="20" t="inlineStr">
        <is>
          <t>CPI, instruction mix, performance equation — Ch1, sl. 21–25</t>
        </is>
      </c>
      <c r="G18" s="19" t="inlineStr">
        <is>
          <t>L3</t>
        </is>
      </c>
      <c r="H18" s="19" t="n">
        <v>15</v>
      </c>
      <c r="I18" s="19" t="inlineStr">
        <is>
          <t>63</t>
        </is>
      </c>
      <c r="J18" s="22" t="inlineStr">
        <is>
          <t>★ Low</t>
        </is>
      </c>
      <c r="K18" s="19" t="inlineStr">
        <is>
          <t>Numerical</t>
        </is>
      </c>
      <c r="L18" s="22" t="inlineStr">
        <is>
          <t>✔ Solved</t>
        </is>
      </c>
      <c r="M18" s="20" t="inlineStr">
        <is>
          <t>—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2014-15</t>
        </is>
      </c>
      <c r="C19" s="19" t="inlineStr">
        <is>
          <t>CSE 305</t>
        </is>
      </c>
      <c r="D19" s="19" t="inlineStr">
        <is>
          <t>5(b)</t>
        </is>
      </c>
      <c r="E19" s="20" t="inlineStr">
        <is>
          <t>2 GHz, FP/INT/LS/BR = 160/110/10/16 M, CPI 2/1/5/2: time; FP CPI for 2×; LS CPI for 2×</t>
        </is>
      </c>
      <c r="F19" s="20" t="inlineStr">
        <is>
          <t>CPI, instruction mix, performance equation — Ch1, sl. 21–25</t>
        </is>
      </c>
      <c r="G19" s="19" t="inlineStr">
        <is>
          <t>L3</t>
        </is>
      </c>
      <c r="H19" s="19" t="n">
        <v>15</v>
      </c>
      <c r="I19" s="19" t="inlineStr">
        <is>
          <t>71</t>
        </is>
      </c>
      <c r="J19" s="25" t="inlineStr">
        <is>
          <t>★★ Medium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2022-23 6(d) (CSE 305); 2021-22 8(a); 2020-21 12(a); 2019-20 1(a); 2018-19 7(b); 2017-18 5(a); …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2013-14</t>
        </is>
      </c>
      <c r="C20" s="19" t="inlineStr">
        <is>
          <t>CSE 305</t>
        </is>
      </c>
      <c r="D20" s="19" t="inlineStr">
        <is>
          <t>5(b)</t>
        </is>
      </c>
      <c r="E20" s="20" t="inlineStr">
        <is>
          <t>P1 3 GHz CPI 1/2/3/4 vs P2 2 GHz CPI 2/2/2/2, 200 instr 10/20/50/20 %: cycles, faster, CPI</t>
        </is>
      </c>
      <c r="F20" s="20" t="inlineStr">
        <is>
          <t>CPI, instruction mix, performance equation — Ch1, sl. 21–25</t>
        </is>
      </c>
      <c r="G20" s="19" t="inlineStr">
        <is>
          <t>L3</t>
        </is>
      </c>
      <c r="H20" s="19" t="n">
        <v>15</v>
      </c>
      <c r="I20" s="19" t="inlineStr">
        <is>
          <t>75</t>
        </is>
      </c>
      <c r="J20" s="25" t="inlineStr">
        <is>
          <t>★★ Medium</t>
        </is>
      </c>
      <c r="K20" s="19" t="inlineStr">
        <is>
          <t>Numerical</t>
        </is>
      </c>
      <c r="L20" s="22" t="inlineStr">
        <is>
          <t>✔ Solved</t>
        </is>
      </c>
      <c r="M20" s="20" t="inlineStr">
        <is>
          <t>2022-23 6(d) (CSE 305); 2021-22 8(a); 2020-21 12(a); 2019-20 1(a); 2018-19 7(b); 2017-18 5(a); …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2011-12</t>
        </is>
      </c>
      <c r="C21" s="19" t="inlineStr">
        <is>
          <t>CSE 305</t>
        </is>
      </c>
      <c r="D21" s="19" t="inlineStr">
        <is>
          <t>1(c)</t>
        </is>
      </c>
      <c r="E21" s="20" t="inlineStr">
        <is>
          <t>A: 250 ps, CPI 2.0; B: 500 ps, CPI 1.2 — which is faster and by how much?</t>
        </is>
      </c>
      <c r="F21" s="20" t="inlineStr">
        <is>
          <t>CPI, instruction mix, performance equation — Ch1, sl. 21–25</t>
        </is>
      </c>
      <c r="G21" s="19" t="inlineStr">
        <is>
          <t>L3</t>
        </is>
      </c>
      <c r="H21" s="19" t="n">
        <v>7</v>
      </c>
      <c r="I21" s="19" t="inlineStr">
        <is>
          <t>84</t>
        </is>
      </c>
      <c r="J21" s="25" t="inlineStr">
        <is>
          <t>★★ Medium</t>
        </is>
      </c>
      <c r="K21" s="19" t="inlineStr">
        <is>
          <t>Numerical</t>
        </is>
      </c>
      <c r="L21" s="22" t="inlineStr">
        <is>
          <t>✔ Solved</t>
        </is>
      </c>
      <c r="M21" s="20" t="inlineStr">
        <is>
          <t>2022-23 6(d) (CSE 305); 2021-22 8(a); 2020-21 12(a); 2019-20 1(a); 2018-19 7(b); 2017-18 5(a); …</t>
        </is>
      </c>
      <c r="N21" s="23" t="b">
        <v>0</v>
      </c>
      <c r="O21" s="19" t="n"/>
      <c r="P21" s="19" t="n"/>
      <c r="Q21" s="20" t="n"/>
    </row>
    <row r="22">
      <c r="A22" s="24" t="n">
        <v>19</v>
      </c>
      <c r="B22" s="24" t="inlineStr">
        <is>
          <t>2021-22</t>
        </is>
      </c>
      <c r="C22" s="24" t="inlineStr">
        <is>
          <t>CSE 305</t>
        </is>
      </c>
      <c r="D22" s="24" t="inlineStr">
        <is>
          <t>5(b)</t>
        </is>
      </c>
      <c r="E22" s="6" t="inlineStr">
        <is>
          <t>2 % of runtime not parallelizable, 24 cores: speedup? Can it be made 60× faster?</t>
        </is>
      </c>
      <c r="F22" s="6" t="inlineStr">
        <is>
          <t>Amdahl's law, MIPS/FLOPS pitfall — Ch1, sl. 26–28</t>
        </is>
      </c>
      <c r="G22" s="24" t="inlineStr">
        <is>
          <t>L4</t>
        </is>
      </c>
      <c r="H22" s="24" t="n">
        <v>10</v>
      </c>
      <c r="I22" s="24" t="inlineStr">
        <is>
          <t>23–24</t>
        </is>
      </c>
      <c r="J22" s="21" t="inlineStr">
        <is>
          <t>★★★ High</t>
        </is>
      </c>
      <c r="K22" s="24" t="inlineStr">
        <is>
          <t>Numerical</t>
        </is>
      </c>
      <c r="L22" s="22" t="inlineStr">
        <is>
          <t>✔ Solved</t>
        </is>
      </c>
      <c r="M22" s="6" t="inlineStr">
        <is>
          <t>2019-20 1(b); 2013-14 5(c); 2012-13 6(a); 2011-12 1(d)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2021-22</t>
        </is>
      </c>
      <c r="C23" s="24" t="inlineStr">
        <is>
          <t>CSE 305</t>
        </is>
      </c>
      <c r="D23" s="24" t="inlineStr">
        <is>
          <t>7(b)</t>
        </is>
      </c>
      <c r="E23" s="6" t="inlineStr">
        <is>
          <t>FLOPS: misleading as a general metric but useful for a specific part — agree?</t>
        </is>
      </c>
      <c r="F23" s="6" t="inlineStr">
        <is>
          <t>Amdahl's law, MIPS/FLOPS pitfall — Ch1, sl. 26–28</t>
        </is>
      </c>
      <c r="G23" s="24" t="inlineStr">
        <is>
          <t>L4</t>
        </is>
      </c>
      <c r="H23" s="24" t="n">
        <v>16</v>
      </c>
      <c r="I23" s="24" t="inlineStr">
        <is>
          <t>25</t>
        </is>
      </c>
      <c r="J23" s="21" t="inlineStr">
        <is>
          <t>★★★ High</t>
        </is>
      </c>
      <c r="K23" s="24" t="inlineStr">
        <is>
          <t>Theory</t>
        </is>
      </c>
      <c r="L23" s="22" t="inlineStr">
        <is>
          <t>✔ Solved</t>
        </is>
      </c>
      <c r="M23" s="6" t="inlineStr">
        <is>
          <t>2015-16 2(a); 2013-14 5(d); 2011-12 1(e)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2019-20</t>
        </is>
      </c>
      <c r="C24" s="24" t="inlineStr">
        <is>
          <t>CSE 305</t>
        </is>
      </c>
      <c r="D24" s="24" t="inlineStr">
        <is>
          <t>1(b)</t>
        </is>
      </c>
      <c r="E24" s="6" t="inlineStr">
        <is>
          <t>Importance of Moore's law; 'improve the most important aspect by x to get x overall' — agree? (math)</t>
        </is>
      </c>
      <c r="F24" s="6" t="inlineStr">
        <is>
          <t>Amdahl's law, MIPS/FLOPS pitfall — Ch1, sl. 26–28</t>
        </is>
      </c>
      <c r="G24" s="24" t="inlineStr">
        <is>
          <t>L4</t>
        </is>
      </c>
      <c r="H24" s="24" t="n">
        <v>12</v>
      </c>
      <c r="I24" s="24" t="inlineStr">
        <is>
          <t>36</t>
        </is>
      </c>
      <c r="J24" s="21" t="inlineStr">
        <is>
          <t>★★★ High</t>
        </is>
      </c>
      <c r="K24" s="24" t="inlineStr">
        <is>
          <t>Theory</t>
        </is>
      </c>
      <c r="L24" s="22" t="inlineStr">
        <is>
          <t>✔ Solved</t>
        </is>
      </c>
      <c r="M24" s="6" t="inlineStr">
        <is>
          <t>2021-22 5(b); 2013-14 5(c); 2012-13 6(a); 2011-12 1(d)</t>
        </is>
      </c>
      <c r="N24" s="23" t="b">
        <v>0</v>
      </c>
      <c r="O24" s="24" t="n"/>
      <c r="P24" s="24" t="n"/>
      <c r="Q24" s="6" t="n"/>
    </row>
    <row r="25">
      <c r="A25" s="24" t="n">
        <v>22</v>
      </c>
      <c r="B25" s="24" t="inlineStr">
        <is>
          <t>2015-16</t>
        </is>
      </c>
      <c r="C25" s="24" t="inlineStr">
        <is>
          <t>CSE 305</t>
        </is>
      </c>
      <c r="D25" s="24" t="inlineStr">
        <is>
          <t>2(a)</t>
        </is>
      </c>
      <c r="E25" s="6" t="inlineStr">
        <is>
          <t>A: 10 G instr, 4 GHz, CPI 1; B: 8 G, 4 GHz, CPI 1.1 — higher MIPS? faster?</t>
        </is>
      </c>
      <c r="F25" s="6" t="inlineStr">
        <is>
          <t>Amdahl's law, MIPS/FLOPS pitfall — Ch1, sl. 26–28</t>
        </is>
      </c>
      <c r="G25" s="24" t="inlineStr">
        <is>
          <t>L4</t>
        </is>
      </c>
      <c r="H25" s="24" t="n">
        <v>5</v>
      </c>
      <c r="I25" s="24" t="inlineStr">
        <is>
          <t>64</t>
        </is>
      </c>
      <c r="J25" s="25" t="inlineStr">
        <is>
          <t>★★ Medium</t>
        </is>
      </c>
      <c r="K25" s="24" t="inlineStr">
        <is>
          <t>Numerical</t>
        </is>
      </c>
      <c r="L25" s="22" t="inlineStr">
        <is>
          <t>✔ Solved</t>
        </is>
      </c>
      <c r="M25" s="6" t="inlineStr">
        <is>
          <t>2021-22 7(b); 2013-14 5(d); 2011-12 1(e)</t>
        </is>
      </c>
      <c r="N25" s="23" t="b">
        <v>0</v>
      </c>
      <c r="O25" s="24" t="n"/>
      <c r="P25" s="24" t="n"/>
      <c r="Q25" s="6" t="n"/>
    </row>
    <row r="26">
      <c r="A26" s="24" t="n">
        <v>23</v>
      </c>
      <c r="B26" s="24" t="inlineStr">
        <is>
          <t>2013-14</t>
        </is>
      </c>
      <c r="C26" s="24" t="inlineStr">
        <is>
          <t>CSE 305</t>
        </is>
      </c>
      <c r="D26" s="24" t="inlineStr">
        <is>
          <t>5(c)</t>
        </is>
      </c>
      <c r="E26" s="6" t="inlineStr">
        <is>
          <t>Amdahl's law: 100 s program, division 80 s — improvement in division for 4× overall?</t>
        </is>
      </c>
      <c r="F26" s="6" t="inlineStr">
        <is>
          <t>Amdahl's law, MIPS/FLOPS pitfall — Ch1, sl. 26–28</t>
        </is>
      </c>
      <c r="G26" s="24" t="inlineStr">
        <is>
          <t>L4</t>
        </is>
      </c>
      <c r="H26" s="24" t="n">
        <v>8</v>
      </c>
      <c r="I26" s="24" t="inlineStr">
        <is>
          <t>75</t>
        </is>
      </c>
      <c r="J26" s="25" t="inlineStr">
        <is>
          <t>★★ Medium</t>
        </is>
      </c>
      <c r="K26" s="24" t="inlineStr">
        <is>
          <t>Numerical</t>
        </is>
      </c>
      <c r="L26" s="22" t="inlineStr">
        <is>
          <t>✔ Solved</t>
        </is>
      </c>
      <c r="M26" s="6" t="inlineStr">
        <is>
          <t>2021-22 5(b); 2019-20 1(b); 2012-13 6(a); 2011-12 1(d)</t>
        </is>
      </c>
      <c r="N26" s="23" t="b">
        <v>0</v>
      </c>
      <c r="O26" s="24" t="n"/>
      <c r="P26" s="24" t="n"/>
      <c r="Q26" s="6" t="n"/>
    </row>
    <row r="27">
      <c r="A27" s="24" t="n">
        <v>24</v>
      </c>
      <c r="B27" s="24" t="inlineStr">
        <is>
          <t>2013-14</t>
        </is>
      </c>
      <c r="C27" s="24" t="inlineStr">
        <is>
          <t>CSE 305</t>
        </is>
      </c>
      <c r="D27" s="24" t="inlineStr">
        <is>
          <t>5(d)</t>
        </is>
      </c>
      <c r="E27" s="6" t="inlineStr">
        <is>
          <t>A: 10 G instr, 4 GHz, CPI 1; B: 8 G, 4 GHz, CPI 1.1 — higher MIPS? faster?</t>
        </is>
      </c>
      <c r="F27" s="6" t="inlineStr">
        <is>
          <t>Amdahl's law, MIPS/FLOPS pitfall — Ch1, sl. 26–28</t>
        </is>
      </c>
      <c r="G27" s="24" t="inlineStr">
        <is>
          <t>L4</t>
        </is>
      </c>
      <c r="H27" s="24" t="n">
        <v>6</v>
      </c>
      <c r="I27" s="24" t="inlineStr">
        <is>
          <t>75</t>
        </is>
      </c>
      <c r="J27" s="25" t="inlineStr">
        <is>
          <t>★★ Medium</t>
        </is>
      </c>
      <c r="K27" s="24" t="inlineStr">
        <is>
          <t>Numerical</t>
        </is>
      </c>
      <c r="L27" s="22" t="inlineStr">
        <is>
          <t>✔ Solved</t>
        </is>
      </c>
      <c r="M27" s="6" t="inlineStr">
        <is>
          <t>2021-22 7(b); 2015-16 2(a); 2011-12 1(e)</t>
        </is>
      </c>
      <c r="N27" s="23" t="b">
        <v>0</v>
      </c>
      <c r="O27" s="24" t="n"/>
      <c r="P27" s="24" t="n"/>
      <c r="Q27" s="6" t="n"/>
    </row>
    <row r="28">
      <c r="A28" s="24" t="n">
        <v>25</v>
      </c>
      <c r="B28" s="24" t="inlineStr">
        <is>
          <t>2012-13</t>
        </is>
      </c>
      <c r="C28" s="24" t="inlineStr">
        <is>
          <t>CSE 305</t>
        </is>
      </c>
      <c r="D28" s="24" t="inlineStr">
        <is>
          <t>6(a)</t>
        </is>
      </c>
      <c r="E28" s="6" t="inlineStr">
        <is>
          <t>CPU times FP 50 / INT 80 / LS 50 / BR 30 s: % gain for FP −20 %; INT cut for −20 % total; branch only?</t>
        </is>
      </c>
      <c r="F28" s="6" t="inlineStr">
        <is>
          <t>Amdahl's law, MIPS/FLOPS pitfall — Ch1, sl. 26–28</t>
        </is>
      </c>
      <c r="G28" s="24" t="inlineStr">
        <is>
          <t>L4</t>
        </is>
      </c>
      <c r="H28" s="24" t="n">
        <v>9</v>
      </c>
      <c r="I28" s="24" t="inlineStr">
        <is>
          <t>79</t>
        </is>
      </c>
      <c r="J28" s="25" t="inlineStr">
        <is>
          <t>★★ Medium</t>
        </is>
      </c>
      <c r="K28" s="24" t="inlineStr">
        <is>
          <t>Numerical</t>
        </is>
      </c>
      <c r="L28" s="22" t="inlineStr">
        <is>
          <t>✔ Solved</t>
        </is>
      </c>
      <c r="M28" s="6" t="inlineStr">
        <is>
          <t>2021-22 5(b); 2019-20 1(b); 2013-14 5(c); 2011-12 1(d)</t>
        </is>
      </c>
      <c r="N28" s="23" t="b">
        <v>0</v>
      </c>
      <c r="O28" s="24" t="n"/>
      <c r="P28" s="24" t="n"/>
      <c r="Q28" s="6" t="n"/>
    </row>
    <row r="29">
      <c r="A29" s="24" t="n">
        <v>26</v>
      </c>
      <c r="B29" s="24" t="inlineStr">
        <is>
          <t>2011-12</t>
        </is>
      </c>
      <c r="C29" s="24" t="inlineStr">
        <is>
          <t>CSE 305</t>
        </is>
      </c>
      <c r="D29" s="24" t="inlineStr">
        <is>
          <t>1(d)</t>
        </is>
      </c>
      <c r="E29" s="6" t="inlineStr">
        <is>
          <t>10 s program, 50 % FP; FP unit 5× faster — speedup?</t>
        </is>
      </c>
      <c r="F29" s="6" t="inlineStr">
        <is>
          <t>Amdahl's law, MIPS/FLOPS pitfall — Ch1, sl. 26–28</t>
        </is>
      </c>
      <c r="G29" s="24" t="inlineStr">
        <is>
          <t>L4</t>
        </is>
      </c>
      <c r="H29" s="24" t="n">
        <v>6</v>
      </c>
      <c r="I29" s="24" t="inlineStr">
        <is>
          <t>84</t>
        </is>
      </c>
      <c r="J29" s="25" t="inlineStr">
        <is>
          <t>★★ Medium</t>
        </is>
      </c>
      <c r="K29" s="24" t="inlineStr">
        <is>
          <t>Numerical</t>
        </is>
      </c>
      <c r="L29" s="22" t="inlineStr">
        <is>
          <t>✔ Solved</t>
        </is>
      </c>
      <c r="M29" s="6" t="inlineStr">
        <is>
          <t>2021-22 5(b); 2019-20 1(b); 2013-14 5(c); 2012-13 6(a)</t>
        </is>
      </c>
      <c r="N29" s="23" t="b">
        <v>0</v>
      </c>
      <c r="O29" s="24" t="n"/>
      <c r="P29" s="24" t="n"/>
      <c r="Q29" s="6" t="n"/>
    </row>
    <row r="30">
      <c r="A30" s="24" t="n">
        <v>27</v>
      </c>
      <c r="B30" s="24" t="inlineStr">
        <is>
          <t>2011-12</t>
        </is>
      </c>
      <c r="C30" s="24" t="inlineStr">
        <is>
          <t>CSE 305</t>
        </is>
      </c>
      <c r="D30" s="24" t="inlineStr">
        <is>
          <t>1(e)</t>
        </is>
      </c>
      <c r="E30" s="6" t="inlineStr">
        <is>
          <t>Problems with measuring performance in MIPS</t>
        </is>
      </c>
      <c r="F30" s="6" t="inlineStr">
        <is>
          <t>Amdahl's law, MIPS/FLOPS pitfall — Ch1, sl. 26–28</t>
        </is>
      </c>
      <c r="G30" s="24" t="inlineStr">
        <is>
          <t>L4</t>
        </is>
      </c>
      <c r="H30" s="24" t="n">
        <v>4.5</v>
      </c>
      <c r="I30" s="24" t="inlineStr">
        <is>
          <t>84</t>
        </is>
      </c>
      <c r="J30" s="25" t="inlineStr">
        <is>
          <t>★★ Medium</t>
        </is>
      </c>
      <c r="K30" s="24" t="inlineStr">
        <is>
          <t>Theory</t>
        </is>
      </c>
      <c r="L30" s="22" t="inlineStr">
        <is>
          <t>✔ Solved</t>
        </is>
      </c>
      <c r="M30" s="6" t="inlineStr">
        <is>
          <t>2021-22 7(b); 2015-16 2(a); 2013-14 5(d)</t>
        </is>
      </c>
      <c r="N30" s="23" t="b">
        <v>0</v>
      </c>
      <c r="O30" s="24" t="n"/>
      <c r="P30" s="24" t="n"/>
      <c r="Q30" s="6" t="n"/>
    </row>
  </sheetData>
  <autoFilter ref="A3:Q30"/>
  <conditionalFormatting sqref="A4:Q30">
    <cfRule type="expression" priority="1" dxfId="0">
      <formula>$N4=TRUE</formula>
    </cfRule>
  </conditionalFormatting>
  <conditionalFormatting sqref="O4:O30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30" showDropDown="0" showInputMessage="0" showErrorMessage="0" allowBlank="1" type="list">
      <formula1>"TRUE,FALSE"</formula1>
    </dataValidation>
    <dataValidation sqref="O4:O30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ALU Design (Mano ch. 9)</t>
        </is>
      </c>
    </row>
    <row r="2">
      <c r="A2" s="2" t="inlineStr">
        <is>
          <t>Note file: CSE209_ART_ALU_Design_Notes.docx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2017-18</t>
        </is>
      </c>
      <c r="C4" s="19" t="inlineStr">
        <is>
          <t>CSE 305</t>
        </is>
      </c>
      <c r="D4" s="19" t="inlineStr">
        <is>
          <t>6(b)</t>
        </is>
      </c>
      <c r="E4" s="20" t="inlineStr">
        <is>
          <t>For each arithmetic operation of 6(a): when is the output carry 1?</t>
        </is>
      </c>
      <c r="F4" s="20" t="inlineStr">
        <is>
          <t>Arithmetic circuit, output carry — ALU, sl. 6–11</t>
        </is>
      </c>
      <c r="G4" s="19" t="inlineStr">
        <is>
          <t>L6</t>
        </is>
      </c>
      <c r="H4" s="19" t="n">
        <v>10</v>
      </c>
      <c r="I4" s="19" t="inlineStr">
        <is>
          <t>52</t>
        </is>
      </c>
      <c r="J4" s="22" t="inlineStr">
        <is>
          <t>★ Low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24" t="n">
        <v>2</v>
      </c>
      <c r="B5" s="24" t="inlineStr">
        <is>
          <t>2023-24</t>
        </is>
      </c>
      <c r="C5" s="24" t="inlineStr">
        <is>
          <t>CSE 209</t>
        </is>
      </c>
      <c r="D5" s="24" t="inlineStr">
        <is>
          <t>5(b)</t>
        </is>
      </c>
      <c r="E5" s="6" t="inlineStr">
        <is>
          <t>4-bit ALU: Xi, Yi, Zi for A−B−1, A+B+1, transfer A, decrement A, A OR B, A'</t>
        </is>
      </c>
      <c r="F5" s="6" t="inlineStr">
        <is>
          <t>X/Y/Z arithmetic-unit design — ALU, sl. 12–14</t>
        </is>
      </c>
      <c r="G5" s="24" t="inlineStr">
        <is>
          <t>L7</t>
        </is>
      </c>
      <c r="H5" s="24" t="n">
        <v>15</v>
      </c>
      <c r="I5" s="24" t="inlineStr">
        <is>
          <t>5</t>
        </is>
      </c>
      <c r="J5" s="21" t="inlineStr">
        <is>
          <t>★★★ High</t>
        </is>
      </c>
      <c r="K5" s="24" t="inlineStr">
        <is>
          <t>Design</t>
        </is>
      </c>
      <c r="L5" s="22" t="inlineStr">
        <is>
          <t>✔ Solved</t>
        </is>
      </c>
      <c r="M5" s="6" t="inlineStr">
        <is>
          <t>2022-23 11(d) (CSE 209); 2022-23 5(b) (CSE 305); 2020-21 10(b); 2019-20 2(a)</t>
        </is>
      </c>
      <c r="N5" s="23" t="b">
        <v>0</v>
      </c>
      <c r="O5" s="24" t="n"/>
      <c r="P5" s="24" t="n"/>
      <c r="Q5" s="6" t="n"/>
    </row>
    <row r="6">
      <c r="A6" s="24" t="n">
        <v>3</v>
      </c>
      <c r="B6" s="24" t="inlineStr">
        <is>
          <t>2022-23</t>
        </is>
      </c>
      <c r="C6" s="24" t="inlineStr">
        <is>
          <t>CSE 209</t>
        </is>
      </c>
      <c r="D6" s="24" t="inlineStr">
        <is>
          <t>11(d)</t>
        </is>
      </c>
      <c r="E6" s="6" t="inlineStr">
        <is>
          <t>4-bit ALU Xi, Yi, Zi for −A−B−2, B + A' (1's comp of A to B), A+B, A−B, AND, XOR</t>
        </is>
      </c>
      <c r="F6" s="6" t="inlineStr">
        <is>
          <t>X/Y/Z arithmetic-unit design — ALU, sl. 12–14</t>
        </is>
      </c>
      <c r="G6" s="24" t="inlineStr">
        <is>
          <t>L7</t>
        </is>
      </c>
      <c r="H6" s="24" t="n">
        <v>10</v>
      </c>
      <c r="I6" s="24" t="inlineStr">
        <is>
          <t>13</t>
        </is>
      </c>
      <c r="J6" s="21" t="inlineStr">
        <is>
          <t>★★★ High</t>
        </is>
      </c>
      <c r="K6" s="24" t="inlineStr">
        <is>
          <t>Design</t>
        </is>
      </c>
      <c r="L6" s="22" t="inlineStr">
        <is>
          <t>✔ Solved</t>
        </is>
      </c>
      <c r="M6" s="6" t="inlineStr">
        <is>
          <t>2023-24 5(b); 2022-23 5(b) (CSE 305); 2020-21 10(b); 2019-20 2(a)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2022-23</t>
        </is>
      </c>
      <c r="C7" s="24" t="inlineStr">
        <is>
          <t>CSE 305</t>
        </is>
      </c>
      <c r="D7" s="24" t="inlineStr">
        <is>
          <t>5(b)</t>
        </is>
      </c>
      <c r="E7" s="6" t="inlineStr">
        <is>
          <t>4-bit ALU with parallel SUBTRACTORS only: A−B, A+B, −A−B−2, B−A, XOR, AND</t>
        </is>
      </c>
      <c r="F7" s="6" t="inlineStr">
        <is>
          <t>X/Y/Z arithmetic-unit design — ALU, sl. 12–14</t>
        </is>
      </c>
      <c r="G7" s="24" t="inlineStr">
        <is>
          <t>L7</t>
        </is>
      </c>
      <c r="H7" s="24" t="n">
        <v>14</v>
      </c>
      <c r="I7" s="24" t="inlineStr">
        <is>
          <t>18</t>
        </is>
      </c>
      <c r="J7" s="21" t="inlineStr">
        <is>
          <t>★★★ High</t>
        </is>
      </c>
      <c r="K7" s="24" t="inlineStr">
        <is>
          <t>Design</t>
        </is>
      </c>
      <c r="L7" s="22" t="inlineStr">
        <is>
          <t>✔ Solved</t>
        </is>
      </c>
      <c r="M7" s="6" t="inlineStr">
        <is>
          <t>2023-24 5(b); 2022-23 11(d) (CSE 209); 2020-21 10(b); 2019-20 2(a)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2020-21</t>
        </is>
      </c>
      <c r="C8" s="24" t="inlineStr">
        <is>
          <t>CSE 305</t>
        </is>
      </c>
      <c r="D8" s="24" t="inlineStr">
        <is>
          <t>10(b)</t>
        </is>
      </c>
      <c r="E8" s="6" t="inlineStr">
        <is>
          <t>4-bit ALU (S3–S0), 12 functions incl. A−1, A+B+1, A−B−1, A', AB', XNOR, OR: Xi, Yi, Zi with least gates</t>
        </is>
      </c>
      <c r="F8" s="6" t="inlineStr">
        <is>
          <t>X/Y/Z arithmetic-unit design — ALU, sl. 12–14</t>
        </is>
      </c>
      <c r="G8" s="24" t="inlineStr">
        <is>
          <t>L7</t>
        </is>
      </c>
      <c r="H8" s="24" t="n">
        <v>18</v>
      </c>
      <c r="I8" s="24" t="inlineStr">
        <is>
          <t>30–31</t>
        </is>
      </c>
      <c r="J8" s="21" t="inlineStr">
        <is>
          <t>★★★ High</t>
        </is>
      </c>
      <c r="K8" s="24" t="inlineStr">
        <is>
          <t>Design</t>
        </is>
      </c>
      <c r="L8" s="22" t="inlineStr">
        <is>
          <t>✔ Solved</t>
        </is>
      </c>
      <c r="M8" s="6" t="inlineStr">
        <is>
          <t>2023-24 5(b); 2022-23 11(d) (CSE 209); 2022-23 5(b) (CSE 305); 2019-20 2(a)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2019-20</t>
        </is>
      </c>
      <c r="C9" s="24" t="inlineStr">
        <is>
          <t>CSE 305</t>
        </is>
      </c>
      <c r="D9" s="24" t="inlineStr">
        <is>
          <t>2(a)</t>
        </is>
      </c>
      <c r="E9" s="6" t="inlineStr">
        <is>
          <t>4-bit ALU (S3–S0): A', A'+1, A'+B, A'+B+1, A'−B−1, A'−B, A'−1, NAND, XNOR, XOR, OR — Xi, Yi, Zi, least gates</t>
        </is>
      </c>
      <c r="F9" s="6" t="inlineStr">
        <is>
          <t>X/Y/Z arithmetic-unit design — ALU, sl. 12–14</t>
        </is>
      </c>
      <c r="G9" s="24" t="inlineStr">
        <is>
          <t>L7</t>
        </is>
      </c>
      <c r="H9" s="24" t="n">
        <v>20</v>
      </c>
      <c r="I9" s="24" t="inlineStr">
        <is>
          <t>36–37</t>
        </is>
      </c>
      <c r="J9" s="21" t="inlineStr">
        <is>
          <t>★★★ High</t>
        </is>
      </c>
      <c r="K9" s="24" t="inlineStr">
        <is>
          <t>Design</t>
        </is>
      </c>
      <c r="L9" s="22" t="inlineStr">
        <is>
          <t>✔ Solved</t>
        </is>
      </c>
      <c r="M9" s="6" t="inlineStr">
        <is>
          <t>2023-24 5(b); 2022-23 11(d) (CSE 209); 2022-23 5(b) (CSE 305); 2020-21 10(b)</t>
        </is>
      </c>
      <c r="N9" s="23" t="b">
        <v>0</v>
      </c>
      <c r="O9" s="24" t="n"/>
      <c r="P9" s="24" t="n"/>
      <c r="Q9" s="6" t="n"/>
    </row>
    <row r="10">
      <c r="A10" s="19" t="n">
        <v>7</v>
      </c>
      <c r="B10" s="19" t="inlineStr">
        <is>
          <t>2018-19</t>
        </is>
      </c>
      <c r="C10" s="19" t="inlineStr">
        <is>
          <t>CSE 305</t>
        </is>
      </c>
      <c r="D10" s="19" t="inlineStr">
        <is>
          <t>5(d)</t>
        </is>
      </c>
      <c r="E10" s="20" t="inlineStr">
        <is>
          <t>4-bit ALU: add, transfer A, A+B', increment A, XOR, NOT, AND, OR — one typical stage</t>
        </is>
      </c>
      <c r="F10" s="20" t="inlineStr">
        <is>
          <t>Logic circuit, complete ALU — ALU, sl. 15–20</t>
        </is>
      </c>
      <c r="G10" s="19" t="inlineStr">
        <is>
          <t>L8</t>
        </is>
      </c>
      <c r="H10" s="19" t="n">
        <v>10</v>
      </c>
      <c r="I10" s="19" t="inlineStr">
        <is>
          <t>44–45</t>
        </is>
      </c>
      <c r="J10" s="25" t="inlineStr">
        <is>
          <t>★★ Medium</t>
        </is>
      </c>
      <c r="K10" s="19" t="inlineStr">
        <is>
          <t>Design</t>
        </is>
      </c>
      <c r="L10" s="22" t="inlineStr">
        <is>
          <t>✔ Solved</t>
        </is>
      </c>
      <c r="M10" s="20" t="inlineStr">
        <is>
          <t>2017-18 6(a)</t>
        </is>
      </c>
      <c r="N10" s="23" t="b">
        <v>0</v>
      </c>
      <c r="O10" s="19" t="n"/>
      <c r="P10" s="19" t="n"/>
      <c r="Q10" s="20" t="n"/>
    </row>
    <row r="11">
      <c r="A11" s="19" t="n">
        <v>8</v>
      </c>
      <c r="B11" s="19" t="inlineStr">
        <is>
          <t>2017-18</t>
        </is>
      </c>
      <c r="C11" s="19" t="inlineStr">
        <is>
          <t>CSE 305</t>
        </is>
      </c>
      <c r="D11" s="19" t="inlineStr">
        <is>
          <t>6(a)</t>
        </is>
      </c>
      <c r="E11" s="20" t="inlineStr">
        <is>
          <t>4-bit ALU: add, transfer A, decrement A, A+B', XOR, AND, NOT, OR — one typical stage</t>
        </is>
      </c>
      <c r="F11" s="20" t="inlineStr">
        <is>
          <t>Logic circuit, complete ALU — ALU, sl. 15–20</t>
        </is>
      </c>
      <c r="G11" s="19" t="inlineStr">
        <is>
          <t>L8</t>
        </is>
      </c>
      <c r="H11" s="19" t="n">
        <v>25</v>
      </c>
      <c r="I11" s="19" t="inlineStr">
        <is>
          <t>52</t>
        </is>
      </c>
      <c r="J11" s="25" t="inlineStr">
        <is>
          <t>★★ Medium</t>
        </is>
      </c>
      <c r="K11" s="19" t="inlineStr">
        <is>
          <t>Design</t>
        </is>
      </c>
      <c r="L11" s="22" t="inlineStr">
        <is>
          <t>✔ Solved</t>
        </is>
      </c>
      <c r="M11" s="20" t="inlineStr">
        <is>
          <t>2018-19 5(d)</t>
        </is>
      </c>
      <c r="N11" s="23" t="b">
        <v>0</v>
      </c>
      <c r="O11" s="19" t="n"/>
      <c r="P11" s="19" t="n"/>
      <c r="Q11" s="20" t="n"/>
    </row>
    <row r="12">
      <c r="A12" s="24" t="n">
        <v>9</v>
      </c>
      <c r="B12" s="24" t="inlineStr">
        <is>
          <t>2022-23</t>
        </is>
      </c>
      <c r="C12" s="24" t="inlineStr">
        <is>
          <t>CSE 209</t>
        </is>
      </c>
      <c r="D12" s="24" t="inlineStr">
        <is>
          <t>11(a)</t>
        </is>
      </c>
      <c r="E12" s="6" t="inlineStr">
        <is>
          <t>Why is the overflow bit V computed by XOR-ing the last two carry bits?</t>
        </is>
      </c>
      <c r="F12" s="6" t="inlineStr">
        <is>
          <t>Status register, overflow, comparators — ALU, sl. 21–22</t>
        </is>
      </c>
      <c r="G12" s="24" t="inlineStr">
        <is>
          <t>L9</t>
        </is>
      </c>
      <c r="H12" s="24" t="n">
        <v>7</v>
      </c>
      <c r="I12" s="24" t="inlineStr">
        <is>
          <t>13</t>
        </is>
      </c>
      <c r="J12" s="21" t="inlineStr">
        <is>
          <t>★★★ High</t>
        </is>
      </c>
      <c r="K12" s="24" t="inlineStr">
        <is>
          <t>Theory</t>
        </is>
      </c>
      <c r="L12" s="22" t="inlineStr">
        <is>
          <t>✔ Solved</t>
        </is>
      </c>
      <c r="M12" s="6" t="inlineStr">
        <is>
          <t>—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2020-21</t>
        </is>
      </c>
      <c r="C13" s="24" t="inlineStr">
        <is>
          <t>CSE 305</t>
        </is>
      </c>
      <c r="D13" s="24" t="inlineStr">
        <is>
          <t>12(d)</t>
        </is>
      </c>
      <c r="E13" s="6" t="inlineStr">
        <is>
          <t>Status module (V Z S C of A−B): circuit that decides A &gt; B, A = B, A &lt; B</t>
        </is>
      </c>
      <c r="F13" s="6" t="inlineStr">
        <is>
          <t>Status register, overflow, comparators — ALU, sl. 21–22</t>
        </is>
      </c>
      <c r="G13" s="24" t="inlineStr">
        <is>
          <t>L9</t>
        </is>
      </c>
      <c r="H13" s="24" t="n">
        <v>8</v>
      </c>
      <c r="I13" s="24" t="inlineStr">
        <is>
          <t>34</t>
        </is>
      </c>
      <c r="J13" s="21" t="inlineStr">
        <is>
          <t>★★★ High</t>
        </is>
      </c>
      <c r="K13" s="24" t="inlineStr">
        <is>
          <t>Design</t>
        </is>
      </c>
      <c r="L13" s="22" t="inlineStr">
        <is>
          <t>✔ Solved</t>
        </is>
      </c>
      <c r="M13" s="6" t="inlineStr">
        <is>
          <t>2019-20 2(b)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2019-20</t>
        </is>
      </c>
      <c r="C14" s="24" t="inlineStr">
        <is>
          <t>CSE 305</t>
        </is>
      </c>
      <c r="D14" s="24" t="inlineStr">
        <is>
          <t>2(b)</t>
        </is>
      </c>
      <c r="E14" s="6" t="inlineStr">
        <is>
          <t>Circuit with status-generator modules + gates for F = ((A&gt;=B &amp;&amp; C!=D) || X==0)</t>
        </is>
      </c>
      <c r="F14" s="6" t="inlineStr">
        <is>
          <t>Status register, overflow, comparators — ALU, sl. 21–22</t>
        </is>
      </c>
      <c r="G14" s="24" t="inlineStr">
        <is>
          <t>L9</t>
        </is>
      </c>
      <c r="H14" s="24" t="n">
        <v>15</v>
      </c>
      <c r="I14" s="24" t="inlineStr">
        <is>
          <t>37</t>
        </is>
      </c>
      <c r="J14" s="21" t="inlineStr">
        <is>
          <t>★★★ High</t>
        </is>
      </c>
      <c r="K14" s="24" t="inlineStr">
        <is>
          <t>Design</t>
        </is>
      </c>
      <c r="L14" s="22" t="inlineStr">
        <is>
          <t>✔ Solved</t>
        </is>
      </c>
      <c r="M14" s="6" t="inlineStr">
        <is>
          <t>2020-21 12(d)</t>
        </is>
      </c>
      <c r="N14" s="23" t="b">
        <v>0</v>
      </c>
      <c r="O14" s="24" t="n"/>
      <c r="P14" s="24" t="n"/>
      <c r="Q14" s="6" t="n"/>
    </row>
  </sheetData>
  <autoFilter ref="A3:Q14"/>
  <conditionalFormatting sqref="A4:Q14">
    <cfRule type="expression" priority="1" dxfId="0">
      <formula>$N4=TRUE</formula>
    </cfRule>
  </conditionalFormatting>
  <conditionalFormatting sqref="O4:O1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14" showDropDown="0" showInputMessage="0" showErrorMessage="0" allowBlank="1" type="list">
      <formula1>"TRUE,FALSE"</formula1>
    </dataValidation>
    <dataValidation sqref="O4:O1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3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Chapter 2 — Instructions: Language of the Computer</t>
        </is>
      </c>
    </row>
    <row r="2">
      <c r="A2" s="2" t="inlineStr">
        <is>
          <t>Note file: CSE209_ART_Ch2_MIPS_ISA_Notes.docx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2022-23</t>
        </is>
      </c>
      <c r="C4" s="19" t="inlineStr">
        <is>
          <t>CSE 305</t>
        </is>
      </c>
      <c r="D4" s="19" t="inlineStr">
        <is>
          <t>7(b)</t>
        </is>
      </c>
      <c r="E4" s="20" t="inlineStr">
        <is>
          <t>Program uses 40 variables, MIPS has 32 registers — what does the compiler do?</t>
        </is>
      </c>
      <c r="F4" s="20" t="inlineStr">
        <is>
          <t>Operands, design principles — Ch2, sl. 2–13</t>
        </is>
      </c>
      <c r="G4" s="19" t="inlineStr">
        <is>
          <t>L10</t>
        </is>
      </c>
      <c r="H4" s="19" t="n">
        <v>7</v>
      </c>
      <c r="I4" s="19" t="inlineStr">
        <is>
          <t>19</t>
        </is>
      </c>
      <c r="J4" s="21" t="inlineStr">
        <is>
          <t>★★★ High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—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2021-22</t>
        </is>
      </c>
      <c r="C5" s="19" t="inlineStr">
        <is>
          <t>CSE 305</t>
        </is>
      </c>
      <c r="D5" s="19" t="inlineStr">
        <is>
          <t>5(a)</t>
        </is>
      </c>
      <c r="E5" s="20" t="inlineStr">
        <is>
          <t>Which design principle is behind each of five MIPS features (16-bit branch offset, 32 registers, …)?</t>
        </is>
      </c>
      <c r="F5" s="20" t="inlineStr">
        <is>
          <t>Operands, design principles — Ch2, sl. 2–13</t>
        </is>
      </c>
      <c r="G5" s="19" t="inlineStr">
        <is>
          <t>L10</t>
        </is>
      </c>
      <c r="H5" s="19" t="n">
        <v>15</v>
      </c>
      <c r="I5" s="19" t="inlineStr">
        <is>
          <t>23</t>
        </is>
      </c>
      <c r="J5" s="21" t="inlineStr">
        <is>
          <t>★★★ High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2020-21 11(d); 2019-20 3(c); 2016-17 6(c); 2013-14 6(a); 2011-12 2(a)</t>
        </is>
      </c>
      <c r="N5" s="23" t="b">
        <v>0</v>
      </c>
      <c r="O5" s="19" t="n"/>
      <c r="P5" s="19" t="n"/>
      <c r="Q5" s="20" t="n"/>
    </row>
    <row r="6">
      <c r="A6" s="19" t="n">
        <v>3</v>
      </c>
      <c r="B6" s="19" t="inlineStr">
        <is>
          <t>2019-20</t>
        </is>
      </c>
      <c r="C6" s="19" t="inlineStr">
        <is>
          <t>CSE 305</t>
        </is>
      </c>
      <c r="D6" s="19" t="inlineStr">
        <is>
          <t>3(c)</t>
        </is>
      </c>
      <c r="E6" s="20" t="inlineStr">
        <is>
          <t>Why do MIPS arithmetic instructions demand three operands? Why only 32 registers?</t>
        </is>
      </c>
      <c r="F6" s="20" t="inlineStr">
        <is>
          <t>Operands, design principles — Ch2, sl. 2–13</t>
        </is>
      </c>
      <c r="G6" s="19" t="inlineStr">
        <is>
          <t>L10</t>
        </is>
      </c>
      <c r="H6" s="19" t="n">
        <v>8</v>
      </c>
      <c r="I6" s="19" t="inlineStr">
        <is>
          <t>38</t>
        </is>
      </c>
      <c r="J6" s="21" t="inlineStr">
        <is>
          <t>★★★ High</t>
        </is>
      </c>
      <c r="K6" s="19" t="inlineStr">
        <is>
          <t>Theory</t>
        </is>
      </c>
      <c r="L6" s="22" t="inlineStr">
        <is>
          <t>✔ Solved</t>
        </is>
      </c>
      <c r="M6" s="20" t="inlineStr">
        <is>
          <t>2021-22 5(a); 2020-21 11(d); 2016-17 6(c); 2013-14 6(a); 2011-12 2(a)</t>
        </is>
      </c>
      <c r="N6" s="23" t="b">
        <v>0</v>
      </c>
      <c r="O6" s="19" t="n"/>
      <c r="P6" s="19" t="n"/>
      <c r="Q6" s="20" t="n"/>
    </row>
    <row r="7">
      <c r="A7" s="19" t="n">
        <v>4</v>
      </c>
      <c r="B7" s="19" t="inlineStr">
        <is>
          <t>2016-17</t>
        </is>
      </c>
      <c r="C7" s="19" t="inlineStr">
        <is>
          <t>CSE 305</t>
        </is>
      </c>
      <c r="D7" s="19" t="inlineStr">
        <is>
          <t>6(c)</t>
        </is>
      </c>
      <c r="E7" s="20" t="inlineStr">
        <is>
          <t>Which design principle behind: 16-bit immediates, 3 register operands, PC-relative branches, 32 registers, fixed register fields</t>
        </is>
      </c>
      <c r="F7" s="20" t="inlineStr">
        <is>
          <t>Operands, design principles — Ch2, sl. 2–13</t>
        </is>
      </c>
      <c r="G7" s="19" t="inlineStr">
        <is>
          <t>L10</t>
        </is>
      </c>
      <c r="H7" s="19" t="n">
        <v>15</v>
      </c>
      <c r="I7" s="19" t="inlineStr">
        <is>
          <t>58–59</t>
        </is>
      </c>
      <c r="J7" s="25" t="inlineStr">
        <is>
          <t>★★ Medium</t>
        </is>
      </c>
      <c r="K7" s="19" t="inlineStr">
        <is>
          <t>Theory</t>
        </is>
      </c>
      <c r="L7" s="22" t="inlineStr">
        <is>
          <t>✔ Solved</t>
        </is>
      </c>
      <c r="M7" s="20" t="inlineStr">
        <is>
          <t>2021-22 5(a); 2020-21 11(d); 2019-20 3(c); 2013-14 6(a); 2011-12 2(a)</t>
        </is>
      </c>
      <c r="N7" s="23" t="b">
        <v>0</v>
      </c>
      <c r="O7" s="19" t="n"/>
      <c r="P7" s="19" t="n"/>
      <c r="Q7" s="20" t="n"/>
    </row>
    <row r="8">
      <c r="A8" s="19" t="n">
        <v>5</v>
      </c>
      <c r="B8" s="19" t="inlineStr">
        <is>
          <t>2013-14</t>
        </is>
      </c>
      <c r="C8" s="19" t="inlineStr">
        <is>
          <t>CSE 305</t>
        </is>
      </c>
      <c r="D8" s="19" t="inlineStr">
        <is>
          <t>6(a)</t>
        </is>
      </c>
      <c r="E8" s="20" t="inlineStr">
        <is>
          <t>Four MIPS design principles; steps for starting a Java application</t>
        </is>
      </c>
      <c r="F8" s="20" t="inlineStr">
        <is>
          <t>Operands, design principles — Ch2, sl. 2–13</t>
        </is>
      </c>
      <c r="G8" s="19" t="inlineStr">
        <is>
          <t>L10</t>
        </is>
      </c>
      <c r="H8" s="19" t="n">
        <v>8</v>
      </c>
      <c r="I8" s="19" t="inlineStr">
        <is>
          <t>75</t>
        </is>
      </c>
      <c r="J8" s="25" t="inlineStr">
        <is>
          <t>★★ Medium</t>
        </is>
      </c>
      <c r="K8" s="19" t="inlineStr">
        <is>
          <t>Theory</t>
        </is>
      </c>
      <c r="L8" s="22" t="inlineStr">
        <is>
          <t>✔ Solved</t>
        </is>
      </c>
      <c r="M8" s="20" t="inlineStr">
        <is>
          <t>2021-22 5(a); 2020-21 11(d); 2019-20 3(c); 2016-17 6(c); 2011-12 2(a)</t>
        </is>
      </c>
      <c r="N8" s="23" t="b">
        <v>0</v>
      </c>
      <c r="O8" s="19" t="n"/>
      <c r="P8" s="19" t="n"/>
      <c r="Q8" s="20" t="n"/>
    </row>
    <row r="9">
      <c r="A9" s="19" t="n">
        <v>6</v>
      </c>
      <c r="B9" s="19" t="inlineStr">
        <is>
          <t>2011-12</t>
        </is>
      </c>
      <c r="C9" s="19" t="inlineStr">
        <is>
          <t>CSE 305</t>
        </is>
      </c>
      <c r="D9" s="19" t="inlineStr">
        <is>
          <t>2(a)</t>
        </is>
      </c>
      <c r="E9" s="20" t="inlineStr">
        <is>
          <t>MIPS design principles; one use of each in the MIPS ISA</t>
        </is>
      </c>
      <c r="F9" s="20" t="inlineStr">
        <is>
          <t>Operands, design principles — Ch2, sl. 2–13</t>
        </is>
      </c>
      <c r="G9" s="19" t="inlineStr">
        <is>
          <t>L10</t>
        </is>
      </c>
      <c r="H9" s="19" t="n">
        <v>8</v>
      </c>
      <c r="I9" s="19" t="inlineStr">
        <is>
          <t>84</t>
        </is>
      </c>
      <c r="J9" s="25" t="inlineStr">
        <is>
          <t>★★ Medium</t>
        </is>
      </c>
      <c r="K9" s="19" t="inlineStr">
        <is>
          <t>Theory</t>
        </is>
      </c>
      <c r="L9" s="22" t="inlineStr">
        <is>
          <t>✔ Solved</t>
        </is>
      </c>
      <c r="M9" s="20" t="inlineStr">
        <is>
          <t>2021-22 5(a); 2020-21 11(d); 2019-20 3(c); 2016-17 6(c); 2013-14 6(a)</t>
        </is>
      </c>
      <c r="N9" s="23" t="b">
        <v>0</v>
      </c>
      <c r="O9" s="19" t="n"/>
      <c r="P9" s="19" t="n"/>
      <c r="Q9" s="20" t="n"/>
    </row>
    <row r="10">
      <c r="A10" s="24" t="n">
        <v>7</v>
      </c>
      <c r="B10" s="24" t="inlineStr">
        <is>
          <t>2023-24</t>
        </is>
      </c>
      <c r="C10" s="24" t="inlineStr">
        <is>
          <t>CSE 209</t>
        </is>
      </c>
      <c r="D10" s="24" t="inlineStr">
        <is>
          <t>5(a)(ii)</t>
        </is>
      </c>
      <c r="E10" s="6" t="inlineStr">
        <is>
          <t>MIPS-v22 (opcode|rt|rd|rs|shamt|funct): encode add $t0,$t1,$t2; addi $t2,$t0,1; lw $t1,4($t0) in binary</t>
        </is>
      </c>
      <c r="F10" s="6" t="inlineStr">
        <is>
          <t>Signed numbers, encoding — Ch2, sl. 14–23</t>
        </is>
      </c>
      <c r="G10" s="24" t="inlineStr">
        <is>
          <t>L11</t>
        </is>
      </c>
      <c r="H10" s="24" t="n">
        <v>10</v>
      </c>
      <c r="I10" s="24" t="inlineStr">
        <is>
          <t>5</t>
        </is>
      </c>
      <c r="J10" s="21" t="inlineStr">
        <is>
          <t>★★★ High</t>
        </is>
      </c>
      <c r="K10" s="24" t="inlineStr">
        <is>
          <t>Numerical</t>
        </is>
      </c>
      <c r="L10" s="22" t="inlineStr">
        <is>
          <t>✔ Solved</t>
        </is>
      </c>
      <c r="M10" s="6" t="inlineStr">
        <is>
          <t>2013-14 6(b)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2020-21</t>
        </is>
      </c>
      <c r="C11" s="24" t="inlineStr">
        <is>
          <t>CSE 305</t>
        </is>
      </c>
      <c r="D11" s="24" t="inlineStr">
        <is>
          <t>11(d)</t>
        </is>
      </c>
      <c r="E11" s="6" t="inlineStr">
        <is>
          <t>Illustrate how MIPS follows 'Good design demands good compromises'</t>
        </is>
      </c>
      <c r="F11" s="6" t="inlineStr">
        <is>
          <t>Signed numbers, encoding — Ch2, sl. 14–23</t>
        </is>
      </c>
      <c r="G11" s="24" t="inlineStr">
        <is>
          <t>L11</t>
        </is>
      </c>
      <c r="H11" s="24" t="n">
        <v>5</v>
      </c>
      <c r="I11" s="24" t="inlineStr">
        <is>
          <t>33</t>
        </is>
      </c>
      <c r="J11" s="21" t="inlineStr">
        <is>
          <t>★★★ High</t>
        </is>
      </c>
      <c r="K11" s="24" t="inlineStr">
        <is>
          <t>Theory</t>
        </is>
      </c>
      <c r="L11" s="22" t="inlineStr">
        <is>
          <t>✔ Solved</t>
        </is>
      </c>
      <c r="M11" s="6" t="inlineStr">
        <is>
          <t>2021-22 5(a); 2019-20 3(c); 2016-17 6(c); 2013-14 6(a); 2011-12 2(a)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2018-19</t>
        </is>
      </c>
      <c r="C12" s="24" t="inlineStr">
        <is>
          <t>CSE 305</t>
        </is>
      </c>
      <c r="D12" s="24" t="inlineStr">
        <is>
          <t>6(c)</t>
        </is>
      </c>
      <c r="E12" s="6" t="inlineStr">
        <is>
          <t>How many MIPS instruction formats? Name and field lengths</t>
        </is>
      </c>
      <c r="F12" s="6" t="inlineStr">
        <is>
          <t>Signed numbers, encoding — Ch2, sl. 14–23</t>
        </is>
      </c>
      <c r="G12" s="24" t="inlineStr">
        <is>
          <t>L11</t>
        </is>
      </c>
      <c r="H12" s="24" t="n">
        <v>5</v>
      </c>
      <c r="I12" s="24" t="inlineStr">
        <is>
          <t>45</t>
        </is>
      </c>
      <c r="J12" s="25" t="inlineStr">
        <is>
          <t>★★ Medium</t>
        </is>
      </c>
      <c r="K12" s="24" t="inlineStr">
        <is>
          <t>Theory</t>
        </is>
      </c>
      <c r="L12" s="22" t="inlineStr">
        <is>
          <t>✔ Solved</t>
        </is>
      </c>
      <c r="M12" s="6" t="inlineStr">
        <is>
          <t>2017-18 8(c)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2017-18</t>
        </is>
      </c>
      <c r="C13" s="24" t="inlineStr">
        <is>
          <t>CSE 305</t>
        </is>
      </c>
      <c r="D13" s="24" t="inlineStr">
        <is>
          <t>8(c)</t>
        </is>
      </c>
      <c r="E13" s="6" t="inlineStr">
        <is>
          <t>How many MIPS instruction formats? Name and field lengths</t>
        </is>
      </c>
      <c r="F13" s="6" t="inlineStr">
        <is>
          <t>Signed numbers, encoding — Ch2, sl. 14–23</t>
        </is>
      </c>
      <c r="G13" s="24" t="inlineStr">
        <is>
          <t>L11</t>
        </is>
      </c>
      <c r="H13" s="24" t="n">
        <v>10</v>
      </c>
      <c r="I13" s="24" t="inlineStr">
        <is>
          <t>53</t>
        </is>
      </c>
      <c r="J13" s="25" t="inlineStr">
        <is>
          <t>★★ Medium</t>
        </is>
      </c>
      <c r="K13" s="24" t="inlineStr">
        <is>
          <t>Theory</t>
        </is>
      </c>
      <c r="L13" s="22" t="inlineStr">
        <is>
          <t>✔ Solved</t>
        </is>
      </c>
      <c r="M13" s="6" t="inlineStr">
        <is>
          <t>2018-19 6(c)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2013-14</t>
        </is>
      </c>
      <c r="C14" s="24" t="inlineStr">
        <is>
          <t>CSE 305</t>
        </is>
      </c>
      <c r="D14" s="24" t="inlineStr">
        <is>
          <t>6(b)</t>
        </is>
      </c>
      <c r="E14" s="6" t="inlineStr">
        <is>
          <t>MIPS code and machine code for A[3] = A[1] − A[2] (base in $s0)</t>
        </is>
      </c>
      <c r="F14" s="6" t="inlineStr">
        <is>
          <t>Signed numbers, encoding — Ch2, sl. 14–23</t>
        </is>
      </c>
      <c r="G14" s="24" t="inlineStr">
        <is>
          <t>L11</t>
        </is>
      </c>
      <c r="H14" s="24" t="n">
        <v>12</v>
      </c>
      <c r="I14" s="24" t="inlineStr">
        <is>
          <t>75</t>
        </is>
      </c>
      <c r="J14" s="25" t="inlineStr">
        <is>
          <t>★★ Medium</t>
        </is>
      </c>
      <c r="K14" s="24" t="inlineStr">
        <is>
          <t>Numerical</t>
        </is>
      </c>
      <c r="L14" s="22" t="inlineStr">
        <is>
          <t>✔ Solved</t>
        </is>
      </c>
      <c r="M14" s="6" t="inlineStr">
        <is>
          <t>2023-24 5(a)(ii)</t>
        </is>
      </c>
      <c r="N14" s="23" t="b">
        <v>0</v>
      </c>
      <c r="O14" s="24" t="n"/>
      <c r="P14" s="24" t="n"/>
      <c r="Q14" s="6" t="n"/>
    </row>
    <row r="15">
      <c r="A15" s="19" t="n">
        <v>12</v>
      </c>
      <c r="B15" s="19" t="inlineStr">
        <is>
          <t>2023-24</t>
        </is>
      </c>
      <c r="C15" s="19" t="inlineStr">
        <is>
          <t>CSE 209</t>
        </is>
      </c>
      <c r="D15" s="19" t="inlineStr">
        <is>
          <t>6(b)</t>
        </is>
      </c>
      <c r="E15" s="20" t="inlineStr">
        <is>
          <t>MIPS code for do { if ((a&lt;&lt;2) &gt; b) {a += 2; b += a;} else {a += c; b += c;} } while (a &lt; N)</t>
        </is>
      </c>
      <c r="F15" s="20" t="inlineStr">
        <is>
          <t>Logical ops, decisions, loops — Ch2, sl. 24–35</t>
        </is>
      </c>
      <c r="G15" s="19" t="inlineStr">
        <is>
          <t>L12</t>
        </is>
      </c>
      <c r="H15" s="19" t="n">
        <v>13</v>
      </c>
      <c r="I15" s="19" t="inlineStr">
        <is>
          <t>6</t>
        </is>
      </c>
      <c r="J15" s="21" t="inlineStr">
        <is>
          <t>★★★ High</t>
        </is>
      </c>
      <c r="K15" s="19" t="inlineStr">
        <is>
          <t>Design</t>
        </is>
      </c>
      <c r="L15" s="22" t="inlineStr">
        <is>
          <t>✔ Solved</t>
        </is>
      </c>
      <c r="M15" s="20" t="inlineStr">
        <is>
          <t>2020-21 11(c)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2022-23</t>
        </is>
      </c>
      <c r="C16" s="19" t="inlineStr">
        <is>
          <t>CSE 209</t>
        </is>
      </c>
      <c r="D16" s="19" t="inlineStr">
        <is>
          <t>11(b) NOT part</t>
        </is>
      </c>
      <c r="E16" s="20" t="inlineStr">
        <is>
          <t>How is the NOT operation performed in MIPS? (jal-vs-j part is in the RS tracker; marks shared)</t>
        </is>
      </c>
      <c r="F16" s="20" t="inlineStr">
        <is>
          <t>Logical ops, decisions, loops — Ch2, sl. 24–35</t>
        </is>
      </c>
      <c r="G16" s="19" t="inlineStr">
        <is>
          <t>L12</t>
        </is>
      </c>
      <c r="H16" s="19" t="n"/>
      <c r="I16" s="19" t="inlineStr">
        <is>
          <t>13</t>
        </is>
      </c>
      <c r="J16" s="21" t="inlineStr">
        <is>
          <t>★★★ High</t>
        </is>
      </c>
      <c r="K16" s="19" t="inlineStr">
        <is>
          <t>Theory</t>
        </is>
      </c>
      <c r="L16" s="22" t="inlineStr">
        <is>
          <t>✔ Solved</t>
        </is>
      </c>
      <c r="M16" s="20" t="inlineStr">
        <is>
          <t>—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2020-21</t>
        </is>
      </c>
      <c r="C17" s="19" t="inlineStr">
        <is>
          <t>CSE 305</t>
        </is>
      </c>
      <c r="D17" s="19" t="inlineStr">
        <is>
          <t>11(c)</t>
        </is>
      </c>
      <c r="E17" s="20" t="inlineStr">
        <is>
          <t>Efficient MIPS for testFunc(a,b,c): do { if (i&gt;b) result += c; i++; } while (i&lt;a)</t>
        </is>
      </c>
      <c r="F17" s="20" t="inlineStr">
        <is>
          <t>Logical ops, decisions, loops — Ch2, sl. 24–35</t>
        </is>
      </c>
      <c r="G17" s="19" t="inlineStr">
        <is>
          <t>L12</t>
        </is>
      </c>
      <c r="H17" s="19" t="n">
        <v>12</v>
      </c>
      <c r="I17" s="19" t="inlineStr">
        <is>
          <t>33</t>
        </is>
      </c>
      <c r="J17" s="21" t="inlineStr">
        <is>
          <t>★★★ High</t>
        </is>
      </c>
      <c r="K17" s="19" t="inlineStr">
        <is>
          <t>Design</t>
        </is>
      </c>
      <c r="L17" s="22" t="inlineStr">
        <is>
          <t>✔ Solved</t>
        </is>
      </c>
      <c r="M17" s="20" t="inlineStr">
        <is>
          <t>2023-24 6(b)</t>
        </is>
      </c>
      <c r="N17" s="23" t="b">
        <v>0</v>
      </c>
      <c r="O17" s="19" t="n"/>
      <c r="P17" s="19" t="n"/>
      <c r="Q17" s="20" t="n"/>
    </row>
    <row r="18">
      <c r="A18" s="19" t="n">
        <v>15</v>
      </c>
      <c r="B18" s="19" t="inlineStr">
        <is>
          <t>2014-15</t>
        </is>
      </c>
      <c r="C18" s="19" t="inlineStr">
        <is>
          <t>CSE 305</t>
        </is>
      </c>
      <c r="D18" s="19" t="inlineStr">
        <is>
          <t>7(b)</t>
        </is>
      </c>
      <c r="E18" s="20" t="inlineStr">
        <is>
          <t>Why no blt/bge in MIPS? Program them with MIPS instructions</t>
        </is>
      </c>
      <c r="F18" s="20" t="inlineStr">
        <is>
          <t>Logical ops, decisions, loops — Ch2, sl. 24–35</t>
        </is>
      </c>
      <c r="G18" s="19" t="inlineStr">
        <is>
          <t>L12</t>
        </is>
      </c>
      <c r="H18" s="19" t="n">
        <v>10</v>
      </c>
      <c r="I18" s="19" t="inlineStr">
        <is>
          <t>72</t>
        </is>
      </c>
      <c r="J18" s="22" t="inlineStr">
        <is>
          <t>★ Low</t>
        </is>
      </c>
      <c r="K18" s="19" t="inlineStr">
        <is>
          <t>Theory</t>
        </is>
      </c>
      <c r="L18" s="22" t="inlineStr">
        <is>
          <t>✔ Solved</t>
        </is>
      </c>
      <c r="M18" s="20" t="inlineStr">
        <is>
          <t>—</t>
        </is>
      </c>
      <c r="N18" s="23" t="b">
        <v>0</v>
      </c>
      <c r="O18" s="19" t="n"/>
      <c r="P18" s="19" t="n"/>
      <c r="Q18" s="20" t="n"/>
    </row>
    <row r="19">
      <c r="A19" s="24" t="n">
        <v>16</v>
      </c>
      <c r="B19" s="24" t="inlineStr">
        <is>
          <t>2022-23</t>
        </is>
      </c>
      <c r="C19" s="24" t="inlineStr">
        <is>
          <t>CSE 305</t>
        </is>
      </c>
      <c r="D19" s="24" t="inlineStr">
        <is>
          <t>7(c)</t>
        </is>
      </c>
      <c r="E19" s="6" t="inlineStr">
        <is>
          <t>MIPS for int f(a,b,c,d){ return func(func(a,b), c+d); }</t>
        </is>
      </c>
      <c r="F19" s="6" t="inlineStr">
        <is>
          <t>Procedures, stack, recursion — Ch2, sl. 36–45</t>
        </is>
      </c>
      <c r="G19" s="24" t="inlineStr">
        <is>
          <t>L13</t>
        </is>
      </c>
      <c r="H19" s="24" t="n">
        <v>8</v>
      </c>
      <c r="I19" s="24" t="inlineStr">
        <is>
          <t>19</t>
        </is>
      </c>
      <c r="J19" s="21" t="inlineStr">
        <is>
          <t>★★★ High</t>
        </is>
      </c>
      <c r="K19" s="24" t="inlineStr">
        <is>
          <t>Design</t>
        </is>
      </c>
      <c r="L19" s="22" t="inlineStr">
        <is>
          <t>✔ Solved</t>
        </is>
      </c>
      <c r="M19" s="6" t="inlineStr">
        <is>
          <t>2017-18 7(a); 2015-16 5(a)</t>
        </is>
      </c>
      <c r="N19" s="23" t="b">
        <v>0</v>
      </c>
      <c r="O19" s="24" t="n"/>
      <c r="P19" s="24" t="n"/>
      <c r="Q19" s="6" t="n"/>
    </row>
    <row r="20">
      <c r="A20" s="24" t="n">
        <v>17</v>
      </c>
      <c r="B20" s="24" t="inlineStr">
        <is>
          <t>2022-23</t>
        </is>
      </c>
      <c r="C20" s="24" t="inlineStr">
        <is>
          <t>CSE 209</t>
        </is>
      </c>
      <c r="D20" s="24" t="inlineStr">
        <is>
          <t>9(c)</t>
        </is>
      </c>
      <c r="E20" s="6" t="inlineStr">
        <is>
          <t>MIPS for int fun(a,b){ if(b==0) return 0; else if(b/2==0) return fun(a*4,b/8); return fun(a+a,b/4)+a; }</t>
        </is>
      </c>
      <c r="F20" s="6" t="inlineStr">
        <is>
          <t>Procedures, stack, recursion — Ch2, sl. 36–45</t>
        </is>
      </c>
      <c r="G20" s="24" t="inlineStr">
        <is>
          <t>L13</t>
        </is>
      </c>
      <c r="H20" s="24" t="n">
        <v>10</v>
      </c>
      <c r="I20" s="24" t="inlineStr">
        <is>
          <t>12</t>
        </is>
      </c>
      <c r="J20" s="21" t="inlineStr">
        <is>
          <t>★★★ High</t>
        </is>
      </c>
      <c r="K20" s="24" t="inlineStr">
        <is>
          <t>Design</t>
        </is>
      </c>
      <c r="L20" s="22" t="inlineStr">
        <is>
          <t>✔ Solved</t>
        </is>
      </c>
      <c r="M20" s="6" t="inlineStr">
        <is>
          <t>2021-22 6(a); 2018-19 8(a); 2014-15 6(a); 2013-14 6(c)</t>
        </is>
      </c>
      <c r="N20" s="23" t="b">
        <v>0</v>
      </c>
      <c r="O20" s="24" t="n"/>
      <c r="P20" s="24" t="n"/>
      <c r="Q20" s="6" t="n"/>
    </row>
    <row r="21">
      <c r="A21" s="24" t="n">
        <v>18</v>
      </c>
      <c r="B21" s="24" t="inlineStr">
        <is>
          <t>2021-22</t>
        </is>
      </c>
      <c r="C21" s="24" t="inlineStr">
        <is>
          <t>CSE 305</t>
        </is>
      </c>
      <c r="D21" s="24" t="inlineStr">
        <is>
          <t>6(a)</t>
        </is>
      </c>
      <c r="E21" s="6" t="inlineStr">
        <is>
          <t>MIPS for recursive fib(n)</t>
        </is>
      </c>
      <c r="F21" s="6" t="inlineStr">
        <is>
          <t>Procedures, stack, recursion — Ch2, sl. 36–45</t>
        </is>
      </c>
      <c r="G21" s="24" t="inlineStr">
        <is>
          <t>L13</t>
        </is>
      </c>
      <c r="H21" s="24" t="n">
        <v>15</v>
      </c>
      <c r="I21" s="24" t="inlineStr">
        <is>
          <t>24</t>
        </is>
      </c>
      <c r="J21" s="21" t="inlineStr">
        <is>
          <t>★★★ High</t>
        </is>
      </c>
      <c r="K21" s="24" t="inlineStr">
        <is>
          <t>Design</t>
        </is>
      </c>
      <c r="L21" s="22" t="inlineStr">
        <is>
          <t>✔ Solved</t>
        </is>
      </c>
      <c r="M21" s="6" t="inlineStr">
        <is>
          <t>2022-23 9(c) (CSE 209); 2018-19 8(a); 2014-15 6(a); 2013-14 6(c)</t>
        </is>
      </c>
      <c r="N21" s="23" t="b">
        <v>0</v>
      </c>
      <c r="O21" s="24" t="n"/>
      <c r="P21" s="24" t="n"/>
      <c r="Q21" s="6" t="n"/>
    </row>
    <row r="22">
      <c r="A22" s="24" t="n">
        <v>19</v>
      </c>
      <c r="B22" s="24" t="inlineStr">
        <is>
          <t>2018-19</t>
        </is>
      </c>
      <c r="C22" s="24" t="inlineStr">
        <is>
          <t>CSE 305</t>
        </is>
      </c>
      <c r="D22" s="24" t="inlineStr">
        <is>
          <t>8(a)</t>
        </is>
      </c>
      <c r="E22" s="6" t="inlineStr">
        <is>
          <t>MIPS for recursive fun(a,b) computing a^b (b%2 test, fun(a*a,b/2)*a)</t>
        </is>
      </c>
      <c r="F22" s="6" t="inlineStr">
        <is>
          <t>Procedures, stack, recursion — Ch2, sl. 36–45</t>
        </is>
      </c>
      <c r="G22" s="24" t="inlineStr">
        <is>
          <t>L13</t>
        </is>
      </c>
      <c r="H22" s="24" t="n">
        <v>20</v>
      </c>
      <c r="I22" s="24" t="inlineStr">
        <is>
          <t>46</t>
        </is>
      </c>
      <c r="J22" s="25" t="inlineStr">
        <is>
          <t>★★ Medium</t>
        </is>
      </c>
      <c r="K22" s="24" t="inlineStr">
        <is>
          <t>Design</t>
        </is>
      </c>
      <c r="L22" s="22" t="inlineStr">
        <is>
          <t>✔ Solved</t>
        </is>
      </c>
      <c r="M22" s="6" t="inlineStr">
        <is>
          <t>2022-23 9(c) (CSE 209); 2021-22 6(a); 2014-15 6(a); 2013-14 6(c)</t>
        </is>
      </c>
      <c r="N22" s="23" t="b">
        <v>0</v>
      </c>
      <c r="O22" s="24" t="n"/>
      <c r="P22" s="24" t="n"/>
      <c r="Q22" s="6" t="n"/>
    </row>
    <row r="23">
      <c r="A23" s="24" t="n">
        <v>20</v>
      </c>
      <c r="B23" s="24" t="inlineStr">
        <is>
          <t>2017-18</t>
        </is>
      </c>
      <c r="C23" s="24" t="inlineStr">
        <is>
          <t>CSE 305</t>
        </is>
      </c>
      <c r="D23" s="24" t="inlineStr">
        <is>
          <t>7(a)</t>
        </is>
      </c>
      <c r="E23" s="6" t="inlineStr">
        <is>
          <t>MIPS for swap(v,k) and sort(v,n) (insertion-style nested loops)</t>
        </is>
      </c>
      <c r="F23" s="6" t="inlineStr">
        <is>
          <t>Procedures, stack, recursion — Ch2, sl. 36–45</t>
        </is>
      </c>
      <c r="G23" s="24" t="inlineStr">
        <is>
          <t>L13</t>
        </is>
      </c>
      <c r="H23" s="24" t="n">
        <v>25</v>
      </c>
      <c r="I23" s="24" t="inlineStr">
        <is>
          <t>53</t>
        </is>
      </c>
      <c r="J23" s="25" t="inlineStr">
        <is>
          <t>★★ Medium</t>
        </is>
      </c>
      <c r="K23" s="24" t="inlineStr">
        <is>
          <t>Design</t>
        </is>
      </c>
      <c r="L23" s="22" t="inlineStr">
        <is>
          <t>✔ Solved</t>
        </is>
      </c>
      <c r="M23" s="6" t="inlineStr">
        <is>
          <t>2022-23 7(c) (CSE 305); 2015-16 5(a)</t>
        </is>
      </c>
      <c r="N23" s="23" t="b">
        <v>0</v>
      </c>
      <c r="O23" s="24" t="n"/>
      <c r="P23" s="24" t="n"/>
      <c r="Q23" s="6" t="n"/>
    </row>
    <row r="24">
      <c r="A24" s="24" t="n">
        <v>21</v>
      </c>
      <c r="B24" s="24" t="inlineStr">
        <is>
          <t>2014-15</t>
        </is>
      </c>
      <c r="C24" s="24" t="inlineStr">
        <is>
          <t>CSE 305</t>
        </is>
      </c>
      <c r="D24" s="24" t="inlineStr">
        <is>
          <t>6(a)</t>
        </is>
      </c>
      <c r="E24" s="6" t="inlineStr">
        <is>
          <t>Complete the MIPS code of recurseSum(n) (fill the blanks)</t>
        </is>
      </c>
      <c r="F24" s="6" t="inlineStr">
        <is>
          <t>Procedures, stack, recursion — Ch2, sl. 36–45</t>
        </is>
      </c>
      <c r="G24" s="24" t="inlineStr">
        <is>
          <t>L13</t>
        </is>
      </c>
      <c r="H24" s="24" t="n">
        <v>15</v>
      </c>
      <c r="I24" s="24" t="inlineStr">
        <is>
          <t>71</t>
        </is>
      </c>
      <c r="J24" s="25" t="inlineStr">
        <is>
          <t>★★ Medium</t>
        </is>
      </c>
      <c r="K24" s="24" t="inlineStr">
        <is>
          <t>Design</t>
        </is>
      </c>
      <c r="L24" s="22" t="inlineStr">
        <is>
          <t>✔ Solved</t>
        </is>
      </c>
      <c r="M24" s="6" t="inlineStr">
        <is>
          <t>2022-23 9(c) (CSE 209); 2021-22 6(a); 2018-19 8(a); 2013-14 6(c)</t>
        </is>
      </c>
      <c r="N24" s="23" t="b">
        <v>0</v>
      </c>
      <c r="O24" s="24" t="n"/>
      <c r="P24" s="24" t="n"/>
      <c r="Q24" s="6" t="n"/>
    </row>
    <row r="25">
      <c r="A25" s="24" t="n">
        <v>22</v>
      </c>
      <c r="B25" s="24" t="inlineStr">
        <is>
          <t>2013-14</t>
        </is>
      </c>
      <c r="C25" s="24" t="inlineStr">
        <is>
          <t>CSE 305</t>
        </is>
      </c>
      <c r="D25" s="24" t="inlineStr">
        <is>
          <t>6(c)</t>
        </is>
      </c>
      <c r="E25" s="6" t="inlineStr">
        <is>
          <t>MIPS for int sum(int n){ if (n&lt;=0) return 0; else return n + sum(n−1); }</t>
        </is>
      </c>
      <c r="F25" s="6" t="inlineStr">
        <is>
          <t>Procedures, stack, recursion — Ch2, sl. 36–45</t>
        </is>
      </c>
      <c r="G25" s="24" t="inlineStr">
        <is>
          <t>L13</t>
        </is>
      </c>
      <c r="H25" s="24" t="n">
        <v>12</v>
      </c>
      <c r="I25" s="24" t="inlineStr">
        <is>
          <t>76</t>
        </is>
      </c>
      <c r="J25" s="25" t="inlineStr">
        <is>
          <t>★★ Medium</t>
        </is>
      </c>
      <c r="K25" s="24" t="inlineStr">
        <is>
          <t>Design</t>
        </is>
      </c>
      <c r="L25" s="22" t="inlineStr">
        <is>
          <t>✔ Solved</t>
        </is>
      </c>
      <c r="M25" s="6" t="inlineStr">
        <is>
          <t>2022-23 9(c) (CSE 209); 2021-22 6(a); 2018-19 8(a); 2014-15 6(a)</t>
        </is>
      </c>
      <c r="N25" s="23" t="b">
        <v>0</v>
      </c>
      <c r="O25" s="24" t="n"/>
      <c r="P25" s="24" t="n"/>
      <c r="Q25" s="6" t="n"/>
    </row>
    <row r="26">
      <c r="A26" s="24" t="n">
        <v>23</v>
      </c>
      <c r="B26" s="24" t="inlineStr">
        <is>
          <t>2012-13</t>
        </is>
      </c>
      <c r="C26" s="24" t="inlineStr">
        <is>
          <t>CSE 305</t>
        </is>
      </c>
      <c r="D26" s="24" t="inlineStr">
        <is>
          <t>1(a)</t>
        </is>
      </c>
      <c r="E26" s="6" t="inlineStr">
        <is>
          <t>Jump address table: implement case/switch with it (example)</t>
        </is>
      </c>
      <c r="F26" s="6" t="inlineStr">
        <is>
          <t>Procedures, stack, recursion — Ch2, sl. 36–45</t>
        </is>
      </c>
      <c r="G26" s="24" t="inlineStr">
        <is>
          <t>L13</t>
        </is>
      </c>
      <c r="H26" s="24" t="n">
        <v>15</v>
      </c>
      <c r="I26" s="24" t="inlineStr">
        <is>
          <t>78</t>
        </is>
      </c>
      <c r="J26" s="22" t="inlineStr">
        <is>
          <t>★ Low</t>
        </is>
      </c>
      <c r="K26" s="24" t="inlineStr">
        <is>
          <t>Design</t>
        </is>
      </c>
      <c r="L26" s="22" t="inlineStr">
        <is>
          <t>✔ Solved</t>
        </is>
      </c>
      <c r="M26" s="6" t="inlineStr">
        <is>
          <t>—</t>
        </is>
      </c>
      <c r="N26" s="23" t="b">
        <v>0</v>
      </c>
      <c r="O26" s="24" t="n"/>
      <c r="P26" s="24" t="n"/>
      <c r="Q26" s="6" t="n"/>
    </row>
    <row r="27">
      <c r="A27" s="24" t="n">
        <v>24</v>
      </c>
      <c r="B27" s="24" t="inlineStr">
        <is>
          <t>2011-12</t>
        </is>
      </c>
      <c r="C27" s="24" t="inlineStr">
        <is>
          <t>CSE 305</t>
        </is>
      </c>
      <c r="D27" s="24" t="inlineStr">
        <is>
          <t>2(b)</t>
        </is>
      </c>
      <c r="E27" s="6" t="inlineStr">
        <is>
          <t>Instructions and registers used in a MIPS procedure call and their purpose</t>
        </is>
      </c>
      <c r="F27" s="6" t="inlineStr">
        <is>
          <t>Procedures, stack, recursion — Ch2, sl. 36–45</t>
        </is>
      </c>
      <c r="G27" s="24" t="inlineStr">
        <is>
          <t>L13</t>
        </is>
      </c>
      <c r="H27" s="24" t="n">
        <v>7.5</v>
      </c>
      <c r="I27" s="24" t="inlineStr">
        <is>
          <t>84</t>
        </is>
      </c>
      <c r="J27" s="22" t="inlineStr">
        <is>
          <t>★ Low</t>
        </is>
      </c>
      <c r="K27" s="24" t="inlineStr">
        <is>
          <t>Theory</t>
        </is>
      </c>
      <c r="L27" s="22" t="inlineStr">
        <is>
          <t>✔ Solved</t>
        </is>
      </c>
      <c r="M27" s="6" t="inlineStr">
        <is>
          <t>—</t>
        </is>
      </c>
      <c r="N27" s="23" t="b">
        <v>0</v>
      </c>
      <c r="O27" s="24" t="n"/>
      <c r="P27" s="24" t="n"/>
      <c r="Q27" s="6" t="n"/>
    </row>
    <row r="28">
      <c r="A28" s="19" t="n">
        <v>25</v>
      </c>
      <c r="B28" s="19" t="inlineStr">
        <is>
          <t>2022-23</t>
        </is>
      </c>
      <c r="C28" s="19" t="inlineStr">
        <is>
          <t>CSE 305</t>
        </is>
      </c>
      <c r="D28" s="19" t="inlineStr">
        <is>
          <t>5(a)</t>
        </is>
      </c>
      <c r="E28" s="20" t="inlineStr">
        <is>
          <t>Rachel adds lh, lhu, sh, shu for multi-language support; Ross says not all are needed — agree?</t>
        </is>
      </c>
      <c r="F28" s="20" t="inlineStr">
        <is>
          <t>Bytes, strings, 32-bit constants — Ch2, sl. 46–50</t>
        </is>
      </c>
      <c r="G28" s="19" t="inlineStr">
        <is>
          <t>L14</t>
        </is>
      </c>
      <c r="H28" s="19" t="n">
        <v>7</v>
      </c>
      <c r="I28" s="19" t="inlineStr">
        <is>
          <t>18</t>
        </is>
      </c>
      <c r="J28" s="21" t="inlineStr">
        <is>
          <t>★★★ High</t>
        </is>
      </c>
      <c r="K28" s="19" t="inlineStr">
        <is>
          <t>Theory</t>
        </is>
      </c>
      <c r="L28" s="22" t="inlineStr">
        <is>
          <t>✔ Solved</t>
        </is>
      </c>
      <c r="M28" s="20" t="inlineStr">
        <is>
          <t>—</t>
        </is>
      </c>
      <c r="N28" s="23" t="b">
        <v>0</v>
      </c>
      <c r="O28" s="19" t="n"/>
      <c r="P28" s="19" t="n"/>
      <c r="Q28" s="20" t="n"/>
    </row>
    <row r="29">
      <c r="A29" s="19" t="n">
        <v>26</v>
      </c>
      <c r="B29" s="19" t="inlineStr">
        <is>
          <t>2022-23</t>
        </is>
      </c>
      <c r="C29" s="19" t="inlineStr">
        <is>
          <t>CSE 305</t>
        </is>
      </c>
      <c r="D29" s="19" t="inlineStr">
        <is>
          <t>6(c)</t>
        </is>
      </c>
      <c r="E29" s="20" t="inlineStr">
        <is>
          <t>MIPS for if (x &gt; y + 131075) x = 8;  (x in $t1, y in $t2)</t>
        </is>
      </c>
      <c r="F29" s="20" t="inlineStr">
        <is>
          <t>Bytes, strings, 32-bit constants — Ch2, sl. 46–50</t>
        </is>
      </c>
      <c r="G29" s="19" t="inlineStr">
        <is>
          <t>L14</t>
        </is>
      </c>
      <c r="H29" s="19" t="n">
        <v>8</v>
      </c>
      <c r="I29" s="19" t="inlineStr">
        <is>
          <t>19</t>
        </is>
      </c>
      <c r="J29" s="21" t="inlineStr">
        <is>
          <t>★★★ High</t>
        </is>
      </c>
      <c r="K29" s="19" t="inlineStr">
        <is>
          <t>Design</t>
        </is>
      </c>
      <c r="L29" s="22" t="inlineStr">
        <is>
          <t>✔ Solved</t>
        </is>
      </c>
      <c r="M29" s="20" t="inlineStr">
        <is>
          <t>2019-20 3(a)</t>
        </is>
      </c>
      <c r="N29" s="23" t="b">
        <v>0</v>
      </c>
      <c r="O29" s="19" t="n"/>
      <c r="P29" s="19" t="n"/>
      <c r="Q29" s="20" t="n"/>
    </row>
    <row r="30">
      <c r="A30" s="19" t="n">
        <v>27</v>
      </c>
      <c r="B30" s="19" t="inlineStr">
        <is>
          <t>2019-20</t>
        </is>
      </c>
      <c r="C30" s="19" t="inlineStr">
        <is>
          <t>CSE 305</t>
        </is>
      </c>
      <c r="D30" s="19" t="inlineStr">
        <is>
          <t>3(a)</t>
        </is>
      </c>
      <c r="E30" s="20" t="inlineStr">
        <is>
          <t>MIPS for: while (x&gt;=−5) loop; if (x&gt;y+131075) x=1; x = A[131075]+5</t>
        </is>
      </c>
      <c r="F30" s="20" t="inlineStr">
        <is>
          <t>Bytes, strings, 32-bit constants — Ch2, sl. 46–50</t>
        </is>
      </c>
      <c r="G30" s="19" t="inlineStr">
        <is>
          <t>L14</t>
        </is>
      </c>
      <c r="H30" s="19" t="n">
        <v>15</v>
      </c>
      <c r="I30" s="19" t="inlineStr">
        <is>
          <t>37–38</t>
        </is>
      </c>
      <c r="J30" s="21" t="inlineStr">
        <is>
          <t>★★★ High</t>
        </is>
      </c>
      <c r="K30" s="19" t="inlineStr">
        <is>
          <t>Design</t>
        </is>
      </c>
      <c r="L30" s="22" t="inlineStr">
        <is>
          <t>✔ Solved</t>
        </is>
      </c>
      <c r="M30" s="20" t="inlineStr">
        <is>
          <t>2022-23 6(c) (CSE 305)</t>
        </is>
      </c>
      <c r="N30" s="23" t="b">
        <v>0</v>
      </c>
      <c r="O30" s="19" t="n"/>
      <c r="P30" s="19" t="n"/>
      <c r="Q30" s="20" t="n"/>
    </row>
    <row r="31">
      <c r="A31" s="19" t="n">
        <v>28</v>
      </c>
      <c r="B31" s="19" t="inlineStr">
        <is>
          <t>2015-16</t>
        </is>
      </c>
      <c r="C31" s="19" t="inlineStr">
        <is>
          <t>CSE 305</t>
        </is>
      </c>
      <c r="D31" s="19" t="inlineStr">
        <is>
          <t>5(a)</t>
        </is>
      </c>
      <c r="E31" s="20" t="inlineStr">
        <is>
          <t>Minimal MIPS for recursive rstrcopy(char *dest, char *source)</t>
        </is>
      </c>
      <c r="F31" s="20" t="inlineStr">
        <is>
          <t>Bytes, strings, 32-bit constants — Ch2, sl. 46–50</t>
        </is>
      </c>
      <c r="G31" s="19" t="inlineStr">
        <is>
          <t>L14</t>
        </is>
      </c>
      <c r="H31" s="19" t="n">
        <v>25</v>
      </c>
      <c r="I31" s="19" t="inlineStr">
        <is>
          <t>65–66</t>
        </is>
      </c>
      <c r="J31" s="25" t="inlineStr">
        <is>
          <t>★★ Medium</t>
        </is>
      </c>
      <c r="K31" s="19" t="inlineStr">
        <is>
          <t>Design</t>
        </is>
      </c>
      <c r="L31" s="22" t="inlineStr">
        <is>
          <t>✔ Solved</t>
        </is>
      </c>
      <c r="M31" s="20" t="inlineStr">
        <is>
          <t>2022-23 7(c) (CSE 305); 2017-18 7(a)</t>
        </is>
      </c>
      <c r="N31" s="23" t="b">
        <v>0</v>
      </c>
      <c r="O31" s="19" t="n"/>
      <c r="P31" s="19" t="n"/>
      <c r="Q31" s="20" t="n"/>
    </row>
    <row r="32">
      <c r="A32" s="19" t="n">
        <v>29</v>
      </c>
      <c r="B32" s="19" t="inlineStr">
        <is>
          <t>2015-16</t>
        </is>
      </c>
      <c r="C32" s="19" t="inlineStr">
        <is>
          <t>CSE 305</t>
        </is>
      </c>
      <c r="D32" s="19" t="inlineStr">
        <is>
          <t>5(b)</t>
        </is>
      </c>
      <c r="E32" s="20" t="inlineStr">
        <is>
          <t>MIPS code to load 0001 0000 0011 1101 0000 1001 0000 0000₂ into $s0</t>
        </is>
      </c>
      <c r="F32" s="20" t="inlineStr">
        <is>
          <t>Bytes, strings, 32-bit constants — Ch2, sl. 46–50</t>
        </is>
      </c>
      <c r="G32" s="19" t="inlineStr">
        <is>
          <t>L14</t>
        </is>
      </c>
      <c r="H32" s="19" t="n">
        <v>6</v>
      </c>
      <c r="I32" s="19" t="inlineStr">
        <is>
          <t>66</t>
        </is>
      </c>
      <c r="J32" s="25" t="inlineStr">
        <is>
          <t>★★ Medium</t>
        </is>
      </c>
      <c r="K32" s="19" t="inlineStr">
        <is>
          <t>Design</t>
        </is>
      </c>
      <c r="L32" s="22" t="inlineStr">
        <is>
          <t>✔ Solved</t>
        </is>
      </c>
      <c r="M32" s="20" t="inlineStr">
        <is>
          <t>2022-23 12(c)(i),(iii) (CSE 209); 2012-13 1(b)</t>
        </is>
      </c>
      <c r="N32" s="23" t="b">
        <v>0</v>
      </c>
      <c r="O32" s="19" t="n"/>
      <c r="P32" s="19" t="n"/>
      <c r="Q32" s="20" t="n"/>
    </row>
    <row r="33">
      <c r="A33" s="19" t="n">
        <v>30</v>
      </c>
      <c r="B33" s="19" t="inlineStr">
        <is>
          <t>2012-13</t>
        </is>
      </c>
      <c r="C33" s="19" t="inlineStr">
        <is>
          <t>CSE 305</t>
        </is>
      </c>
      <c r="D33" s="19" t="inlineStr">
        <is>
          <t>1(b)</t>
        </is>
      </c>
      <c r="E33" s="20" t="inlineStr">
        <is>
          <t>How can you create a 32-bit constant in MIPS assembly?</t>
        </is>
      </c>
      <c r="F33" s="20" t="inlineStr">
        <is>
          <t>Bytes, strings, 32-bit constants — Ch2, sl. 46–50</t>
        </is>
      </c>
      <c r="G33" s="19" t="inlineStr">
        <is>
          <t>L14</t>
        </is>
      </c>
      <c r="H33" s="19" t="n">
        <v>5</v>
      </c>
      <c r="I33" s="19" t="inlineStr">
        <is>
          <t>78</t>
        </is>
      </c>
      <c r="J33" s="25" t="inlineStr">
        <is>
          <t>★★ Medium</t>
        </is>
      </c>
      <c r="K33" s="19" t="inlineStr">
        <is>
          <t>Theory</t>
        </is>
      </c>
      <c r="L33" s="22" t="inlineStr">
        <is>
          <t>✔ Solved</t>
        </is>
      </c>
      <c r="M33" s="20" t="inlineStr">
        <is>
          <t>2022-23 12(c)(i),(iii) (CSE 209); 2015-16 5(b)</t>
        </is>
      </c>
      <c r="N33" s="23" t="b">
        <v>0</v>
      </c>
      <c r="O33" s="19" t="n"/>
      <c r="P33" s="19" t="n"/>
      <c r="Q33" s="20" t="n"/>
    </row>
    <row r="34">
      <c r="A34" s="24" t="n">
        <v>31</v>
      </c>
      <c r="B34" s="24" t="inlineStr">
        <is>
          <t>2023-24</t>
        </is>
      </c>
      <c r="C34" s="24" t="inlineStr">
        <is>
          <t>CSE 209</t>
        </is>
      </c>
      <c r="D34" s="24" t="inlineStr">
        <is>
          <t>8(c)</t>
        </is>
      </c>
      <c r="E34" s="6" t="inlineStr">
        <is>
          <t>beq $s0,$s1,L1 is out of range — replace it by a pair of instructions with a much greater reach</t>
        </is>
      </c>
      <c r="F34" s="6" t="inlineStr">
        <is>
          <t>Branch/jump addressing, far branches — Ch2, sl. 51–54</t>
        </is>
      </c>
      <c r="G34" s="24" t="inlineStr">
        <is>
          <t>L15</t>
        </is>
      </c>
      <c r="H34" s="24" t="n">
        <v>5</v>
      </c>
      <c r="I34" s="24" t="inlineStr">
        <is>
          <t>7</t>
        </is>
      </c>
      <c r="J34" s="21" t="inlineStr">
        <is>
          <t>★★★ High</t>
        </is>
      </c>
      <c r="K34" s="24" t="inlineStr">
        <is>
          <t>Theory</t>
        </is>
      </c>
      <c r="L34" s="22" t="inlineStr">
        <is>
          <t>✔ Solved</t>
        </is>
      </c>
      <c r="M34" s="6" t="inlineStr">
        <is>
          <t>2018-19 8(c); 2014-15 7(c); 2013-14 6(d); 2012-13 1(d); 2011-12 2(c)</t>
        </is>
      </c>
      <c r="N34" s="23" t="b">
        <v>0</v>
      </c>
      <c r="O34" s="24" t="n"/>
      <c r="P34" s="24" t="n"/>
      <c r="Q34" s="6" t="n"/>
    </row>
    <row r="35">
      <c r="A35" s="24" t="n">
        <v>32</v>
      </c>
      <c r="B35" s="24" t="inlineStr">
        <is>
          <t>2022-23</t>
        </is>
      </c>
      <c r="C35" s="24" t="inlineStr">
        <is>
          <t>CSE 209</t>
        </is>
      </c>
      <c r="D35" s="24" t="inlineStr">
        <is>
          <t>12(c)(i),(iii)</t>
        </is>
      </c>
      <c r="E35" s="6" t="inlineStr">
        <is>
          <t>Build 0x20014924 in $t1; from PC = 0x1FFFF000 can one branch reach it? (12(c)(ii) is in RS tracker; 10 marks shared)</t>
        </is>
      </c>
      <c r="F35" s="6" t="inlineStr">
        <is>
          <t>Branch/jump addressing, far branches — Ch2, sl. 51–54</t>
        </is>
      </c>
      <c r="G35" s="24" t="inlineStr">
        <is>
          <t>L15</t>
        </is>
      </c>
      <c r="H35" s="24" t="n">
        <v>7</v>
      </c>
      <c r="I35" s="24" t="inlineStr">
        <is>
          <t>14</t>
        </is>
      </c>
      <c r="J35" s="21" t="inlineStr">
        <is>
          <t>★★★ High</t>
        </is>
      </c>
      <c r="K35" s="24" t="inlineStr">
        <is>
          <t>Numerical</t>
        </is>
      </c>
      <c r="L35" s="22" t="inlineStr">
        <is>
          <t>✔ Solved</t>
        </is>
      </c>
      <c r="M35" s="6" t="inlineStr">
        <is>
          <t>2015-16 5(b); 2012-13 1(b)</t>
        </is>
      </c>
      <c r="N35" s="23" t="b">
        <v>0</v>
      </c>
      <c r="O35" s="24" t="n"/>
      <c r="P35" s="24" t="n"/>
      <c r="Q35" s="6" t="n"/>
    </row>
    <row r="36">
      <c r="A36" s="24" t="n">
        <v>33</v>
      </c>
      <c r="B36" s="24" t="inlineStr">
        <is>
          <t>2021-22</t>
        </is>
      </c>
      <c r="C36" s="24" t="inlineStr">
        <is>
          <t>CSE 305</t>
        </is>
      </c>
      <c r="D36" s="24" t="inlineStr">
        <is>
          <t>6(b)(ii)</t>
        </is>
      </c>
      <c r="E36" s="6" t="inlineStr">
        <is>
          <t>PC = 0x2000 0000: can a single beq/bne set PC to 0x4000 0000? ((i) is in RS tracker)</t>
        </is>
      </c>
      <c r="F36" s="6" t="inlineStr">
        <is>
          <t>Branch/jump addressing, far branches — Ch2, sl. 51–54</t>
        </is>
      </c>
      <c r="G36" s="24" t="inlineStr">
        <is>
          <t>L15</t>
        </is>
      </c>
      <c r="H36" s="24" t="n">
        <v>5</v>
      </c>
      <c r="I36" s="24" t="inlineStr">
        <is>
          <t>24</t>
        </is>
      </c>
      <c r="J36" s="21" t="inlineStr">
        <is>
          <t>★★★ High</t>
        </is>
      </c>
      <c r="K36" s="24" t="inlineStr">
        <is>
          <t>Numerical</t>
        </is>
      </c>
      <c r="L36" s="22" t="inlineStr">
        <is>
          <t>✔ Solved</t>
        </is>
      </c>
      <c r="M36" s="6" t="inlineStr">
        <is>
          <t>2017-18 7(b)</t>
        </is>
      </c>
      <c r="N36" s="23" t="b">
        <v>0</v>
      </c>
      <c r="O36" s="24" t="n"/>
      <c r="P36" s="24" t="n"/>
      <c r="Q36" s="6" t="n"/>
    </row>
    <row r="37">
      <c r="A37" s="24" t="n">
        <v>34</v>
      </c>
      <c r="B37" s="24" t="inlineStr">
        <is>
          <t>2020-21</t>
        </is>
      </c>
      <c r="C37" s="24" t="inlineStr">
        <is>
          <t>CSE 305</t>
        </is>
      </c>
      <c r="D37" s="24" t="inlineStr">
        <is>
          <t>12(b)</t>
        </is>
      </c>
      <c r="E37" s="6" t="inlineStr">
        <is>
          <t>Encode L1: bne $t0,$t1,L3; L2: j LX; L3: addi $t0,$t1,1 (L1 = 1000, LX = 131072): formats and field values</t>
        </is>
      </c>
      <c r="F37" s="6" t="inlineStr">
        <is>
          <t>Branch/jump addressing, far branches — Ch2, sl. 51–54</t>
        </is>
      </c>
      <c r="G37" s="24" t="inlineStr">
        <is>
          <t>L15</t>
        </is>
      </c>
      <c r="H37" s="24" t="n">
        <v>10</v>
      </c>
      <c r="I37" s="24" t="inlineStr">
        <is>
          <t>33–34</t>
        </is>
      </c>
      <c r="J37" s="21" t="inlineStr">
        <is>
          <t>★★★ High</t>
        </is>
      </c>
      <c r="K37" s="24" t="inlineStr">
        <is>
          <t>Numerical</t>
        </is>
      </c>
      <c r="L37" s="22" t="inlineStr">
        <is>
          <t>✔ Solved</t>
        </is>
      </c>
      <c r="M37" s="6" t="inlineStr">
        <is>
          <t>—</t>
        </is>
      </c>
      <c r="N37" s="23" t="b">
        <v>0</v>
      </c>
      <c r="O37" s="24" t="n"/>
      <c r="P37" s="24" t="n"/>
      <c r="Q37" s="6" t="n"/>
    </row>
    <row r="38">
      <c r="A38" s="24" t="n">
        <v>35</v>
      </c>
      <c r="B38" s="24" t="inlineStr">
        <is>
          <t>2020-21</t>
        </is>
      </c>
      <c r="C38" s="24" t="inlineStr">
        <is>
          <t>CSE 305</t>
        </is>
      </c>
      <c r="D38" s="24" t="inlineStr">
        <is>
          <t>13(b)</t>
        </is>
      </c>
      <c r="E38" s="6" t="inlineStr">
        <is>
          <t>How is the address calculated in PC-relative addressing?</t>
        </is>
      </c>
      <c r="F38" s="6" t="inlineStr">
        <is>
          <t>Branch/jump addressing, far branches — Ch2, sl. 51–54</t>
        </is>
      </c>
      <c r="G38" s="24" t="inlineStr">
        <is>
          <t>L15</t>
        </is>
      </c>
      <c r="H38" s="24" t="n">
        <v>7</v>
      </c>
      <c r="I38" s="24" t="inlineStr">
        <is>
          <t>35</t>
        </is>
      </c>
      <c r="J38" s="21" t="inlineStr">
        <is>
          <t>★★★ High</t>
        </is>
      </c>
      <c r="K38" s="24" t="inlineStr">
        <is>
          <t>Theory</t>
        </is>
      </c>
      <c r="L38" s="22" t="inlineStr">
        <is>
          <t>✔ Solved</t>
        </is>
      </c>
      <c r="M38" s="6" t="inlineStr">
        <is>
          <t>2023-24 6(c); 2022-23 11(c) (CSE 209); 2021-22 8(c); 2018-19 6(a); 2016-17 7(a); 2015-16 6(b); …</t>
        </is>
      </c>
      <c r="N38" s="23" t="b">
        <v>0</v>
      </c>
      <c r="O38" s="24" t="n"/>
      <c r="P38" s="24" t="n"/>
      <c r="Q38" s="6" t="n"/>
    </row>
    <row r="39">
      <c r="A39" s="24" t="n">
        <v>36</v>
      </c>
      <c r="B39" s="24" t="inlineStr">
        <is>
          <t>2018-19</t>
        </is>
      </c>
      <c r="C39" s="24" t="inlineStr">
        <is>
          <t>CSE 305</t>
        </is>
      </c>
      <c r="D39" s="24" t="inlineStr">
        <is>
          <t>7(a)</t>
        </is>
      </c>
      <c r="E39" s="6" t="inlineStr">
        <is>
          <t>Machine code (decimal fields) for the loop loaded at 60000 (sll/add/lw/beq/j/addi/j)</t>
        </is>
      </c>
      <c r="F39" s="6" t="inlineStr">
        <is>
          <t>Branch/jump addressing, far branches — Ch2, sl. 51–54</t>
        </is>
      </c>
      <c r="G39" s="24" t="inlineStr">
        <is>
          <t>L15</t>
        </is>
      </c>
      <c r="H39" s="24" t="n">
        <v>10</v>
      </c>
      <c r="I39" s="24" t="inlineStr">
        <is>
          <t>45</t>
        </is>
      </c>
      <c r="J39" s="25" t="inlineStr">
        <is>
          <t>★★ Medium</t>
        </is>
      </c>
      <c r="K39" s="24" t="inlineStr">
        <is>
          <t>Numerical</t>
        </is>
      </c>
      <c r="L39" s="22" t="inlineStr">
        <is>
          <t>✔ Solved</t>
        </is>
      </c>
      <c r="M39" s="6" t="inlineStr">
        <is>
          <t>2016-17 6(a); 2014-15 6(c); 2012-13 1(c)</t>
        </is>
      </c>
      <c r="N39" s="23" t="b">
        <v>0</v>
      </c>
      <c r="O39" s="24" t="n"/>
      <c r="P39" s="24" t="n"/>
      <c r="Q39" s="6" t="n"/>
    </row>
    <row r="40">
      <c r="A40" s="24" t="n">
        <v>37</v>
      </c>
      <c r="B40" s="24" t="inlineStr">
        <is>
          <t>2018-19</t>
        </is>
      </c>
      <c r="C40" s="24" t="inlineStr">
        <is>
          <t>CSE 305</t>
        </is>
      </c>
      <c r="D40" s="24" t="inlineStr">
        <is>
          <t>8(c)</t>
        </is>
      </c>
      <c r="E40" s="6" t="inlineStr">
        <is>
          <t>beq $s0,$s1,30500 at address 005000 — what is the problem and the fix?</t>
        </is>
      </c>
      <c r="F40" s="6" t="inlineStr">
        <is>
          <t>Branch/jump addressing, far branches — Ch2, sl. 51–54</t>
        </is>
      </c>
      <c r="G40" s="24" t="inlineStr">
        <is>
          <t>L15</t>
        </is>
      </c>
      <c r="H40" s="24" t="n">
        <v>5</v>
      </c>
      <c r="I40" s="24" t="inlineStr">
        <is>
          <t>46</t>
        </is>
      </c>
      <c r="J40" s="25" t="inlineStr">
        <is>
          <t>★★ Medium</t>
        </is>
      </c>
      <c r="K40" s="24" t="inlineStr">
        <is>
          <t>Theory</t>
        </is>
      </c>
      <c r="L40" s="22" t="inlineStr">
        <is>
          <t>✔ Solved</t>
        </is>
      </c>
      <c r="M40" s="6" t="inlineStr">
        <is>
          <t>2023-24 8(c); 2014-15 7(c); 2013-14 6(d); 2012-13 1(d); 2011-12 2(c)</t>
        </is>
      </c>
      <c r="N40" s="23" t="b">
        <v>0</v>
      </c>
      <c r="O40" s="24" t="n"/>
      <c r="P40" s="24" t="n"/>
      <c r="Q40" s="6" t="n"/>
    </row>
    <row r="41">
      <c r="A41" s="24" t="n">
        <v>38</v>
      </c>
      <c r="B41" s="24" t="inlineStr">
        <is>
          <t>2017-18</t>
        </is>
      </c>
      <c r="C41" s="24" t="inlineStr">
        <is>
          <t>CSE 305</t>
        </is>
      </c>
      <c r="D41" s="24" t="inlineStr">
        <is>
          <t>7(b)</t>
        </is>
      </c>
      <c r="E41" s="6" t="inlineStr">
        <is>
          <t>MIPS code to jump to the instruction at address 0x4000 0001</t>
        </is>
      </c>
      <c r="F41" s="6" t="inlineStr">
        <is>
          <t>Branch/jump addressing, far branches — Ch2, sl. 51–54</t>
        </is>
      </c>
      <c r="G41" s="24" t="inlineStr">
        <is>
          <t>L15</t>
        </is>
      </c>
      <c r="H41" s="24" t="n">
        <v>10</v>
      </c>
      <c r="I41" s="24" t="inlineStr">
        <is>
          <t>53</t>
        </is>
      </c>
      <c r="J41" s="25" t="inlineStr">
        <is>
          <t>★★ Medium</t>
        </is>
      </c>
      <c r="K41" s="24" t="inlineStr">
        <is>
          <t>Design</t>
        </is>
      </c>
      <c r="L41" s="22" t="inlineStr">
        <is>
          <t>✔ Solved</t>
        </is>
      </c>
      <c r="M41" s="6" t="inlineStr">
        <is>
          <t>2021-22 6(b)(ii)</t>
        </is>
      </c>
      <c r="N41" s="23" t="b">
        <v>0</v>
      </c>
      <c r="O41" s="24" t="n"/>
      <c r="P41" s="24" t="n"/>
      <c r="Q41" s="6" t="n"/>
    </row>
    <row r="42">
      <c r="A42" s="24" t="n">
        <v>39</v>
      </c>
      <c r="B42" s="24" t="inlineStr">
        <is>
          <t>2016-17</t>
        </is>
      </c>
      <c r="C42" s="24" t="inlineStr">
        <is>
          <t>CSE 305</t>
        </is>
      </c>
      <c r="D42" s="24" t="inlineStr">
        <is>
          <t>6(a)</t>
        </is>
      </c>
      <c r="E42" s="6" t="inlineStr">
        <is>
          <t>Complete the assembly from the given machine code at 1000–1020 (sll/add/lw/bne/addi/j)</t>
        </is>
      </c>
      <c r="F42" s="6" t="inlineStr">
        <is>
          <t>Branch/jump addressing, far branches — Ch2, sl. 51–54</t>
        </is>
      </c>
      <c r="G42" s="24" t="inlineStr">
        <is>
          <t>L15</t>
        </is>
      </c>
      <c r="H42" s="24" t="n">
        <v>10</v>
      </c>
      <c r="I42" s="24" t="inlineStr">
        <is>
          <t>58</t>
        </is>
      </c>
      <c r="J42" s="25" t="inlineStr">
        <is>
          <t>★★ Medium</t>
        </is>
      </c>
      <c r="K42" s="24" t="inlineStr">
        <is>
          <t>Numerical</t>
        </is>
      </c>
      <c r="L42" s="22" t="inlineStr">
        <is>
          <t>✔ Solved</t>
        </is>
      </c>
      <c r="M42" s="6" t="inlineStr">
        <is>
          <t>2018-19 7(a); 2014-15 6(c); 2012-13 1(c)</t>
        </is>
      </c>
      <c r="N42" s="23" t="b">
        <v>0</v>
      </c>
      <c r="O42" s="24" t="n"/>
      <c r="P42" s="24" t="n"/>
      <c r="Q42" s="6" t="n"/>
    </row>
    <row r="43">
      <c r="A43" s="24" t="n">
        <v>40</v>
      </c>
      <c r="B43" s="24" t="inlineStr">
        <is>
          <t>2014-15</t>
        </is>
      </c>
      <c r="C43" s="24" t="inlineStr">
        <is>
          <t>CSE 305</t>
        </is>
      </c>
      <c r="D43" s="24" t="inlineStr">
        <is>
          <t>6(c)</t>
        </is>
      </c>
      <c r="E43" s="6" t="inlineStr">
        <is>
          <t>Complete the decimal machine code of the loop at 6000 (sll/add/lw/beq/j/addi/j)</t>
        </is>
      </c>
      <c r="F43" s="6" t="inlineStr">
        <is>
          <t>Branch/jump addressing, far branches — Ch2, sl. 51–54</t>
        </is>
      </c>
      <c r="G43" s="24" t="inlineStr">
        <is>
          <t>L15</t>
        </is>
      </c>
      <c r="H43" s="24" t="n">
        <v>15</v>
      </c>
      <c r="I43" s="24" t="inlineStr">
        <is>
          <t>71</t>
        </is>
      </c>
      <c r="J43" s="25" t="inlineStr">
        <is>
          <t>★★ Medium</t>
        </is>
      </c>
      <c r="K43" s="24" t="inlineStr">
        <is>
          <t>Numerical</t>
        </is>
      </c>
      <c r="L43" s="22" t="inlineStr">
        <is>
          <t>✔ Solved</t>
        </is>
      </c>
      <c r="M43" s="6" t="inlineStr">
        <is>
          <t>2018-19 7(a); 2016-17 6(a); 2012-13 1(c)</t>
        </is>
      </c>
      <c r="N43" s="23" t="b">
        <v>0</v>
      </c>
      <c r="O43" s="24" t="n"/>
      <c r="P43" s="24" t="n"/>
      <c r="Q43" s="6" t="n"/>
    </row>
    <row r="44">
      <c r="A44" s="24" t="n">
        <v>41</v>
      </c>
      <c r="B44" s="24" t="inlineStr">
        <is>
          <t>2014-15</t>
        </is>
      </c>
      <c r="C44" s="24" t="inlineStr">
        <is>
          <t>CSE 305</t>
        </is>
      </c>
      <c r="D44" s="24" t="inlineStr">
        <is>
          <t>7(c)</t>
        </is>
      </c>
      <c r="E44" s="6" t="inlineStr">
        <is>
          <t>beq $s0,$s1,30500 at address 005000 — what is the problem and the fix?</t>
        </is>
      </c>
      <c r="F44" s="6" t="inlineStr">
        <is>
          <t>Branch/jump addressing, far branches — Ch2, sl. 51–54</t>
        </is>
      </c>
      <c r="G44" s="24" t="inlineStr">
        <is>
          <t>L15</t>
        </is>
      </c>
      <c r="H44" s="24" t="n">
        <v>10</v>
      </c>
      <c r="I44" s="24" t="inlineStr">
        <is>
          <t>72</t>
        </is>
      </c>
      <c r="J44" s="25" t="inlineStr">
        <is>
          <t>★★ Medium</t>
        </is>
      </c>
      <c r="K44" s="24" t="inlineStr">
        <is>
          <t>Theory</t>
        </is>
      </c>
      <c r="L44" s="22" t="inlineStr">
        <is>
          <t>✔ Solved</t>
        </is>
      </c>
      <c r="M44" s="6" t="inlineStr">
        <is>
          <t>2023-24 8(c); 2018-19 8(c); 2013-14 6(d); 2012-13 1(d); 2011-12 2(c)</t>
        </is>
      </c>
      <c r="N44" s="23" t="b">
        <v>0</v>
      </c>
      <c r="O44" s="24" t="n"/>
      <c r="P44" s="24" t="n"/>
      <c r="Q44" s="6" t="n"/>
    </row>
    <row r="45">
      <c r="A45" s="24" t="n">
        <v>42</v>
      </c>
      <c r="B45" s="24" t="inlineStr">
        <is>
          <t>2013-14</t>
        </is>
      </c>
      <c r="C45" s="24" t="inlineStr">
        <is>
          <t>CSE 305</t>
        </is>
      </c>
      <c r="D45" s="24" t="inlineStr">
        <is>
          <t>6(d)</t>
        </is>
      </c>
      <c r="E45" s="6" t="inlineStr">
        <is>
          <t>Branch target too far for 16 bits: how does the assembler rewrite beq $s0,$s1,L1?</t>
        </is>
      </c>
      <c r="F45" s="6" t="inlineStr">
        <is>
          <t>Branch/jump addressing, far branches — Ch2, sl. 51–54</t>
        </is>
      </c>
      <c r="G45" s="24" t="inlineStr">
        <is>
          <t>L15</t>
        </is>
      </c>
      <c r="H45" s="24" t="n">
        <v>3</v>
      </c>
      <c r="I45" s="24" t="inlineStr">
        <is>
          <t>76</t>
        </is>
      </c>
      <c r="J45" s="25" t="inlineStr">
        <is>
          <t>★★ Medium</t>
        </is>
      </c>
      <c r="K45" s="24" t="inlineStr">
        <is>
          <t>Theory</t>
        </is>
      </c>
      <c r="L45" s="22" t="inlineStr">
        <is>
          <t>✔ Solved</t>
        </is>
      </c>
      <c r="M45" s="6" t="inlineStr">
        <is>
          <t>2023-24 8(c); 2018-19 8(c); 2014-15 7(c); 2012-13 1(d); 2011-12 2(c)</t>
        </is>
      </c>
      <c r="N45" s="23" t="b">
        <v>0</v>
      </c>
      <c r="O45" s="24" t="n"/>
      <c r="P45" s="24" t="n"/>
      <c r="Q45" s="6" t="n"/>
    </row>
    <row r="46">
      <c r="A46" s="24" t="n">
        <v>43</v>
      </c>
      <c r="B46" s="24" t="inlineStr">
        <is>
          <t>2012-13</t>
        </is>
      </c>
      <c r="C46" s="24" t="inlineStr">
        <is>
          <t>CSE 305</t>
        </is>
      </c>
      <c r="D46" s="24" t="inlineStr">
        <is>
          <t>1(c)</t>
        </is>
      </c>
      <c r="E46" s="6" t="inlineStr">
        <is>
          <t>Loop at 80000: immediate fields of the bne and j instructions</t>
        </is>
      </c>
      <c r="F46" s="6" t="inlineStr">
        <is>
          <t>Branch/jump addressing, far branches — Ch2, sl. 51–54</t>
        </is>
      </c>
      <c r="G46" s="24" t="inlineStr">
        <is>
          <t>L15</t>
        </is>
      </c>
      <c r="H46" s="24" t="n">
        <v>8</v>
      </c>
      <c r="I46" s="24" t="inlineStr">
        <is>
          <t>78</t>
        </is>
      </c>
      <c r="J46" s="25" t="inlineStr">
        <is>
          <t>★★ Medium</t>
        </is>
      </c>
      <c r="K46" s="24" t="inlineStr">
        <is>
          <t>Numerical</t>
        </is>
      </c>
      <c r="L46" s="22" t="inlineStr">
        <is>
          <t>✔ Solved</t>
        </is>
      </c>
      <c r="M46" s="6" t="inlineStr">
        <is>
          <t>2018-19 7(a); 2016-17 6(a); 2014-15 6(c)</t>
        </is>
      </c>
      <c r="N46" s="23" t="b">
        <v>0</v>
      </c>
      <c r="O46" s="24" t="n"/>
      <c r="P46" s="24" t="n"/>
      <c r="Q46" s="6" t="n"/>
    </row>
    <row r="47">
      <c r="A47" s="24" t="n">
        <v>44</v>
      </c>
      <c r="B47" s="24" t="inlineStr">
        <is>
          <t>2012-13</t>
        </is>
      </c>
      <c r="C47" s="24" t="inlineStr">
        <is>
          <t>CSE 305</t>
        </is>
      </c>
      <c r="D47" s="24" t="inlineStr">
        <is>
          <t>1(d)</t>
        </is>
      </c>
      <c r="E47" s="6" t="inlineStr">
        <is>
          <t>Why might the assembler have problems with 'Here: beq $s0,$s2,there … there:'? Fix</t>
        </is>
      </c>
      <c r="F47" s="6" t="inlineStr">
        <is>
          <t>Branch/jump addressing, far branches — Ch2, sl. 51–54</t>
        </is>
      </c>
      <c r="G47" s="24" t="inlineStr">
        <is>
          <t>L15</t>
        </is>
      </c>
      <c r="H47" s="24" t="n">
        <v>7</v>
      </c>
      <c r="I47" s="24" t="inlineStr">
        <is>
          <t>78</t>
        </is>
      </c>
      <c r="J47" s="25" t="inlineStr">
        <is>
          <t>★★ Medium</t>
        </is>
      </c>
      <c r="K47" s="24" t="inlineStr">
        <is>
          <t>Theory</t>
        </is>
      </c>
      <c r="L47" s="22" t="inlineStr">
        <is>
          <t>✔ Solved</t>
        </is>
      </c>
      <c r="M47" s="6" t="inlineStr">
        <is>
          <t>2023-24 8(c); 2018-19 8(c); 2014-15 7(c); 2013-14 6(d); 2011-12 2(c)</t>
        </is>
      </c>
      <c r="N47" s="23" t="b">
        <v>0</v>
      </c>
      <c r="O47" s="24" t="n"/>
      <c r="P47" s="24" t="n"/>
      <c r="Q47" s="6" t="n"/>
    </row>
    <row r="48">
      <c r="A48" s="24" t="n">
        <v>45</v>
      </c>
      <c r="B48" s="24" t="inlineStr">
        <is>
          <t>2011-12</t>
        </is>
      </c>
      <c r="C48" s="24" t="inlineStr">
        <is>
          <t>CSE 305</t>
        </is>
      </c>
      <c r="D48" s="24" t="inlineStr">
        <is>
          <t>2(c)</t>
        </is>
      </c>
      <c r="E48" s="6" t="inlineStr">
        <is>
          <t>Branch target too far for 16 bits: rewrite BEQ $s0,$s1,L1</t>
        </is>
      </c>
      <c r="F48" s="6" t="inlineStr">
        <is>
          <t>Branch/jump addressing, far branches — Ch2, sl. 51–54</t>
        </is>
      </c>
      <c r="G48" s="24" t="inlineStr">
        <is>
          <t>L15</t>
        </is>
      </c>
      <c r="H48" s="24" t="n">
        <v>3.5</v>
      </c>
      <c r="I48" s="24" t="inlineStr">
        <is>
          <t>84</t>
        </is>
      </c>
      <c r="J48" s="25" t="inlineStr">
        <is>
          <t>★★ Medium</t>
        </is>
      </c>
      <c r="K48" s="24" t="inlineStr">
        <is>
          <t>Theory</t>
        </is>
      </c>
      <c r="L48" s="22" t="inlineStr">
        <is>
          <t>✔ Solved</t>
        </is>
      </c>
      <c r="M48" s="6" t="inlineStr">
        <is>
          <t>2023-24 8(c); 2018-19 8(c); 2014-15 7(c); 2013-14 6(d); 2012-13 1(d)</t>
        </is>
      </c>
      <c r="N48" s="23" t="b">
        <v>0</v>
      </c>
      <c r="O48" s="24" t="n"/>
      <c r="P48" s="24" t="n"/>
      <c r="Q48" s="6" t="n"/>
    </row>
    <row r="49">
      <c r="A49" s="19" t="n">
        <v>46</v>
      </c>
      <c r="B49" s="19" t="inlineStr">
        <is>
          <t>2023-24</t>
        </is>
      </c>
      <c r="C49" s="19" t="inlineStr">
        <is>
          <t>CSE 209</t>
        </is>
      </c>
      <c r="D49" s="19" t="inlineStr">
        <is>
          <t>6(c)</t>
        </is>
      </c>
      <c r="E49" s="20" t="inlineStr">
        <is>
          <t>Explain PC-relative, immediate and base addressing with examples</t>
        </is>
      </c>
      <c r="F49" s="20" t="inlineStr">
        <is>
          <t>Addressing modes — Ch2, sl. 55</t>
        </is>
      </c>
      <c r="G49" s="19" t="inlineStr">
        <is>
          <t>L16</t>
        </is>
      </c>
      <c r="H49" s="19" t="n">
        <v>9</v>
      </c>
      <c r="I49" s="19" t="inlineStr">
        <is>
          <t>6</t>
        </is>
      </c>
      <c r="J49" s="21" t="inlineStr">
        <is>
          <t>★★★ High</t>
        </is>
      </c>
      <c r="K49" s="19" t="inlineStr">
        <is>
          <t>Theory</t>
        </is>
      </c>
      <c r="L49" s="22" t="inlineStr">
        <is>
          <t>✔ Solved</t>
        </is>
      </c>
      <c r="M49" s="20" t="inlineStr">
        <is>
          <t>2022-23 11(c) (CSE 209); 2021-22 8(c); 2020-21 13(b); 2018-19 6(a); 2016-17 7(a); 2015-16 6(b); …</t>
        </is>
      </c>
      <c r="N49" s="23" t="b">
        <v>0</v>
      </c>
      <c r="O49" s="19" t="n"/>
      <c r="P49" s="19" t="n"/>
      <c r="Q49" s="20" t="n"/>
    </row>
    <row r="50">
      <c r="A50" s="19" t="n">
        <v>47</v>
      </c>
      <c r="B50" s="19" t="inlineStr">
        <is>
          <t>2022-23</t>
        </is>
      </c>
      <c r="C50" s="19" t="inlineStr">
        <is>
          <t>CSE 209</t>
        </is>
      </c>
      <c r="D50" s="19" t="inlineStr">
        <is>
          <t>11(c)</t>
        </is>
      </c>
      <c r="E50" s="20" t="inlineStr">
        <is>
          <t>Addressing modes of MIPS; illustrate the calculation for each</t>
        </is>
      </c>
      <c r="F50" s="20" t="inlineStr">
        <is>
          <t>Addressing modes — Ch2, sl. 55</t>
        </is>
      </c>
      <c r="G50" s="19" t="inlineStr">
        <is>
          <t>L16</t>
        </is>
      </c>
      <c r="H50" s="19" t="n">
        <v>10</v>
      </c>
      <c r="I50" s="19" t="inlineStr">
        <is>
          <t>13</t>
        </is>
      </c>
      <c r="J50" s="21" t="inlineStr">
        <is>
          <t>★★★ High</t>
        </is>
      </c>
      <c r="K50" s="19" t="inlineStr">
        <is>
          <t>Theory</t>
        </is>
      </c>
      <c r="L50" s="22" t="inlineStr">
        <is>
          <t>✔ Solved</t>
        </is>
      </c>
      <c r="M50" s="20" t="inlineStr">
        <is>
          <t>2023-24 6(c); 2021-22 8(c); 2020-21 13(b); 2018-19 6(a); 2016-17 7(a); 2015-16 6(b); …</t>
        </is>
      </c>
      <c r="N50" s="23" t="b">
        <v>0</v>
      </c>
      <c r="O50" s="19" t="n"/>
      <c r="P50" s="19" t="n"/>
      <c r="Q50" s="20" t="n"/>
    </row>
    <row r="51">
      <c r="A51" s="19" t="n">
        <v>48</v>
      </c>
      <c r="B51" s="19" t="inlineStr">
        <is>
          <t>2021-22</t>
        </is>
      </c>
      <c r="C51" s="19" t="inlineStr">
        <is>
          <t>CSE 305</t>
        </is>
      </c>
      <c r="D51" s="19" t="inlineStr">
        <is>
          <t>8(c)</t>
        </is>
      </c>
      <c r="E51" s="20" t="inlineStr">
        <is>
          <t>Addressing modes of MIPS; illustrate the calculation for each</t>
        </is>
      </c>
      <c r="F51" s="20" t="inlineStr">
        <is>
          <t>Addressing modes — Ch2, sl. 55</t>
        </is>
      </c>
      <c r="G51" s="19" t="inlineStr">
        <is>
          <t>L16</t>
        </is>
      </c>
      <c r="H51" s="19" t="n">
        <v>10</v>
      </c>
      <c r="I51" s="19" t="inlineStr">
        <is>
          <t>25</t>
        </is>
      </c>
      <c r="J51" s="21" t="inlineStr">
        <is>
          <t>★★★ High</t>
        </is>
      </c>
      <c r="K51" s="19" t="inlineStr">
        <is>
          <t>Theory</t>
        </is>
      </c>
      <c r="L51" s="22" t="inlineStr">
        <is>
          <t>✔ Solved</t>
        </is>
      </c>
      <c r="M51" s="20" t="inlineStr">
        <is>
          <t>2023-24 6(c); 2022-23 11(c) (CSE 209); 2020-21 13(b); 2018-19 6(a); 2016-17 7(a); 2015-16 6(b); …</t>
        </is>
      </c>
      <c r="N51" s="23" t="b">
        <v>0</v>
      </c>
      <c r="O51" s="19" t="n"/>
      <c r="P51" s="19" t="n"/>
      <c r="Q51" s="20" t="n"/>
    </row>
    <row r="52">
      <c r="A52" s="19" t="n">
        <v>49</v>
      </c>
      <c r="B52" s="19" t="inlineStr">
        <is>
          <t>2018-19</t>
        </is>
      </c>
      <c r="C52" s="19" t="inlineStr">
        <is>
          <t>CSE 305</t>
        </is>
      </c>
      <c r="D52" s="19" t="inlineStr">
        <is>
          <t>6(a)</t>
        </is>
      </c>
      <c r="E52" s="20" t="inlineStr">
        <is>
          <t>Addressing modes of MIPS; describe and illustrate the calculation</t>
        </is>
      </c>
      <c r="F52" s="20" t="inlineStr">
        <is>
          <t>Addressing modes — Ch2, sl. 55</t>
        </is>
      </c>
      <c r="G52" s="19" t="inlineStr">
        <is>
          <t>L16</t>
        </is>
      </c>
      <c r="H52" s="19" t="n">
        <v>15</v>
      </c>
      <c r="I52" s="19" t="inlineStr">
        <is>
          <t>45</t>
        </is>
      </c>
      <c r="J52" s="25" t="inlineStr">
        <is>
          <t>★★ Medium</t>
        </is>
      </c>
      <c r="K52" s="19" t="inlineStr">
        <is>
          <t>Theory</t>
        </is>
      </c>
      <c r="L52" s="22" t="inlineStr">
        <is>
          <t>✔ Solved</t>
        </is>
      </c>
      <c r="M52" s="20" t="inlineStr">
        <is>
          <t>2023-24 6(c); 2022-23 11(c) (CSE 209); 2021-22 8(c); 2020-21 13(b); 2016-17 7(a); 2015-16 6(b); …</t>
        </is>
      </c>
      <c r="N52" s="23" t="b">
        <v>0</v>
      </c>
      <c r="O52" s="19" t="n"/>
      <c r="P52" s="19" t="n"/>
      <c r="Q52" s="20" t="n"/>
    </row>
    <row r="53">
      <c r="A53" s="19" t="n">
        <v>50</v>
      </c>
      <c r="B53" s="19" t="inlineStr">
        <is>
          <t>2016-17</t>
        </is>
      </c>
      <c r="C53" s="19" t="inlineStr">
        <is>
          <t>CSE 305</t>
        </is>
      </c>
      <c r="D53" s="19" t="inlineStr">
        <is>
          <t>7(a)</t>
        </is>
      </c>
      <c r="E53" s="20" t="inlineStr">
        <is>
          <t>Illustrate the five MIPS addressing modes with an example instruction each</t>
        </is>
      </c>
      <c r="F53" s="20" t="inlineStr">
        <is>
          <t>Addressing modes — Ch2, sl. 55</t>
        </is>
      </c>
      <c r="G53" s="19" t="inlineStr">
        <is>
          <t>L16</t>
        </is>
      </c>
      <c r="H53" s="19" t="n">
        <v>20</v>
      </c>
      <c r="I53" s="19" t="inlineStr">
        <is>
          <t>59</t>
        </is>
      </c>
      <c r="J53" s="25" t="inlineStr">
        <is>
          <t>★★ Medium</t>
        </is>
      </c>
      <c r="K53" s="19" t="inlineStr">
        <is>
          <t>Theory</t>
        </is>
      </c>
      <c r="L53" s="22" t="inlineStr">
        <is>
          <t>✔ Solved</t>
        </is>
      </c>
      <c r="M53" s="20" t="inlineStr">
        <is>
          <t>2023-24 6(c); 2022-23 11(c) (CSE 209); 2021-22 8(c); 2020-21 13(b); 2018-19 6(a); 2015-16 6(b); …</t>
        </is>
      </c>
      <c r="N53" s="23" t="b">
        <v>0</v>
      </c>
      <c r="O53" s="19" t="n"/>
      <c r="P53" s="19" t="n"/>
      <c r="Q53" s="20" t="n"/>
    </row>
    <row r="54">
      <c r="A54" s="19" t="n">
        <v>51</v>
      </c>
      <c r="B54" s="19" t="inlineStr">
        <is>
          <t>2015-16</t>
        </is>
      </c>
      <c r="C54" s="19" t="inlineStr">
        <is>
          <t>CSE 305</t>
        </is>
      </c>
      <c r="D54" s="19" t="inlineStr">
        <is>
          <t>6(b)</t>
        </is>
      </c>
      <c r="E54" s="20" t="inlineStr">
        <is>
          <t>Addressing modes of MIPS; describe and illustrate the calculation</t>
        </is>
      </c>
      <c r="F54" s="20" t="inlineStr">
        <is>
          <t>Addressing modes — Ch2, sl. 55</t>
        </is>
      </c>
      <c r="G54" s="19" t="inlineStr">
        <is>
          <t>L16</t>
        </is>
      </c>
      <c r="H54" s="19" t="n">
        <v>15</v>
      </c>
      <c r="I54" s="19" t="inlineStr">
        <is>
          <t>66</t>
        </is>
      </c>
      <c r="J54" s="25" t="inlineStr">
        <is>
          <t>★★ Medium</t>
        </is>
      </c>
      <c r="K54" s="19" t="inlineStr">
        <is>
          <t>Theory</t>
        </is>
      </c>
      <c r="L54" s="22" t="inlineStr">
        <is>
          <t>✔ Solved</t>
        </is>
      </c>
      <c r="M54" s="20" t="inlineStr">
        <is>
          <t>2023-24 6(c); 2022-23 11(c) (CSE 209); 2021-22 8(c); 2020-21 13(b); 2018-19 6(a); 2016-17 7(a); …</t>
        </is>
      </c>
      <c r="N54" s="23" t="b">
        <v>0</v>
      </c>
      <c r="O54" s="19" t="n"/>
      <c r="P54" s="19" t="n"/>
      <c r="Q54" s="20" t="n"/>
    </row>
    <row r="55">
      <c r="A55" s="19" t="n">
        <v>52</v>
      </c>
      <c r="B55" s="19" t="inlineStr">
        <is>
          <t>2014-15</t>
        </is>
      </c>
      <c r="C55" s="19" t="inlineStr">
        <is>
          <t>CSE 305</t>
        </is>
      </c>
      <c r="D55" s="19" t="inlineStr">
        <is>
          <t>7(a)</t>
        </is>
      </c>
      <c r="E55" s="20" t="inlineStr">
        <is>
          <t>Draw the illustrations of the five MIPS addressing modes</t>
        </is>
      </c>
      <c r="F55" s="20" t="inlineStr">
        <is>
          <t>Addressing modes — Ch2, sl. 55</t>
        </is>
      </c>
      <c r="G55" s="19" t="inlineStr">
        <is>
          <t>L16</t>
        </is>
      </c>
      <c r="H55" s="19" t="n">
        <v>15</v>
      </c>
      <c r="I55" s="19" t="inlineStr">
        <is>
          <t>72</t>
        </is>
      </c>
      <c r="J55" s="25" t="inlineStr">
        <is>
          <t>★★ Medium</t>
        </is>
      </c>
      <c r="K55" s="19" t="inlineStr">
        <is>
          <t>Theory</t>
        </is>
      </c>
      <c r="L55" s="22" t="inlineStr">
        <is>
          <t>✔ Solved</t>
        </is>
      </c>
      <c r="M55" s="20" t="inlineStr">
        <is>
          <t>2023-24 6(c); 2022-23 11(c) (CSE 209); 2021-22 8(c); 2020-21 13(b); 2018-19 6(a); 2016-17 7(a); …</t>
        </is>
      </c>
      <c r="N55" s="23" t="b">
        <v>0</v>
      </c>
      <c r="O55" s="19" t="n"/>
      <c r="P55" s="19" t="n"/>
      <c r="Q55" s="20" t="n"/>
    </row>
    <row r="56">
      <c r="A56" s="19" t="n">
        <v>53</v>
      </c>
      <c r="B56" s="19" t="inlineStr">
        <is>
          <t>2013-14</t>
        </is>
      </c>
      <c r="C56" s="19" t="inlineStr">
        <is>
          <t>CSE 305</t>
        </is>
      </c>
      <c r="D56" s="19" t="inlineStr">
        <is>
          <t>7(b)</t>
        </is>
      </c>
      <c r="E56" s="20" t="inlineStr">
        <is>
          <t>Describe MIPS addressing modes</t>
        </is>
      </c>
      <c r="F56" s="20" t="inlineStr">
        <is>
          <t>Addressing modes — Ch2, sl. 55</t>
        </is>
      </c>
      <c r="G56" s="19" t="inlineStr">
        <is>
          <t>L16</t>
        </is>
      </c>
      <c r="H56" s="19" t="n">
        <v>4</v>
      </c>
      <c r="I56" s="19" t="inlineStr">
        <is>
          <t>76</t>
        </is>
      </c>
      <c r="J56" s="25" t="inlineStr">
        <is>
          <t>★★ Medium</t>
        </is>
      </c>
      <c r="K56" s="19" t="inlineStr">
        <is>
          <t>Theory</t>
        </is>
      </c>
      <c r="L56" s="22" t="inlineStr">
        <is>
          <t>✔ Solved</t>
        </is>
      </c>
      <c r="M56" s="20" t="inlineStr">
        <is>
          <t>2023-24 6(c); 2022-23 11(c) (CSE 209); 2021-22 8(c); 2020-21 13(b); 2018-19 6(a); 2016-17 7(a); …</t>
        </is>
      </c>
      <c r="N56" s="23" t="b">
        <v>0</v>
      </c>
      <c r="O56" s="19" t="n"/>
      <c r="P56" s="19" t="n"/>
      <c r="Q56" s="20" t="n"/>
    </row>
    <row r="57">
      <c r="A57" s="19" t="n">
        <v>54</v>
      </c>
      <c r="B57" s="19" t="inlineStr">
        <is>
          <t>2011-12</t>
        </is>
      </c>
      <c r="C57" s="19" t="inlineStr">
        <is>
          <t>CSE 305</t>
        </is>
      </c>
      <c r="D57" s="19" t="inlineStr">
        <is>
          <t>2(d)</t>
        </is>
      </c>
      <c r="E57" s="20" t="inlineStr">
        <is>
          <t>Describe MIPS addressing modes</t>
        </is>
      </c>
      <c r="F57" s="20" t="inlineStr">
        <is>
          <t>Addressing modes — Ch2, sl. 55</t>
        </is>
      </c>
      <c r="G57" s="19" t="inlineStr">
        <is>
          <t>L16</t>
        </is>
      </c>
      <c r="H57" s="19" t="n">
        <v>10</v>
      </c>
      <c r="I57" s="19" t="inlineStr">
        <is>
          <t>84</t>
        </is>
      </c>
      <c r="J57" s="25" t="inlineStr">
        <is>
          <t>★★ Medium</t>
        </is>
      </c>
      <c r="K57" s="19" t="inlineStr">
        <is>
          <t>Theory</t>
        </is>
      </c>
      <c r="L57" s="22" t="inlineStr">
        <is>
          <t>✔ Solved</t>
        </is>
      </c>
      <c r="M57" s="20" t="inlineStr">
        <is>
          <t>2023-24 6(c); 2022-23 11(c) (CSE 209); 2021-22 8(c); 2020-21 13(b); 2018-19 6(a); 2016-17 7(a); …</t>
        </is>
      </c>
      <c r="N57" s="23" t="b">
        <v>0</v>
      </c>
      <c r="O57" s="19" t="n"/>
      <c r="P57" s="19" t="n"/>
      <c r="Q57" s="20" t="n"/>
    </row>
    <row r="58">
      <c r="A58" s="24" t="n">
        <v>55</v>
      </c>
      <c r="B58" s="24" t="inlineStr">
        <is>
          <t>2022-23</t>
        </is>
      </c>
      <c r="C58" s="24" t="inlineStr">
        <is>
          <t>CSE 305</t>
        </is>
      </c>
      <c r="D58" s="24" t="inlineStr">
        <is>
          <t>6(b)</t>
        </is>
      </c>
      <c r="E58" s="6" t="inlineStr">
        <is>
          <t>MIPS support for synchronization, with an example</t>
        </is>
      </c>
      <c r="F58" s="6" t="inlineStr">
        <is>
          <t>Synchronization, pseudoinstructions — Ch2, sl. 56–59</t>
        </is>
      </c>
      <c r="G58" s="24" t="inlineStr">
        <is>
          <t>L17</t>
        </is>
      </c>
      <c r="H58" s="24" t="n">
        <v>7</v>
      </c>
      <c r="I58" s="24" t="inlineStr">
        <is>
          <t>18</t>
        </is>
      </c>
      <c r="J58" s="21" t="inlineStr">
        <is>
          <t>★★★ High</t>
        </is>
      </c>
      <c r="K58" s="24" t="inlineStr">
        <is>
          <t>Theory</t>
        </is>
      </c>
      <c r="L58" s="22" t="inlineStr">
        <is>
          <t>✔ Solved</t>
        </is>
      </c>
      <c r="M58" s="6" t="inlineStr">
        <is>
          <t>2016-17 6(b); 2015-16 6(c); 2014-15 6(b); 2013-14 7(a)</t>
        </is>
      </c>
      <c r="N58" s="23" t="b">
        <v>0</v>
      </c>
      <c r="O58" s="24" t="n"/>
      <c r="P58" s="24" t="n"/>
      <c r="Q58" s="6" t="n"/>
    </row>
    <row r="59">
      <c r="A59" s="24" t="n">
        <v>56</v>
      </c>
      <c r="B59" s="24" t="inlineStr">
        <is>
          <t>2019-20</t>
        </is>
      </c>
      <c r="C59" s="24" t="inlineStr">
        <is>
          <t>CSE 305</t>
        </is>
      </c>
      <c r="D59" s="24" t="inlineStr">
        <is>
          <t>3(b)</t>
        </is>
      </c>
      <c r="E59" s="6" t="inlineStr">
        <is>
          <t>How pseudoinstructions work (example); always write assembly yourself for a critical section?</t>
        </is>
      </c>
      <c r="F59" s="6" t="inlineStr">
        <is>
          <t>Synchronization, pseudoinstructions — Ch2, sl. 56–59</t>
        </is>
      </c>
      <c r="G59" s="24" t="inlineStr">
        <is>
          <t>L17</t>
        </is>
      </c>
      <c r="H59" s="24" t="n">
        <v>12</v>
      </c>
      <c r="I59" s="24" t="inlineStr">
        <is>
          <t>38</t>
        </is>
      </c>
      <c r="J59" s="21" t="inlineStr">
        <is>
          <t>★★★ High</t>
        </is>
      </c>
      <c r="K59" s="24" t="inlineStr">
        <is>
          <t>Theory</t>
        </is>
      </c>
      <c r="L59" s="22" t="inlineStr">
        <is>
          <t>✔ Solved</t>
        </is>
      </c>
      <c r="M59" s="6" t="inlineStr">
        <is>
          <t>2015-16 5(c)</t>
        </is>
      </c>
      <c r="N59" s="23" t="b">
        <v>0</v>
      </c>
      <c r="O59" s="24" t="n"/>
      <c r="P59" s="24" t="n"/>
      <c r="Q59" s="6" t="n"/>
    </row>
    <row r="60">
      <c r="A60" s="24" t="n">
        <v>57</v>
      </c>
      <c r="B60" s="24" t="inlineStr">
        <is>
          <t>2016-17</t>
        </is>
      </c>
      <c r="C60" s="24" t="inlineStr">
        <is>
          <t>CSE 305</t>
        </is>
      </c>
      <c r="D60" s="24" t="inlineStr">
        <is>
          <t>6(b)</t>
        </is>
      </c>
      <c r="E60" s="6" t="inlineStr">
        <is>
          <t>MIPS support for synchronization, with an example</t>
        </is>
      </c>
      <c r="F60" s="6" t="inlineStr">
        <is>
          <t>Synchronization, pseudoinstructions — Ch2, sl. 56–59</t>
        </is>
      </c>
      <c r="G60" s="24" t="inlineStr">
        <is>
          <t>L17</t>
        </is>
      </c>
      <c r="H60" s="24" t="n">
        <v>10</v>
      </c>
      <c r="I60" s="24" t="inlineStr">
        <is>
          <t>58</t>
        </is>
      </c>
      <c r="J60" s="25" t="inlineStr">
        <is>
          <t>★★ Medium</t>
        </is>
      </c>
      <c r="K60" s="24" t="inlineStr">
        <is>
          <t>Theory</t>
        </is>
      </c>
      <c r="L60" s="22" t="inlineStr">
        <is>
          <t>✔ Solved</t>
        </is>
      </c>
      <c r="M60" s="6" t="inlineStr">
        <is>
          <t>2022-23 6(b) (CSE 305); 2015-16 6(c); 2014-15 6(b); 2013-14 7(a)</t>
        </is>
      </c>
      <c r="N60" s="23" t="b">
        <v>0</v>
      </c>
      <c r="O60" s="24" t="n"/>
      <c r="P60" s="24" t="n"/>
      <c r="Q60" s="6" t="n"/>
    </row>
    <row r="61">
      <c r="A61" s="24" t="n">
        <v>58</v>
      </c>
      <c r="B61" s="24" t="inlineStr">
        <is>
          <t>2015-16</t>
        </is>
      </c>
      <c r="C61" s="24" t="inlineStr">
        <is>
          <t>CSE 305</t>
        </is>
      </c>
      <c r="D61" s="24" t="inlineStr">
        <is>
          <t>5(c)</t>
        </is>
      </c>
      <c r="E61" s="6" t="inlineStr">
        <is>
          <t>What are pseudoinstructions? Two examples</t>
        </is>
      </c>
      <c r="F61" s="6" t="inlineStr">
        <is>
          <t>Synchronization, pseudoinstructions — Ch2, sl. 56–59</t>
        </is>
      </c>
      <c r="G61" s="24" t="inlineStr">
        <is>
          <t>L17</t>
        </is>
      </c>
      <c r="H61" s="24" t="n">
        <v>4</v>
      </c>
      <c r="I61" s="24" t="inlineStr">
        <is>
          <t>66</t>
        </is>
      </c>
      <c r="J61" s="25" t="inlineStr">
        <is>
          <t>★★ Medium</t>
        </is>
      </c>
      <c r="K61" s="24" t="inlineStr">
        <is>
          <t>Theory</t>
        </is>
      </c>
      <c r="L61" s="22" t="inlineStr">
        <is>
          <t>✔ Solved</t>
        </is>
      </c>
      <c r="M61" s="6" t="inlineStr">
        <is>
          <t>2019-20 3(b)</t>
        </is>
      </c>
      <c r="N61" s="23" t="b">
        <v>0</v>
      </c>
      <c r="O61" s="24" t="n"/>
      <c r="P61" s="24" t="n"/>
      <c r="Q61" s="6" t="n"/>
    </row>
    <row r="62">
      <c r="A62" s="24" t="n">
        <v>59</v>
      </c>
      <c r="B62" s="24" t="inlineStr">
        <is>
          <t>2015-16</t>
        </is>
      </c>
      <c r="C62" s="24" t="inlineStr">
        <is>
          <t>CSE 305</t>
        </is>
      </c>
      <c r="D62" s="24" t="inlineStr">
        <is>
          <t>6(c)</t>
        </is>
      </c>
      <c r="E62" s="6" t="inlineStr">
        <is>
          <t>What is a data race? MIPS instructions for it and how they work</t>
        </is>
      </c>
      <c r="F62" s="6" t="inlineStr">
        <is>
          <t>Synchronization, pseudoinstructions — Ch2, sl. 56–59</t>
        </is>
      </c>
      <c r="G62" s="24" t="inlineStr">
        <is>
          <t>L17</t>
        </is>
      </c>
      <c r="H62" s="24" t="n">
        <v>8</v>
      </c>
      <c r="I62" s="24" t="inlineStr">
        <is>
          <t>66</t>
        </is>
      </c>
      <c r="J62" s="25" t="inlineStr">
        <is>
          <t>★★ Medium</t>
        </is>
      </c>
      <c r="K62" s="24" t="inlineStr">
        <is>
          <t>Theory</t>
        </is>
      </c>
      <c r="L62" s="22" t="inlineStr">
        <is>
          <t>✔ Solved</t>
        </is>
      </c>
      <c r="M62" s="6" t="inlineStr">
        <is>
          <t>2022-23 6(b) (CSE 305); 2016-17 6(b); 2014-15 6(b); 2013-14 7(a)</t>
        </is>
      </c>
      <c r="N62" s="23" t="b">
        <v>0</v>
      </c>
      <c r="O62" s="24" t="n"/>
      <c r="P62" s="24" t="n"/>
      <c r="Q62" s="6" t="n"/>
    </row>
    <row r="63">
      <c r="A63" s="24" t="n">
        <v>60</v>
      </c>
      <c r="B63" s="24" t="inlineStr">
        <is>
          <t>2014-15</t>
        </is>
      </c>
      <c r="C63" s="24" t="inlineStr">
        <is>
          <t>CSE 305</t>
        </is>
      </c>
      <c r="D63" s="24" t="inlineStr">
        <is>
          <t>6(b)</t>
        </is>
      </c>
      <c r="E63" s="6" t="inlineStr">
        <is>
          <t>What support does MIPS provide for synchronization?</t>
        </is>
      </c>
      <c r="F63" s="6" t="inlineStr">
        <is>
          <t>Synchronization, pseudoinstructions — Ch2, sl. 56–59</t>
        </is>
      </c>
      <c r="G63" s="24" t="inlineStr">
        <is>
          <t>L17</t>
        </is>
      </c>
      <c r="H63" s="24" t="n">
        <v>5</v>
      </c>
      <c r="I63" s="24" t="inlineStr">
        <is>
          <t>71</t>
        </is>
      </c>
      <c r="J63" s="25" t="inlineStr">
        <is>
          <t>★★ Medium</t>
        </is>
      </c>
      <c r="K63" s="24" t="inlineStr">
        <is>
          <t>Theory</t>
        </is>
      </c>
      <c r="L63" s="22" t="inlineStr">
        <is>
          <t>✔ Solved</t>
        </is>
      </c>
      <c r="M63" s="6" t="inlineStr">
        <is>
          <t>2022-23 6(b) (CSE 305); 2016-17 6(b); 2015-16 6(c); 2013-14 7(a)</t>
        </is>
      </c>
      <c r="N63" s="23" t="b">
        <v>0</v>
      </c>
      <c r="O63" s="24" t="n"/>
      <c r="P63" s="24" t="n"/>
      <c r="Q63" s="6" t="n"/>
    </row>
    <row r="64">
      <c r="A64" s="24" t="n">
        <v>61</v>
      </c>
      <c r="B64" s="24" t="inlineStr">
        <is>
          <t>2013-14</t>
        </is>
      </c>
      <c r="C64" s="24" t="inlineStr">
        <is>
          <t>CSE 305</t>
        </is>
      </c>
      <c r="D64" s="24" t="inlineStr">
        <is>
          <t>7(a)</t>
        </is>
      </c>
      <c r="E64" s="6" t="inlineStr">
        <is>
          <t>ll and sc; MIPS code to do A[0] = X atomically</t>
        </is>
      </c>
      <c r="F64" s="6" t="inlineStr">
        <is>
          <t>Synchronization, pseudoinstructions — Ch2, sl. 56–59</t>
        </is>
      </c>
      <c r="G64" s="24" t="inlineStr">
        <is>
          <t>L17</t>
        </is>
      </c>
      <c r="H64" s="24" t="n">
        <v>8</v>
      </c>
      <c r="I64" s="24" t="inlineStr">
        <is>
          <t>76</t>
        </is>
      </c>
      <c r="J64" s="25" t="inlineStr">
        <is>
          <t>★★ Medium</t>
        </is>
      </c>
      <c r="K64" s="24" t="inlineStr">
        <is>
          <t>Design</t>
        </is>
      </c>
      <c r="L64" s="22" t="inlineStr">
        <is>
          <t>✔ Solved</t>
        </is>
      </c>
      <c r="M64" s="6" t="inlineStr">
        <is>
          <t>2022-23 6(b) (CSE 305); 2016-17 6(b); 2015-16 6(c); 2014-15 6(b)</t>
        </is>
      </c>
      <c r="N64" s="23" t="b">
        <v>0</v>
      </c>
      <c r="O64" s="24" t="n"/>
      <c r="P64" s="24" t="n"/>
      <c r="Q64" s="6" t="n"/>
    </row>
    <row r="65">
      <c r="A65" s="19" t="n">
        <v>62</v>
      </c>
      <c r="B65" s="19" t="inlineStr">
        <is>
          <t>2022-23</t>
        </is>
      </c>
      <c r="C65" s="19" t="inlineStr">
        <is>
          <t>CSE 209</t>
        </is>
      </c>
      <c r="D65" s="19" t="inlineStr">
        <is>
          <t>12(a)</t>
        </is>
      </c>
      <c r="E65" s="20" t="inlineStr">
        <is>
          <t>How does JIT compilation improve the performance of a Java application?</t>
        </is>
      </c>
      <c r="F65" s="20" t="inlineStr">
        <is>
          <t>Linking, loading, JIT, RISC vs CISC — Ch2, sl. 58–69</t>
        </is>
      </c>
      <c r="G65" s="19" t="inlineStr">
        <is>
          <t>L18</t>
        </is>
      </c>
      <c r="H65" s="19" t="n">
        <v>5</v>
      </c>
      <c r="I65" s="19" t="inlineStr">
        <is>
          <t>13</t>
        </is>
      </c>
      <c r="J65" s="21" t="inlineStr">
        <is>
          <t>★★★ High</t>
        </is>
      </c>
      <c r="K65" s="19" t="inlineStr">
        <is>
          <t>Theory</t>
        </is>
      </c>
      <c r="L65" s="22" t="inlineStr">
        <is>
          <t>✔ Solved</t>
        </is>
      </c>
      <c r="M65" s="20" t="inlineStr">
        <is>
          <t>—</t>
        </is>
      </c>
      <c r="N65" s="23" t="b">
        <v>0</v>
      </c>
      <c r="O65" s="19" t="n"/>
      <c r="P65" s="19" t="n"/>
      <c r="Q65" s="20" t="n"/>
    </row>
    <row r="66">
      <c r="A66" s="19" t="n">
        <v>63</v>
      </c>
      <c r="B66" s="19" t="inlineStr">
        <is>
          <t>2022-23</t>
        </is>
      </c>
      <c r="C66" s="19" t="inlineStr">
        <is>
          <t>CSE 209</t>
        </is>
      </c>
      <c r="D66" s="19" t="inlineStr">
        <is>
          <t>12(b)</t>
        </is>
      </c>
      <c r="E66" s="20" t="inlineStr">
        <is>
          <t>Static vs dynamic linking; advantages of dynamic linking</t>
        </is>
      </c>
      <c r="F66" s="20" t="inlineStr">
        <is>
          <t>Linking, loading, JIT, RISC vs CISC — Ch2, sl. 58–69</t>
        </is>
      </c>
      <c r="G66" s="19" t="inlineStr">
        <is>
          <t>L18</t>
        </is>
      </c>
      <c r="H66" s="19" t="n">
        <v>10</v>
      </c>
      <c r="I66" s="19" t="inlineStr">
        <is>
          <t>13</t>
        </is>
      </c>
      <c r="J66" s="21" t="inlineStr">
        <is>
          <t>★★★ High</t>
        </is>
      </c>
      <c r="K66" s="19" t="inlineStr">
        <is>
          <t>Theory</t>
        </is>
      </c>
      <c r="L66" s="22" t="inlineStr">
        <is>
          <t>✔ Solved</t>
        </is>
      </c>
      <c r="M66" s="20" t="inlineStr">
        <is>
          <t>2022-23 7(d) (CSE 305); 2019-20 1(c)</t>
        </is>
      </c>
      <c r="N66" s="23" t="b">
        <v>0</v>
      </c>
      <c r="O66" s="19" t="n"/>
      <c r="P66" s="19" t="n"/>
      <c r="Q66" s="20" t="n"/>
    </row>
    <row r="67">
      <c r="A67" s="19" t="n">
        <v>64</v>
      </c>
      <c r="B67" s="19" t="inlineStr">
        <is>
          <t>2022-23</t>
        </is>
      </c>
      <c r="C67" s="19" t="inlineStr">
        <is>
          <t>CSE 305</t>
        </is>
      </c>
      <c r="D67" s="19" t="inlineStr">
        <is>
          <t>5(c)</t>
        </is>
      </c>
      <c r="E67" s="20" t="inlineStr">
        <is>
          <t>Link the object files of procedures A and B; updated addresses of the first instructions</t>
        </is>
      </c>
      <c r="F67" s="20" t="inlineStr">
        <is>
          <t>Linking, loading, JIT, RISC vs CISC — Ch2, sl. 58–69</t>
        </is>
      </c>
      <c r="G67" s="19" t="inlineStr">
        <is>
          <t>L18</t>
        </is>
      </c>
      <c r="H67" s="19" t="n">
        <v>14</v>
      </c>
      <c r="I67" s="19" t="inlineStr">
        <is>
          <t>18, 20</t>
        </is>
      </c>
      <c r="J67" s="21" t="inlineStr">
        <is>
          <t>★★★ High</t>
        </is>
      </c>
      <c r="K67" s="19" t="inlineStr">
        <is>
          <t>Trace</t>
        </is>
      </c>
      <c r="L67" s="22" t="inlineStr">
        <is>
          <t>✔ Solved</t>
        </is>
      </c>
      <c r="M67" s="20" t="inlineStr">
        <is>
          <t>—</t>
        </is>
      </c>
      <c r="N67" s="23" t="b">
        <v>0</v>
      </c>
      <c r="O67" s="19" t="n"/>
      <c r="P67" s="19" t="n"/>
      <c r="Q67" s="20" t="n"/>
    </row>
    <row r="68">
      <c r="A68" s="19" t="n">
        <v>65</v>
      </c>
      <c r="B68" s="19" t="inlineStr">
        <is>
          <t>2022-23</t>
        </is>
      </c>
      <c r="C68" s="19" t="inlineStr">
        <is>
          <t>CSE 305</t>
        </is>
      </c>
      <c r="D68" s="19" t="inlineStr">
        <is>
          <t>7(d)</t>
        </is>
      </c>
      <c r="E68" s="20" t="inlineStr">
        <is>
          <t>Static vs dynamic linking; with diagrams, how DLLs are called (lazy linkage)</t>
        </is>
      </c>
      <c r="F68" s="20" t="inlineStr">
        <is>
          <t>Linking, loading, JIT, RISC vs CISC — Ch2, sl. 58–69</t>
        </is>
      </c>
      <c r="G68" s="19" t="inlineStr">
        <is>
          <t>L18</t>
        </is>
      </c>
      <c r="H68" s="19" t="n">
        <v>15</v>
      </c>
      <c r="I68" s="19" t="inlineStr">
        <is>
          <t>19</t>
        </is>
      </c>
      <c r="J68" s="21" t="inlineStr">
        <is>
          <t>★★★ High</t>
        </is>
      </c>
      <c r="K68" s="19" t="inlineStr">
        <is>
          <t>Theory</t>
        </is>
      </c>
      <c r="L68" s="22" t="inlineStr">
        <is>
          <t>✔ Solved</t>
        </is>
      </c>
      <c r="M68" s="20" t="inlineStr">
        <is>
          <t>2022-23 12(b) (CSE 209); 2019-20 1(c)</t>
        </is>
      </c>
      <c r="N68" s="23" t="b">
        <v>0</v>
      </c>
      <c r="O68" s="19" t="n"/>
      <c r="P68" s="19" t="n"/>
      <c r="Q68" s="20" t="n"/>
    </row>
    <row r="69">
      <c r="A69" s="19" t="n">
        <v>66</v>
      </c>
      <c r="B69" s="19" t="inlineStr">
        <is>
          <t>2020-21</t>
        </is>
      </c>
      <c r="C69" s="19" t="inlineStr">
        <is>
          <t>CSE 305</t>
        </is>
      </c>
      <c r="D69" s="19" t="inlineStr">
        <is>
          <t>13(d)</t>
        </is>
      </c>
      <c r="E69" s="20" t="inlineStr">
        <is>
          <t>Main differences between x86 and MIPS architectures</t>
        </is>
      </c>
      <c r="F69" s="20" t="inlineStr">
        <is>
          <t>Linking, loading, JIT, RISC vs CISC — Ch2, sl. 58–69</t>
        </is>
      </c>
      <c r="G69" s="19" t="inlineStr">
        <is>
          <t>L18</t>
        </is>
      </c>
      <c r="H69" s="19" t="n">
        <v>5</v>
      </c>
      <c r="I69" s="19" t="inlineStr">
        <is>
          <t>35</t>
        </is>
      </c>
      <c r="J69" s="21" t="inlineStr">
        <is>
          <t>★★★ High</t>
        </is>
      </c>
      <c r="K69" s="19" t="inlineStr">
        <is>
          <t>Theory</t>
        </is>
      </c>
      <c r="L69" s="26" t="inlineStr">
        <is>
          <t>◐ Method</t>
        </is>
      </c>
      <c r="M69" s="20" t="inlineStr">
        <is>
          <t>2016-17 4(c); 2014-15 1(c); 2011-12 2(e)</t>
        </is>
      </c>
      <c r="N69" s="23" t="b">
        <v>0</v>
      </c>
      <c r="O69" s="19" t="n"/>
      <c r="P69" s="19" t="n"/>
      <c r="Q69" s="20" t="n"/>
    </row>
    <row r="70">
      <c r="A70" s="19" t="n">
        <v>67</v>
      </c>
      <c r="B70" s="19" t="inlineStr">
        <is>
          <t>2019-20</t>
        </is>
      </c>
      <c r="C70" s="19" t="inlineStr">
        <is>
          <t>CSE 305</t>
        </is>
      </c>
      <c r="D70" s="19" t="inlineStr">
        <is>
          <t>1(c)</t>
        </is>
      </c>
      <c r="E70" s="20" t="inlineStr">
        <is>
          <t>Advantages of DLLs in C program execution; role of JIT in Java</t>
        </is>
      </c>
      <c r="F70" s="20" t="inlineStr">
        <is>
          <t>Linking, loading, JIT, RISC vs CISC — Ch2, sl. 58–69</t>
        </is>
      </c>
      <c r="G70" s="19" t="inlineStr">
        <is>
          <t>L18</t>
        </is>
      </c>
      <c r="H70" s="19" t="n">
        <v>8</v>
      </c>
      <c r="I70" s="19" t="inlineStr">
        <is>
          <t>36</t>
        </is>
      </c>
      <c r="J70" s="21" t="inlineStr">
        <is>
          <t>★★★ High</t>
        </is>
      </c>
      <c r="K70" s="19" t="inlineStr">
        <is>
          <t>Theory</t>
        </is>
      </c>
      <c r="L70" s="22" t="inlineStr">
        <is>
          <t>✔ Solved</t>
        </is>
      </c>
      <c r="M70" s="20" t="inlineStr">
        <is>
          <t>2022-23 12(b) (CSE 209); 2022-23 7(d) (CSE 305)</t>
        </is>
      </c>
      <c r="N70" s="23" t="b">
        <v>0</v>
      </c>
      <c r="O70" s="19" t="n"/>
      <c r="P70" s="19" t="n"/>
      <c r="Q70" s="20" t="n"/>
    </row>
    <row r="71">
      <c r="A71" s="19" t="n">
        <v>68</v>
      </c>
      <c r="B71" s="19" t="inlineStr">
        <is>
          <t>2016-17</t>
        </is>
      </c>
      <c r="C71" s="19" t="inlineStr">
        <is>
          <t>CSE 305</t>
        </is>
      </c>
      <c r="D71" s="19" t="inlineStr">
        <is>
          <t>4(c)</t>
        </is>
      </c>
      <c r="E71" s="20" t="inlineStr">
        <is>
          <t>Compare the characteristics of typical CISC and RISC architectures (RS tracker: 'ISA (ART part)')</t>
        </is>
      </c>
      <c r="F71" s="20" t="inlineStr">
        <is>
          <t>Linking, loading, JIT, RISC vs CISC — Ch2, sl. 58–69</t>
        </is>
      </c>
      <c r="G71" s="19" t="inlineStr">
        <is>
          <t>L18</t>
        </is>
      </c>
      <c r="H71" s="19" t="n">
        <v>6</v>
      </c>
      <c r="I71" s="19" t="inlineStr">
        <is>
          <t>56</t>
        </is>
      </c>
      <c r="J71" s="25" t="inlineStr">
        <is>
          <t>★★ Medium</t>
        </is>
      </c>
      <c r="K71" s="19" t="inlineStr">
        <is>
          <t>Theory</t>
        </is>
      </c>
      <c r="L71" s="26" t="inlineStr">
        <is>
          <t>◐ Method</t>
        </is>
      </c>
      <c r="M71" s="20" t="inlineStr">
        <is>
          <t>2020-21 13(d); 2014-15 1(c); 2011-12 2(e)</t>
        </is>
      </c>
      <c r="N71" s="23" t="b">
        <v>0</v>
      </c>
      <c r="O71" s="19" t="n"/>
      <c r="P71" s="19" t="n"/>
      <c r="Q71" s="20" t="n"/>
    </row>
    <row r="72">
      <c r="A72" s="19" t="n">
        <v>69</v>
      </c>
      <c r="B72" s="19" t="inlineStr">
        <is>
          <t>2014-15</t>
        </is>
      </c>
      <c r="C72" s="19" t="inlineStr">
        <is>
          <t>CSE 305</t>
        </is>
      </c>
      <c r="D72" s="19" t="inlineStr">
        <is>
          <t>1(c)</t>
        </is>
      </c>
      <c r="E72" s="20" t="inlineStr">
        <is>
          <t>Compare the characteristics of typical CISC and RISC architectures (RS tracker: 'ISA (ART part)')</t>
        </is>
      </c>
      <c r="F72" s="20" t="inlineStr">
        <is>
          <t>Linking, loading, JIT, RISC vs CISC — Ch2, sl. 58–69</t>
        </is>
      </c>
      <c r="G72" s="19" t="inlineStr">
        <is>
          <t>L18</t>
        </is>
      </c>
      <c r="H72" s="19" t="n">
        <v>8</v>
      </c>
      <c r="I72" s="19" t="inlineStr">
        <is>
          <t>68</t>
        </is>
      </c>
      <c r="J72" s="25" t="inlineStr">
        <is>
          <t>★★ Medium</t>
        </is>
      </c>
      <c r="K72" s="19" t="inlineStr">
        <is>
          <t>Theory</t>
        </is>
      </c>
      <c r="L72" s="26" t="inlineStr">
        <is>
          <t>◐ Method</t>
        </is>
      </c>
      <c r="M72" s="20" t="inlineStr">
        <is>
          <t>2020-21 13(d); 2016-17 4(c); 2011-12 2(e)</t>
        </is>
      </c>
      <c r="N72" s="23" t="b">
        <v>0</v>
      </c>
      <c r="O72" s="19" t="n"/>
      <c r="P72" s="19" t="n"/>
      <c r="Q72" s="20" t="n"/>
    </row>
    <row r="73">
      <c r="A73" s="19" t="n">
        <v>70</v>
      </c>
      <c r="B73" s="19" t="inlineStr">
        <is>
          <t>2011-12</t>
        </is>
      </c>
      <c r="C73" s="19" t="inlineStr">
        <is>
          <t>CSE 305</t>
        </is>
      </c>
      <c r="D73" s="19" t="inlineStr">
        <is>
          <t>2(e)</t>
        </is>
      </c>
      <c r="E73" s="20" t="inlineStr">
        <is>
          <t>Three examples of the complexity of IA-32</t>
        </is>
      </c>
      <c r="F73" s="20" t="inlineStr">
        <is>
          <t>Linking, loading, JIT, RISC vs CISC — Ch2, sl. 58–69</t>
        </is>
      </c>
      <c r="G73" s="19" t="inlineStr">
        <is>
          <t>L18</t>
        </is>
      </c>
      <c r="H73" s="19" t="n">
        <v>6</v>
      </c>
      <c r="I73" s="19" t="inlineStr">
        <is>
          <t>84</t>
        </is>
      </c>
      <c r="J73" s="25" t="inlineStr">
        <is>
          <t>★★ Medium</t>
        </is>
      </c>
      <c r="K73" s="19" t="inlineStr">
        <is>
          <t>Theory</t>
        </is>
      </c>
      <c r="L73" s="26" t="inlineStr">
        <is>
          <t>◐ Method</t>
        </is>
      </c>
      <c r="M73" s="20" t="inlineStr">
        <is>
          <t>2020-21 13(d); 2016-17 4(c); 2014-15 1(c)</t>
        </is>
      </c>
      <c r="N73" s="23" t="b">
        <v>0</v>
      </c>
      <c r="O73" s="19" t="n"/>
      <c r="P73" s="19" t="n"/>
      <c r="Q73" s="20" t="n"/>
    </row>
  </sheetData>
  <autoFilter ref="A3:Q73"/>
  <conditionalFormatting sqref="A4:Q73">
    <cfRule type="expression" priority="1" dxfId="0">
      <formula>$N4=TRUE</formula>
    </cfRule>
  </conditionalFormatting>
  <conditionalFormatting sqref="O4:O73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73" showDropDown="0" showInputMessage="0" showErrorMessage="0" allowBlank="1" type="list">
      <formula1>"TRUE,FALSE"</formula1>
    </dataValidation>
    <dataValidation sqref="O4:O73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4"/>
  <sheetViews>
    <sheetView zoomScale="9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40" customWidth="1" min="6" max="6"/>
    <col width="8" customWidth="1" min="7" max="7"/>
    <col width="7" customWidth="1" min="8" max="8"/>
    <col width="8" customWidth="1" min="9" max="9"/>
    <col width="12" customWidth="1" min="10" max="10"/>
    <col width="11" customWidth="1" min="11" max="11"/>
    <col width="11" customWidth="1" min="12" max="12"/>
    <col width="30" customWidth="1" min="13" max="13"/>
    <col width="7" customWidth="1" min="14" max="14"/>
    <col width="12" customWidth="1" min="15" max="15"/>
    <col width="11" customWidth="1" min="16" max="16"/>
    <col width="32" customWidth="1" min="17" max="17"/>
  </cols>
  <sheetData>
    <row r="1">
      <c r="A1" s="18" t="inlineStr">
        <is>
          <t>Chapter 3 — Arithmetic for Computers</t>
        </is>
      </c>
    </row>
    <row r="2">
      <c r="A2" s="2" t="inlineStr">
        <is>
          <t>Note file: CSE209_ART_Ch3_Arithmetic_Notes.docx   ·   Solve after finishing the matching lesson. Filter Priority → ★★★ High first.</t>
        </is>
      </c>
    </row>
    <row r="3" ht="30" customHeight="1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(slide PDF · slides)</t>
        </is>
      </c>
      <c r="G3" s="7" t="inlineStr">
        <is>
          <t>Lesson</t>
        </is>
      </c>
      <c r="H3" s="7" t="inlineStr">
        <is>
          <t>Marks</t>
        </is>
      </c>
      <c r="I3" s="7" t="inlineStr">
        <is>
          <t>TF Page</t>
        </is>
      </c>
      <c r="J3" s="7" t="inlineStr">
        <is>
          <t>Priority</t>
        </is>
      </c>
      <c r="K3" s="7" t="inlineStr">
        <is>
          <t>Type</t>
        </is>
      </c>
      <c r="L3" s="7" t="inlineStr">
        <is>
          <t>In Notes</t>
        </is>
      </c>
      <c r="M3" s="7" t="inlineStr">
        <is>
          <t>Same Type Also In</t>
        </is>
      </c>
      <c r="N3" s="7" t="inlineStr">
        <is>
          <t>Done</t>
        </is>
      </c>
      <c r="O3" s="7" t="inlineStr">
        <is>
          <t>Confidence</t>
        </is>
      </c>
      <c r="P3" s="7" t="inlineStr">
        <is>
          <t>Date</t>
        </is>
      </c>
      <c r="Q3" s="7" t="inlineStr">
        <is>
          <t>My Notes</t>
        </is>
      </c>
    </row>
    <row r="4">
      <c r="A4" s="19" t="n">
        <v>1</v>
      </c>
      <c r="B4" s="19" t="inlineStr">
        <is>
          <t>2016-17</t>
        </is>
      </c>
      <c r="C4" s="19" t="inlineStr">
        <is>
          <t>CSE 305</t>
        </is>
      </c>
      <c r="D4" s="19" t="inlineStr">
        <is>
          <t>8(a)</t>
        </is>
      </c>
      <c r="E4" s="20" t="inlineStr">
        <is>
          <t>Overflow conditions in the O/SA/SB/SR table for add/subtract; Boolean function for V</t>
        </is>
      </c>
      <c r="F4" s="20" t="inlineStr">
        <is>
          <t>Integer add/sub overflow — Ch3, sl. 2–4</t>
        </is>
      </c>
      <c r="G4" s="19" t="inlineStr">
        <is>
          <t>L19</t>
        </is>
      </c>
      <c r="H4" s="19" t="n">
        <v>10</v>
      </c>
      <c r="I4" s="19" t="inlineStr">
        <is>
          <t>60</t>
        </is>
      </c>
      <c r="J4" s="25" t="inlineStr">
        <is>
          <t>★★ Medium</t>
        </is>
      </c>
      <c r="K4" s="19" t="inlineStr">
        <is>
          <t>Theory</t>
        </is>
      </c>
      <c r="L4" s="22" t="inlineStr">
        <is>
          <t>✔ Solved</t>
        </is>
      </c>
      <c r="M4" s="20" t="inlineStr">
        <is>
          <t>2014-15 8(a)</t>
        </is>
      </c>
      <c r="N4" s="23" t="b">
        <v>0</v>
      </c>
      <c r="O4" s="19" t="n"/>
      <c r="P4" s="19" t="n"/>
      <c r="Q4" s="20" t="n"/>
    </row>
    <row r="5">
      <c r="A5" s="19" t="n">
        <v>2</v>
      </c>
      <c r="B5" s="19" t="inlineStr">
        <is>
          <t>2014-15</t>
        </is>
      </c>
      <c r="C5" s="19" t="inlineStr">
        <is>
          <t>CSE 305</t>
        </is>
      </c>
      <c r="D5" s="19" t="inlineStr">
        <is>
          <t>8(a)</t>
        </is>
      </c>
      <c r="E5" s="20" t="inlineStr">
        <is>
          <t>Overflow conditions in the O/SA/SB/SR table; Boolean function for V</t>
        </is>
      </c>
      <c r="F5" s="20" t="inlineStr">
        <is>
          <t>Integer add/sub overflow — Ch3, sl. 2–4</t>
        </is>
      </c>
      <c r="G5" s="19" t="inlineStr">
        <is>
          <t>L19</t>
        </is>
      </c>
      <c r="H5" s="19" t="n">
        <v>12</v>
      </c>
      <c r="I5" s="19" t="inlineStr">
        <is>
          <t>72</t>
        </is>
      </c>
      <c r="J5" s="25" t="inlineStr">
        <is>
          <t>★★ Medium</t>
        </is>
      </c>
      <c r="K5" s="19" t="inlineStr">
        <is>
          <t>Theory</t>
        </is>
      </c>
      <c r="L5" s="22" t="inlineStr">
        <is>
          <t>✔ Solved</t>
        </is>
      </c>
      <c r="M5" s="20" t="inlineStr">
        <is>
          <t>2016-17 8(a)</t>
        </is>
      </c>
      <c r="N5" s="23" t="b">
        <v>0</v>
      </c>
      <c r="O5" s="19" t="n"/>
      <c r="P5" s="19" t="n"/>
      <c r="Q5" s="20" t="n"/>
    </row>
    <row r="6">
      <c r="A6" s="24" t="n">
        <v>3</v>
      </c>
      <c r="B6" s="24" t="inlineStr">
        <is>
          <t>2023-24</t>
        </is>
      </c>
      <c r="C6" s="24" t="inlineStr">
        <is>
          <t>CSE 209</t>
        </is>
      </c>
      <c r="D6" s="24" t="inlineStr">
        <is>
          <t>7(a)</t>
        </is>
      </c>
      <c r="E6" s="6" t="inlineStr">
        <is>
          <t>Multiplication hardware: long-multiplication and parallel add/shift versions (32-bit); simulate 1000 × 1011 on each</t>
        </is>
      </c>
      <c r="F6" s="6" t="inlineStr">
        <is>
          <t>Multiplication hardware — Ch3, sl. 5–8</t>
        </is>
      </c>
      <c r="G6" s="24" t="inlineStr">
        <is>
          <t>L20</t>
        </is>
      </c>
      <c r="H6" s="24" t="n">
        <v>20</v>
      </c>
      <c r="I6" s="24" t="inlineStr">
        <is>
          <t>6</t>
        </is>
      </c>
      <c r="J6" s="21" t="inlineStr">
        <is>
          <t>★★★ High</t>
        </is>
      </c>
      <c r="K6" s="24" t="inlineStr">
        <is>
          <t>Trace</t>
        </is>
      </c>
      <c r="L6" s="22" t="inlineStr">
        <is>
          <t>✔ Solved</t>
        </is>
      </c>
      <c r="M6" s="6" t="inlineStr">
        <is>
          <t>2022-23 4 (CSE 209); 2021-22 6(c); 2019-20 4(b); 2018-19 5(a); 2016-17 8(c); 2014-15 8(b); …</t>
        </is>
      </c>
      <c r="N6" s="23" t="b">
        <v>0</v>
      </c>
      <c r="O6" s="24" t="n"/>
      <c r="P6" s="24" t="n"/>
      <c r="Q6" s="6" t="n"/>
    </row>
    <row r="7">
      <c r="A7" s="24" t="n">
        <v>4</v>
      </c>
      <c r="B7" s="24" t="inlineStr">
        <is>
          <t>2022-23</t>
        </is>
      </c>
      <c r="C7" s="24" t="inlineStr">
        <is>
          <t>CSE 209</t>
        </is>
      </c>
      <c r="D7" s="24" t="inlineStr">
        <is>
          <t>4</t>
        </is>
      </c>
      <c r="E7" s="6" t="inlineStr">
        <is>
          <t>Hardware block diagram + flowchart of the sequential and the refined multiplication algorithm</t>
        </is>
      </c>
      <c r="F7" s="6" t="inlineStr">
        <is>
          <t>Multiplication hardware — Ch3, sl. 5–8</t>
        </is>
      </c>
      <c r="G7" s="24" t="inlineStr">
        <is>
          <t>L20</t>
        </is>
      </c>
      <c r="H7" s="24" t="n">
        <v>15</v>
      </c>
      <c r="I7" s="24" t="inlineStr">
        <is>
          <t>10</t>
        </is>
      </c>
      <c r="J7" s="21" t="inlineStr">
        <is>
          <t>★★★ High</t>
        </is>
      </c>
      <c r="K7" s="24" t="inlineStr">
        <is>
          <t>Design</t>
        </is>
      </c>
      <c r="L7" s="22" t="inlineStr">
        <is>
          <t>✔ Solved</t>
        </is>
      </c>
      <c r="M7" s="6" t="inlineStr">
        <is>
          <t>2023-24 7(a); 2021-22 6(c); 2019-20 4(b); 2018-19 5(a); 2016-17 8(c); 2014-15 8(b); …</t>
        </is>
      </c>
      <c r="N7" s="23" t="b">
        <v>0</v>
      </c>
      <c r="O7" s="24" t="n"/>
      <c r="P7" s="24" t="n"/>
      <c r="Q7" s="6" t="n"/>
    </row>
    <row r="8">
      <c r="A8" s="24" t="n">
        <v>5</v>
      </c>
      <c r="B8" s="24" t="inlineStr">
        <is>
          <t>2021-22</t>
        </is>
      </c>
      <c r="C8" s="24" t="inlineStr">
        <is>
          <t>CSE 305</t>
        </is>
      </c>
      <c r="D8" s="24" t="inlineStr">
        <is>
          <t>6(c)</t>
        </is>
      </c>
      <c r="E8" s="6" t="inlineStr">
        <is>
          <t>Block diagram of 32-bit combined multiply/divide hardware with a 32-bit ALU; functions of components</t>
        </is>
      </c>
      <c r="F8" s="6" t="inlineStr">
        <is>
          <t>Multiplication hardware — Ch3, sl. 5–8</t>
        </is>
      </c>
      <c r="G8" s="24" t="inlineStr">
        <is>
          <t>L20</t>
        </is>
      </c>
      <c r="H8" s="24" t="n">
        <v>10</v>
      </c>
      <c r="I8" s="24" t="inlineStr">
        <is>
          <t>24</t>
        </is>
      </c>
      <c r="J8" s="21" t="inlineStr">
        <is>
          <t>★★★ High</t>
        </is>
      </c>
      <c r="K8" s="24" t="inlineStr">
        <is>
          <t>Design</t>
        </is>
      </c>
      <c r="L8" s="27" t="inlineStr">
        <is>
          <t>○ Partly</t>
        </is>
      </c>
      <c r="M8" s="6" t="inlineStr">
        <is>
          <t>2023-24 7(a); 2022-23 4 (CSE 209); 2019-20 4(b); 2018-19 5(a); 2016-17 8(c); 2014-15 8(b); …</t>
        </is>
      </c>
      <c r="N8" s="23" t="b">
        <v>0</v>
      </c>
      <c r="O8" s="24" t="n"/>
      <c r="P8" s="24" t="n"/>
      <c r="Q8" s="6" t="n"/>
    </row>
    <row r="9">
      <c r="A9" s="24" t="n">
        <v>6</v>
      </c>
      <c r="B9" s="24" t="inlineStr">
        <is>
          <t>2019-20</t>
        </is>
      </c>
      <c r="C9" s="24" t="inlineStr">
        <is>
          <t>CSE 305</t>
        </is>
      </c>
      <c r="D9" s="24" t="inlineStr">
        <is>
          <t>4(b)</t>
        </is>
      </c>
      <c r="E9" s="6" t="inlineStr">
        <is>
          <t>Why the first multiplier hardware is inefficient; changes; draw the efficient hardware</t>
        </is>
      </c>
      <c r="F9" s="6" t="inlineStr">
        <is>
          <t>Multiplication hardware — Ch3, sl. 5–8</t>
        </is>
      </c>
      <c r="G9" s="24" t="inlineStr">
        <is>
          <t>L20</t>
        </is>
      </c>
      <c r="H9" s="24" t="n">
        <v>12</v>
      </c>
      <c r="I9" s="24" t="inlineStr">
        <is>
          <t>38</t>
        </is>
      </c>
      <c r="J9" s="21" t="inlineStr">
        <is>
          <t>★★★ High</t>
        </is>
      </c>
      <c r="K9" s="24" t="inlineStr">
        <is>
          <t>Design</t>
        </is>
      </c>
      <c r="L9" s="22" t="inlineStr">
        <is>
          <t>✔ Solved</t>
        </is>
      </c>
      <c r="M9" s="6" t="inlineStr">
        <is>
          <t>2023-24 7(a); 2022-23 4 (CSE 209); 2021-22 6(c); 2018-19 5(a); 2016-17 8(c); 2014-15 8(b); …</t>
        </is>
      </c>
      <c r="N9" s="23" t="b">
        <v>0</v>
      </c>
      <c r="O9" s="24" t="n"/>
      <c r="P9" s="24" t="n"/>
      <c r="Q9" s="6" t="n"/>
    </row>
    <row r="10">
      <c r="A10" s="24" t="n">
        <v>7</v>
      </c>
      <c r="B10" s="24" t="inlineStr">
        <is>
          <t>2018-19</t>
        </is>
      </c>
      <c r="C10" s="24" t="inlineStr">
        <is>
          <t>CSE 305</t>
        </is>
      </c>
      <c r="D10" s="24" t="inlineStr">
        <is>
          <t>5(a)</t>
        </is>
      </c>
      <c r="E10" s="6" t="inlineStr">
        <is>
          <t>Hardware + flowchart of the sequential multiplication algorithm; flowchart of the refined version</t>
        </is>
      </c>
      <c r="F10" s="6" t="inlineStr">
        <is>
          <t>Multiplication hardware — Ch3, sl. 5–8</t>
        </is>
      </c>
      <c r="G10" s="24" t="inlineStr">
        <is>
          <t>L20</t>
        </is>
      </c>
      <c r="H10" s="24" t="n">
        <v>12</v>
      </c>
      <c r="I10" s="24" t="inlineStr">
        <is>
          <t>44</t>
        </is>
      </c>
      <c r="J10" s="25" t="inlineStr">
        <is>
          <t>★★ Medium</t>
        </is>
      </c>
      <c r="K10" s="24" t="inlineStr">
        <is>
          <t>Design</t>
        </is>
      </c>
      <c r="L10" s="22" t="inlineStr">
        <is>
          <t>✔ Solved</t>
        </is>
      </c>
      <c r="M10" s="6" t="inlineStr">
        <is>
          <t>2023-24 7(a); 2022-23 4 (CSE 209); 2021-22 6(c); 2019-20 4(b); 2016-17 8(c); 2014-15 8(b); …</t>
        </is>
      </c>
      <c r="N10" s="23" t="b">
        <v>0</v>
      </c>
      <c r="O10" s="24" t="n"/>
      <c r="P10" s="24" t="n"/>
      <c r="Q10" s="6" t="n"/>
    </row>
    <row r="11">
      <c r="A11" s="24" t="n">
        <v>8</v>
      </c>
      <c r="B11" s="24" t="inlineStr">
        <is>
          <t>2016-17</t>
        </is>
      </c>
      <c r="C11" s="24" t="inlineStr">
        <is>
          <t>CSE 305</t>
        </is>
      </c>
      <c r="D11" s="24" t="inlineStr">
        <is>
          <t>8(c)</t>
        </is>
      </c>
      <c r="E11" s="6" t="inlineStr">
        <is>
          <t>Simulate unsigned multiplication 0110 × 0110 on the refined (shift-right product) hardware</t>
        </is>
      </c>
      <c r="F11" s="6" t="inlineStr">
        <is>
          <t>Multiplication hardware — Ch3, sl. 5–8</t>
        </is>
      </c>
      <c r="G11" s="24" t="inlineStr">
        <is>
          <t>L20</t>
        </is>
      </c>
      <c r="H11" s="24" t="n">
        <v>15</v>
      </c>
      <c r="I11" s="24" t="inlineStr">
        <is>
          <t>61–62</t>
        </is>
      </c>
      <c r="J11" s="25" t="inlineStr">
        <is>
          <t>★★ Medium</t>
        </is>
      </c>
      <c r="K11" s="24" t="inlineStr">
        <is>
          <t>Trace</t>
        </is>
      </c>
      <c r="L11" s="22" t="inlineStr">
        <is>
          <t>✔ Solved</t>
        </is>
      </c>
      <c r="M11" s="6" t="inlineStr">
        <is>
          <t>2023-24 7(a); 2022-23 4 (CSE 209); 2021-22 6(c); 2019-20 4(b); 2018-19 5(a); 2014-15 8(b); …</t>
        </is>
      </c>
      <c r="N11" s="23" t="b">
        <v>0</v>
      </c>
      <c r="O11" s="24" t="n"/>
      <c r="P11" s="24" t="n"/>
      <c r="Q11" s="6" t="n"/>
    </row>
    <row r="12">
      <c r="A12" s="24" t="n">
        <v>9</v>
      </c>
      <c r="B12" s="24" t="inlineStr">
        <is>
          <t>2014-15</t>
        </is>
      </c>
      <c r="C12" s="24" t="inlineStr">
        <is>
          <t>CSE 305</t>
        </is>
      </c>
      <c r="D12" s="24" t="inlineStr">
        <is>
          <t>8(b)</t>
        </is>
      </c>
      <c r="E12" s="6" t="inlineStr">
        <is>
          <t>Flowchart of the sequential multiplication; draw the register-optimized refined hardware</t>
        </is>
      </c>
      <c r="F12" s="6" t="inlineStr">
        <is>
          <t>Multiplication hardware — Ch3, sl. 5–8</t>
        </is>
      </c>
      <c r="G12" s="24" t="inlineStr">
        <is>
          <t>L20</t>
        </is>
      </c>
      <c r="H12" s="24" t="n">
        <v>13</v>
      </c>
      <c r="I12" s="24" t="inlineStr">
        <is>
          <t>73</t>
        </is>
      </c>
      <c r="J12" s="25" t="inlineStr">
        <is>
          <t>★★ Medium</t>
        </is>
      </c>
      <c r="K12" s="24" t="inlineStr">
        <is>
          <t>Design</t>
        </is>
      </c>
      <c r="L12" s="22" t="inlineStr">
        <is>
          <t>✔ Solved</t>
        </is>
      </c>
      <c r="M12" s="6" t="inlineStr">
        <is>
          <t>2023-24 7(a); 2022-23 4 (CSE 209); 2021-22 6(c); 2019-20 4(b); 2018-19 5(a); 2016-17 8(c); …</t>
        </is>
      </c>
      <c r="N12" s="23" t="b">
        <v>0</v>
      </c>
      <c r="O12" s="24" t="n"/>
      <c r="P12" s="24" t="n"/>
      <c r="Q12" s="6" t="n"/>
    </row>
    <row r="13">
      <c r="A13" s="24" t="n">
        <v>10</v>
      </c>
      <c r="B13" s="24" t="inlineStr">
        <is>
          <t>2013-14</t>
        </is>
      </c>
      <c r="C13" s="24" t="inlineStr">
        <is>
          <t>CSE 305</t>
        </is>
      </c>
      <c r="D13" s="24" t="inlineStr">
        <is>
          <t>3(c)</t>
        </is>
      </c>
      <c r="E13" s="6" t="inlineStr">
        <is>
          <t>Block diagram + flowchart for 32-bit unsigned multiplication with no separate multiplier register</t>
        </is>
      </c>
      <c r="F13" s="6" t="inlineStr">
        <is>
          <t>Multiplication hardware — Ch3, sl. 5–8</t>
        </is>
      </c>
      <c r="G13" s="24" t="inlineStr">
        <is>
          <t>L20</t>
        </is>
      </c>
      <c r="H13" s="24" t="n">
        <v>15</v>
      </c>
      <c r="I13" s="24" t="inlineStr">
        <is>
          <t>74</t>
        </is>
      </c>
      <c r="J13" s="25" t="inlineStr">
        <is>
          <t>★★ Medium</t>
        </is>
      </c>
      <c r="K13" s="24" t="inlineStr">
        <is>
          <t>Design</t>
        </is>
      </c>
      <c r="L13" s="22" t="inlineStr">
        <is>
          <t>✔ Solved</t>
        </is>
      </c>
      <c r="M13" s="6" t="inlineStr">
        <is>
          <t>2023-24 7(a); 2022-23 4 (CSE 209); 2021-22 6(c); 2019-20 4(b); 2018-19 5(a); 2016-17 8(c); …</t>
        </is>
      </c>
      <c r="N13" s="23" t="b">
        <v>0</v>
      </c>
      <c r="O13" s="24" t="n"/>
      <c r="P13" s="24" t="n"/>
      <c r="Q13" s="6" t="n"/>
    </row>
    <row r="14">
      <c r="A14" s="24" t="n">
        <v>11</v>
      </c>
      <c r="B14" s="24" t="inlineStr">
        <is>
          <t>2011-12</t>
        </is>
      </c>
      <c r="C14" s="24" t="inlineStr">
        <is>
          <t>CSE 305</t>
        </is>
      </c>
      <c r="D14" s="24" t="inlineStr">
        <is>
          <t>6(a)</t>
        </is>
      </c>
      <c r="E14" s="6" t="inlineStr">
        <is>
          <t>First and refined multiplication hardware; improvement of the refined version</t>
        </is>
      </c>
      <c r="F14" s="6" t="inlineStr">
        <is>
          <t>Multiplication hardware — Ch3, sl. 5–8</t>
        </is>
      </c>
      <c r="G14" s="24" t="inlineStr">
        <is>
          <t>L20</t>
        </is>
      </c>
      <c r="H14" s="24" t="n">
        <v>15</v>
      </c>
      <c r="I14" s="24" t="inlineStr">
        <is>
          <t>86</t>
        </is>
      </c>
      <c r="J14" s="25" t="inlineStr">
        <is>
          <t>★★ Medium</t>
        </is>
      </c>
      <c r="K14" s="24" t="inlineStr">
        <is>
          <t>Design</t>
        </is>
      </c>
      <c r="L14" s="22" t="inlineStr">
        <is>
          <t>✔ Solved</t>
        </is>
      </c>
      <c r="M14" s="6" t="inlineStr">
        <is>
          <t>2023-24 7(a); 2022-23 4 (CSE 209); 2021-22 6(c); 2019-20 4(b); 2018-19 5(a); 2016-17 8(c); …</t>
        </is>
      </c>
      <c r="N14" s="23" t="b">
        <v>0</v>
      </c>
      <c r="O14" s="24" t="n"/>
      <c r="P14" s="24" t="n"/>
      <c r="Q14" s="6" t="n"/>
    </row>
    <row r="15">
      <c r="A15" s="19" t="n">
        <v>12</v>
      </c>
      <c r="B15" s="19" t="inlineStr">
        <is>
          <t>2023-24</t>
        </is>
      </c>
      <c r="C15" s="19" t="inlineStr">
        <is>
          <t>CSE 209</t>
        </is>
      </c>
      <c r="D15" s="19" t="inlineStr">
        <is>
          <t>7(b)</t>
        </is>
      </c>
      <c r="E15" s="20" t="inlineStr">
        <is>
          <t>Purpose of a positive bias in IEEE 754; smallest and largest values in single and double precision</t>
        </is>
      </c>
      <c r="F15" s="20" t="inlineStr">
        <is>
          <t>IEEE 754 representation — Ch3, sl. 9–16</t>
        </is>
      </c>
      <c r="G15" s="19" t="inlineStr">
        <is>
          <t>L21</t>
        </is>
      </c>
      <c r="H15" s="19" t="n">
        <v>15</v>
      </c>
      <c r="I15" s="19" t="inlineStr">
        <is>
          <t>6</t>
        </is>
      </c>
      <c r="J15" s="21" t="inlineStr">
        <is>
          <t>★★★ High</t>
        </is>
      </c>
      <c r="K15" s="19" t="inlineStr">
        <is>
          <t>Theory</t>
        </is>
      </c>
      <c r="L15" s="22" t="inlineStr">
        <is>
          <t>✔ Solved</t>
        </is>
      </c>
      <c r="M15" s="20" t="inlineStr">
        <is>
          <t>2018-19 7(c); 2015-16 7(c); 2012-13 8(a)</t>
        </is>
      </c>
      <c r="N15" s="23" t="b">
        <v>0</v>
      </c>
      <c r="O15" s="19" t="n"/>
      <c r="P15" s="19" t="n"/>
      <c r="Q15" s="20" t="n"/>
    </row>
    <row r="16">
      <c r="A16" s="19" t="n">
        <v>13</v>
      </c>
      <c r="B16" s="19" t="inlineStr">
        <is>
          <t>2022-23</t>
        </is>
      </c>
      <c r="C16" s="19" t="inlineStr">
        <is>
          <t>CSE 305</t>
        </is>
      </c>
      <c r="D16" s="19" t="inlineStr">
        <is>
          <t>8(b)</t>
        </is>
      </c>
      <c r="E16" s="20" t="inlineStr">
        <is>
          <t>32-bit FP with 19-bit fraction: precision, smallest/largest absolute values, smallest denormal</t>
        </is>
      </c>
      <c r="F16" s="20" t="inlineStr">
        <is>
          <t>IEEE 754 representation — Ch3, sl. 9–16</t>
        </is>
      </c>
      <c r="G16" s="19" t="inlineStr">
        <is>
          <t>L21</t>
        </is>
      </c>
      <c r="H16" s="19" t="n">
        <v>8</v>
      </c>
      <c r="I16" s="19" t="inlineStr">
        <is>
          <t>19</t>
        </is>
      </c>
      <c r="J16" s="21" t="inlineStr">
        <is>
          <t>★★★ High</t>
        </is>
      </c>
      <c r="K16" s="19" t="inlineStr">
        <is>
          <t>Numerical</t>
        </is>
      </c>
      <c r="L16" s="22" t="inlineStr">
        <is>
          <t>✔ Solved</t>
        </is>
      </c>
      <c r="M16" s="20" t="inlineStr">
        <is>
          <t>2020-21 13(a); 2019-20 4(a); 2018-19 5(b)</t>
        </is>
      </c>
      <c r="N16" s="23" t="b">
        <v>0</v>
      </c>
      <c r="O16" s="19" t="n"/>
      <c r="P16" s="19" t="n"/>
      <c r="Q16" s="20" t="n"/>
    </row>
    <row r="17">
      <c r="A17" s="19" t="n">
        <v>14</v>
      </c>
      <c r="B17" s="19" t="inlineStr">
        <is>
          <t>2022-23</t>
        </is>
      </c>
      <c r="C17" s="19" t="inlineStr">
        <is>
          <t>CSE 305</t>
        </is>
      </c>
      <c r="D17" s="19" t="inlineStr">
        <is>
          <t>8(c)</t>
        </is>
      </c>
      <c r="E17" s="20" t="inlineStr">
        <is>
          <t>f1 &lt; f2 (IEEE single): treated as unsigned, is i1 &lt; i2? As signed, is j1 &lt; j2?</t>
        </is>
      </c>
      <c r="F17" s="20" t="inlineStr">
        <is>
          <t>IEEE 754 representation — Ch3, sl. 9–16</t>
        </is>
      </c>
      <c r="G17" s="19" t="inlineStr">
        <is>
          <t>L21</t>
        </is>
      </c>
      <c r="H17" s="19" t="n">
        <v>20</v>
      </c>
      <c r="I17" s="19" t="inlineStr">
        <is>
          <t>19</t>
        </is>
      </c>
      <c r="J17" s="21" t="inlineStr">
        <is>
          <t>★★★ High</t>
        </is>
      </c>
      <c r="K17" s="19" t="inlineStr">
        <is>
          <t>Theory</t>
        </is>
      </c>
      <c r="L17" s="22" t="inlineStr">
        <is>
          <t>✔ Solved</t>
        </is>
      </c>
      <c r="M17" s="20" t="inlineStr">
        <is>
          <t>—</t>
        </is>
      </c>
      <c r="N17" s="23" t="b">
        <v>0</v>
      </c>
      <c r="O17" s="19" t="n"/>
      <c r="P17" s="19" t="n"/>
      <c r="Q17" s="20" t="n"/>
    </row>
    <row r="18">
      <c r="A18" s="19" t="n">
        <v>15</v>
      </c>
      <c r="B18" s="19" t="inlineStr">
        <is>
          <t>2021-22</t>
        </is>
      </c>
      <c r="C18" s="19" t="inlineStr">
        <is>
          <t>CSE 305</t>
        </is>
      </c>
      <c r="D18" s="19" t="inlineStr">
        <is>
          <t>8(b)</t>
        </is>
      </c>
      <c r="E18" s="20" t="inlineStr">
        <is>
          <t>Largest n such that every integer 1…n is exactly representable in IEEE single precision</t>
        </is>
      </c>
      <c r="F18" s="20" t="inlineStr">
        <is>
          <t>IEEE 754 representation — Ch3, sl. 9–16</t>
        </is>
      </c>
      <c r="G18" s="19" t="inlineStr">
        <is>
          <t>L21</t>
        </is>
      </c>
      <c r="H18" s="19" t="n">
        <v>14</v>
      </c>
      <c r="I18" s="19" t="inlineStr">
        <is>
          <t>25</t>
        </is>
      </c>
      <c r="J18" s="21" t="inlineStr">
        <is>
          <t>★★★ High</t>
        </is>
      </c>
      <c r="K18" s="19" t="inlineStr">
        <is>
          <t>Numerical</t>
        </is>
      </c>
      <c r="L18" s="22" t="inlineStr">
        <is>
          <t>✔ Solved</t>
        </is>
      </c>
      <c r="M18" s="20" t="inlineStr">
        <is>
          <t>—</t>
        </is>
      </c>
      <c r="N18" s="23" t="b">
        <v>0</v>
      </c>
      <c r="O18" s="19" t="n"/>
      <c r="P18" s="19" t="n"/>
      <c r="Q18" s="20" t="n"/>
    </row>
    <row r="19">
      <c r="A19" s="19" t="n">
        <v>16</v>
      </c>
      <c r="B19" s="19" t="inlineStr">
        <is>
          <t>2020-21</t>
        </is>
      </c>
      <c r="C19" s="19" t="inlineStr">
        <is>
          <t>CSE 305</t>
        </is>
      </c>
      <c r="D19" s="19" t="inlineStr">
        <is>
          <t>13(a)</t>
        </is>
      </c>
      <c r="E19" s="20" t="inlineStr">
        <is>
          <t>32-bit FP with 24-bit fraction: why bias, value of bias, smallest/largest absolute values, smallest denormal</t>
        </is>
      </c>
      <c r="F19" s="20" t="inlineStr">
        <is>
          <t>IEEE 754 representation — Ch3, sl. 9–16</t>
        </is>
      </c>
      <c r="G19" s="19" t="inlineStr">
        <is>
          <t>L21</t>
        </is>
      </c>
      <c r="H19" s="19" t="n">
        <v>16</v>
      </c>
      <c r="I19" s="19" t="inlineStr">
        <is>
          <t>35</t>
        </is>
      </c>
      <c r="J19" s="21" t="inlineStr">
        <is>
          <t>★★★ High</t>
        </is>
      </c>
      <c r="K19" s="19" t="inlineStr">
        <is>
          <t>Numerical</t>
        </is>
      </c>
      <c r="L19" s="22" t="inlineStr">
        <is>
          <t>✔ Solved</t>
        </is>
      </c>
      <c r="M19" s="20" t="inlineStr">
        <is>
          <t>2022-23 8(b) (CSE 305); 2019-20 4(a); 2018-19 5(b)</t>
        </is>
      </c>
      <c r="N19" s="23" t="b">
        <v>0</v>
      </c>
      <c r="O19" s="19" t="n"/>
      <c r="P19" s="19" t="n"/>
      <c r="Q19" s="20" t="n"/>
    </row>
    <row r="20">
      <c r="A20" s="19" t="n">
        <v>17</v>
      </c>
      <c r="B20" s="19" t="inlineStr">
        <is>
          <t>2019-20</t>
        </is>
      </c>
      <c r="C20" s="19" t="inlineStr">
        <is>
          <t>CSE 305</t>
        </is>
      </c>
      <c r="D20" s="19" t="inlineStr">
        <is>
          <t>4(a)</t>
        </is>
      </c>
      <c r="E20" s="20" t="inlineStr">
        <is>
          <t>16-bit FP, largest 1.11…×2^63, smallest 1.00…×2^−62: format; −110.11₂×2¹; smallest denormal</t>
        </is>
      </c>
      <c r="F20" s="20" t="inlineStr">
        <is>
          <t>IEEE 754 representation — Ch3, sl. 9–16</t>
        </is>
      </c>
      <c r="G20" s="19" t="inlineStr">
        <is>
          <t>L21</t>
        </is>
      </c>
      <c r="H20" s="19" t="n">
        <v>15</v>
      </c>
      <c r="I20" s="19" t="inlineStr">
        <is>
          <t>38</t>
        </is>
      </c>
      <c r="J20" s="21" t="inlineStr">
        <is>
          <t>★★★ High</t>
        </is>
      </c>
      <c r="K20" s="19" t="inlineStr">
        <is>
          <t>Numerical</t>
        </is>
      </c>
      <c r="L20" s="22" t="inlineStr">
        <is>
          <t>✔ Solved</t>
        </is>
      </c>
      <c r="M20" s="20" t="inlineStr">
        <is>
          <t>2022-23 8(b) (CSE 305); 2020-21 13(a); 2018-19 5(b)</t>
        </is>
      </c>
      <c r="N20" s="23" t="b">
        <v>0</v>
      </c>
      <c r="O20" s="19" t="n"/>
      <c r="P20" s="19" t="n"/>
      <c r="Q20" s="20" t="n"/>
    </row>
    <row r="21">
      <c r="A21" s="19" t="n">
        <v>18</v>
      </c>
      <c r="B21" s="19" t="inlineStr">
        <is>
          <t>2018-19</t>
        </is>
      </c>
      <c r="C21" s="19" t="inlineStr">
        <is>
          <t>CSE 305</t>
        </is>
      </c>
      <c r="D21" s="19" t="inlineStr">
        <is>
          <t>5(b)</t>
        </is>
      </c>
      <c r="E21" s="20" t="inlineStr">
        <is>
          <t>16-bit FP with 4-bit exponent: represent −1.25 and 0.375</t>
        </is>
      </c>
      <c r="F21" s="20" t="inlineStr">
        <is>
          <t>IEEE 754 representation — Ch3, sl. 9–16</t>
        </is>
      </c>
      <c r="G21" s="19" t="inlineStr">
        <is>
          <t>L21</t>
        </is>
      </c>
      <c r="H21" s="19" t="n">
        <v>8</v>
      </c>
      <c r="I21" s="19" t="inlineStr">
        <is>
          <t>44</t>
        </is>
      </c>
      <c r="J21" s="25" t="inlineStr">
        <is>
          <t>★★ Medium</t>
        </is>
      </c>
      <c r="K21" s="19" t="inlineStr">
        <is>
          <t>Numerical</t>
        </is>
      </c>
      <c r="L21" s="22" t="inlineStr">
        <is>
          <t>✔ Solved</t>
        </is>
      </c>
      <c r="M21" s="20" t="inlineStr">
        <is>
          <t>2022-23 8(b) (CSE 305); 2020-21 13(a); 2019-20 4(a)</t>
        </is>
      </c>
      <c r="N21" s="23" t="b">
        <v>0</v>
      </c>
      <c r="O21" s="19" t="n"/>
      <c r="P21" s="19" t="n"/>
      <c r="Q21" s="20" t="n"/>
    </row>
    <row r="22">
      <c r="A22" s="19" t="n">
        <v>19</v>
      </c>
      <c r="B22" s="19" t="inlineStr">
        <is>
          <t>2018-19</t>
        </is>
      </c>
      <c r="C22" s="19" t="inlineStr">
        <is>
          <t>CSE 305</t>
        </is>
      </c>
      <c r="D22" s="19" t="inlineStr">
        <is>
          <t>5(c)</t>
        </is>
      </c>
      <c r="E22" s="20" t="inlineStr">
        <is>
          <t>Decimal value of IEEE single 0xDF807500</t>
        </is>
      </c>
      <c r="F22" s="20" t="inlineStr">
        <is>
          <t>IEEE 754 representation — Ch3, sl. 9–16</t>
        </is>
      </c>
      <c r="G22" s="19" t="inlineStr">
        <is>
          <t>L21</t>
        </is>
      </c>
      <c r="H22" s="19" t="n">
        <v>5</v>
      </c>
      <c r="I22" s="19" t="inlineStr">
        <is>
          <t>44</t>
        </is>
      </c>
      <c r="J22" s="25" t="inlineStr">
        <is>
          <t>★★ Medium</t>
        </is>
      </c>
      <c r="K22" s="19" t="inlineStr">
        <is>
          <t>Numerical</t>
        </is>
      </c>
      <c r="L22" s="22" t="inlineStr">
        <is>
          <t>✔ Solved</t>
        </is>
      </c>
      <c r="M22" s="20" t="inlineStr">
        <is>
          <t>2017-18 5(c)</t>
        </is>
      </c>
      <c r="N22" s="23" t="b">
        <v>0</v>
      </c>
      <c r="O22" s="19" t="n"/>
      <c r="P22" s="19" t="n"/>
      <c r="Q22" s="20" t="n"/>
    </row>
    <row r="23">
      <c r="A23" s="19" t="n">
        <v>20</v>
      </c>
      <c r="B23" s="19" t="inlineStr">
        <is>
          <t>2018-19</t>
        </is>
      </c>
      <c r="C23" s="19" t="inlineStr">
        <is>
          <t>CSE 305</t>
        </is>
      </c>
      <c r="D23" s="19" t="inlineStr">
        <is>
          <t>7(c)</t>
        </is>
      </c>
      <c r="E23" s="20" t="inlineStr">
        <is>
          <t>Use of bias in FP representation; encoding of infinity</t>
        </is>
      </c>
      <c r="F23" s="20" t="inlineStr">
        <is>
          <t>IEEE 754 representation — Ch3, sl. 9–16</t>
        </is>
      </c>
      <c r="G23" s="19" t="inlineStr">
        <is>
          <t>L21</t>
        </is>
      </c>
      <c r="H23" s="19" t="n">
        <v>5</v>
      </c>
      <c r="I23" s="19" t="inlineStr">
        <is>
          <t>46</t>
        </is>
      </c>
      <c r="J23" s="25" t="inlineStr">
        <is>
          <t>★★ Medium</t>
        </is>
      </c>
      <c r="K23" s="19" t="inlineStr">
        <is>
          <t>Theory</t>
        </is>
      </c>
      <c r="L23" s="22" t="inlineStr">
        <is>
          <t>✔ Solved</t>
        </is>
      </c>
      <c r="M23" s="20" t="inlineStr">
        <is>
          <t>2023-24 7(b); 2015-16 7(c); 2012-13 8(a)</t>
        </is>
      </c>
      <c r="N23" s="23" t="b">
        <v>0</v>
      </c>
      <c r="O23" s="19" t="n"/>
      <c r="P23" s="19" t="n"/>
      <c r="Q23" s="20" t="n"/>
    </row>
    <row r="24">
      <c r="A24" s="19" t="n">
        <v>21</v>
      </c>
      <c r="B24" s="19" t="inlineStr">
        <is>
          <t>2017-18</t>
        </is>
      </c>
      <c r="C24" s="19" t="inlineStr">
        <is>
          <t>CSE 305</t>
        </is>
      </c>
      <c r="D24" s="19" t="inlineStr">
        <is>
          <t>5(c)</t>
        </is>
      </c>
      <c r="E24" s="20" t="inlineStr">
        <is>
          <t>Decimal value of IEEE single 0x7F800005</t>
        </is>
      </c>
      <c r="F24" s="20" t="inlineStr">
        <is>
          <t>IEEE 754 representation — Ch3, sl. 9–16</t>
        </is>
      </c>
      <c r="G24" s="19" t="inlineStr">
        <is>
          <t>L21</t>
        </is>
      </c>
      <c r="H24" s="19" t="n">
        <v>5</v>
      </c>
      <c r="I24" s="19" t="inlineStr">
        <is>
          <t>52</t>
        </is>
      </c>
      <c r="J24" s="25" t="inlineStr">
        <is>
          <t>★★ Medium</t>
        </is>
      </c>
      <c r="K24" s="19" t="inlineStr">
        <is>
          <t>Numerical</t>
        </is>
      </c>
      <c r="L24" s="22" t="inlineStr">
        <is>
          <t>✔ Solved</t>
        </is>
      </c>
      <c r="M24" s="20" t="inlineStr">
        <is>
          <t>2018-19 5(c)</t>
        </is>
      </c>
      <c r="N24" s="23" t="b">
        <v>0</v>
      </c>
      <c r="O24" s="19" t="n"/>
      <c r="P24" s="19" t="n"/>
      <c r="Q24" s="20" t="n"/>
    </row>
    <row r="25">
      <c r="A25" s="19" t="n">
        <v>22</v>
      </c>
      <c r="B25" s="19" t="inlineStr">
        <is>
          <t>2015-16</t>
        </is>
      </c>
      <c r="C25" s="19" t="inlineStr">
        <is>
          <t>CSE 305</t>
        </is>
      </c>
      <c r="D25" s="19" t="inlineStr">
        <is>
          <t>7(c)</t>
        </is>
      </c>
      <c r="E25" s="20" t="inlineStr">
        <is>
          <t>Use of bias in FP representation; encoding of infinity</t>
        </is>
      </c>
      <c r="F25" s="20" t="inlineStr">
        <is>
          <t>IEEE 754 representation — Ch3, sl. 9–16</t>
        </is>
      </c>
      <c r="G25" s="19" t="inlineStr">
        <is>
          <t>L21</t>
        </is>
      </c>
      <c r="H25" s="19" t="n">
        <v>10</v>
      </c>
      <c r="I25" s="19" t="inlineStr">
        <is>
          <t>66</t>
        </is>
      </c>
      <c r="J25" s="25" t="inlineStr">
        <is>
          <t>★★ Medium</t>
        </is>
      </c>
      <c r="K25" s="19" t="inlineStr">
        <is>
          <t>Theory</t>
        </is>
      </c>
      <c r="L25" s="22" t="inlineStr">
        <is>
          <t>✔ Solved</t>
        </is>
      </c>
      <c r="M25" s="20" t="inlineStr">
        <is>
          <t>2023-24 7(b); 2018-19 7(c); 2012-13 8(a)</t>
        </is>
      </c>
      <c r="N25" s="23" t="b">
        <v>0</v>
      </c>
      <c r="O25" s="19" t="n"/>
      <c r="P25" s="19" t="n"/>
      <c r="Q25" s="20" t="n"/>
    </row>
    <row r="26">
      <c r="A26" s="19" t="n">
        <v>23</v>
      </c>
      <c r="B26" s="19" t="inlineStr">
        <is>
          <t>2013-14</t>
        </is>
      </c>
      <c r="C26" s="19" t="inlineStr">
        <is>
          <t>CSE 305</t>
        </is>
      </c>
      <c r="D26" s="19" t="inlineStr">
        <is>
          <t>3(b)</t>
        </is>
      </c>
      <c r="E26" s="20" t="inlineStr">
        <is>
          <t>IEEE 754 single-precision representation of −0.75</t>
        </is>
      </c>
      <c r="F26" s="20" t="inlineStr">
        <is>
          <t>IEEE 754 representation — Ch3, sl. 9–16</t>
        </is>
      </c>
      <c r="G26" s="19" t="inlineStr">
        <is>
          <t>L21</t>
        </is>
      </c>
      <c r="H26" s="19" t="n">
        <v>10</v>
      </c>
      <c r="I26" s="19" t="inlineStr">
        <is>
          <t>74</t>
        </is>
      </c>
      <c r="J26" s="22" t="inlineStr">
        <is>
          <t>★ Low</t>
        </is>
      </c>
      <c r="K26" s="19" t="inlineStr">
        <is>
          <t>Numerical</t>
        </is>
      </c>
      <c r="L26" s="22" t="inlineStr">
        <is>
          <t>✔ Solved</t>
        </is>
      </c>
      <c r="M26" s="20" t="inlineStr">
        <is>
          <t>—</t>
        </is>
      </c>
      <c r="N26" s="23" t="b">
        <v>0</v>
      </c>
      <c r="O26" s="19" t="n"/>
      <c r="P26" s="19" t="n"/>
      <c r="Q26" s="20" t="n"/>
    </row>
    <row r="27">
      <c r="A27" s="19" t="n">
        <v>24</v>
      </c>
      <c r="B27" s="19" t="inlineStr">
        <is>
          <t>2012-13</t>
        </is>
      </c>
      <c r="C27" s="19" t="inlineStr">
        <is>
          <t>CSE 305</t>
        </is>
      </c>
      <c r="D27" s="19" t="inlineStr">
        <is>
          <t>8(a)</t>
        </is>
      </c>
      <c r="E27" s="20" t="inlineStr">
        <is>
          <t>Purpose of biased notation for FP exponents</t>
        </is>
      </c>
      <c r="F27" s="20" t="inlineStr">
        <is>
          <t>IEEE 754 representation — Ch3, sl. 9–16</t>
        </is>
      </c>
      <c r="G27" s="19" t="inlineStr">
        <is>
          <t>L21</t>
        </is>
      </c>
      <c r="H27" s="19" t="n">
        <v>5</v>
      </c>
      <c r="I27" s="19" t="inlineStr">
        <is>
          <t>81</t>
        </is>
      </c>
      <c r="J27" s="25" t="inlineStr">
        <is>
          <t>★★ Medium</t>
        </is>
      </c>
      <c r="K27" s="19" t="inlineStr">
        <is>
          <t>Theory</t>
        </is>
      </c>
      <c r="L27" s="22" t="inlineStr">
        <is>
          <t>✔ Solved</t>
        </is>
      </c>
      <c r="M27" s="20" t="inlineStr">
        <is>
          <t>2023-24 7(b); 2018-19 7(c); 2015-16 7(c)</t>
        </is>
      </c>
      <c r="N27" s="23" t="b">
        <v>0</v>
      </c>
      <c r="O27" s="19" t="n"/>
      <c r="P27" s="19" t="n"/>
      <c r="Q27" s="20" t="n"/>
    </row>
    <row r="28">
      <c r="A28" s="24" t="n">
        <v>25</v>
      </c>
      <c r="B28" s="24" t="inlineStr">
        <is>
          <t>2022-23</t>
        </is>
      </c>
      <c r="C28" s="24" t="inlineStr">
        <is>
          <t>CSE 209</t>
        </is>
      </c>
      <c r="D28" s="24" t="inlineStr">
        <is>
          <t>1(a)</t>
        </is>
      </c>
      <c r="E28" s="6" t="inlineStr">
        <is>
          <t>Flowchart of floating-point addition; conditions for overflow, underflow, NaN and infinity</t>
        </is>
      </c>
      <c r="F28" s="6" t="inlineStr">
        <is>
          <t>FP addition, FP adder — Ch3, sl. 17–20</t>
        </is>
      </c>
      <c r="G28" s="24" t="inlineStr">
        <is>
          <t>L22</t>
        </is>
      </c>
      <c r="H28" s="24" t="n">
        <v>10</v>
      </c>
      <c r="I28" s="24" t="inlineStr">
        <is>
          <t>8</t>
        </is>
      </c>
      <c r="J28" s="21" t="inlineStr">
        <is>
          <t>★★★ High</t>
        </is>
      </c>
      <c r="K28" s="24" t="inlineStr">
        <is>
          <t>Theory</t>
        </is>
      </c>
      <c r="L28" s="22" t="inlineStr">
        <is>
          <t>✔ Solved</t>
        </is>
      </c>
      <c r="M28" s="6" t="inlineStr">
        <is>
          <t>2018-19 8(b); 2017-18 5(b); 2016-17 7(b); 2015-16 6(a); 2013-14 3(a); 2011-12 5(a)</t>
        </is>
      </c>
      <c r="N28" s="23" t="b">
        <v>0</v>
      </c>
      <c r="O28" s="24" t="n"/>
      <c r="P28" s="24" t="n"/>
      <c r="Q28" s="6" t="n"/>
    </row>
    <row r="29">
      <c r="A29" s="24" t="n">
        <v>26</v>
      </c>
      <c r="B29" s="24" t="inlineStr">
        <is>
          <t>2018-19</t>
        </is>
      </c>
      <c r="C29" s="24" t="inlineStr">
        <is>
          <t>CSE 305</t>
        </is>
      </c>
      <c r="D29" s="24" t="inlineStr">
        <is>
          <t>8(b)</t>
        </is>
      </c>
      <c r="E29" s="6" t="inlineStr">
        <is>
          <t>Steps of FP addition with an example; overflow/underflow conditions</t>
        </is>
      </c>
      <c r="F29" s="6" t="inlineStr">
        <is>
          <t>FP addition, FP adder — Ch3, sl. 17–20</t>
        </is>
      </c>
      <c r="G29" s="24" t="inlineStr">
        <is>
          <t>L22</t>
        </is>
      </c>
      <c r="H29" s="24" t="n">
        <v>10</v>
      </c>
      <c r="I29" s="24" t="inlineStr">
        <is>
          <t>46</t>
        </is>
      </c>
      <c r="J29" s="25" t="inlineStr">
        <is>
          <t>★★ Medium</t>
        </is>
      </c>
      <c r="K29" s="24" t="inlineStr">
        <is>
          <t>Theory</t>
        </is>
      </c>
      <c r="L29" s="22" t="inlineStr">
        <is>
          <t>✔ Solved</t>
        </is>
      </c>
      <c r="M29" s="6" t="inlineStr">
        <is>
          <t>2022-23 1(a) (CSE 209); 2017-18 5(b); 2016-17 7(b); 2015-16 6(a); 2013-14 3(a); 2011-12 5(a)</t>
        </is>
      </c>
      <c r="N29" s="23" t="b">
        <v>0</v>
      </c>
      <c r="O29" s="24" t="n"/>
      <c r="P29" s="24" t="n"/>
      <c r="Q29" s="6" t="n"/>
    </row>
    <row r="30">
      <c r="A30" s="24" t="n">
        <v>27</v>
      </c>
      <c r="B30" s="24" t="inlineStr">
        <is>
          <t>2017-18</t>
        </is>
      </c>
      <c r="C30" s="24" t="inlineStr">
        <is>
          <t>CSE 305</t>
        </is>
      </c>
      <c r="D30" s="24" t="inlineStr">
        <is>
          <t>5(b)</t>
        </is>
      </c>
      <c r="E30" s="6" t="inlineStr">
        <is>
          <t>16-bit half precision (4-bit exponent): convert 0.75 and 1.25 and add step by step</t>
        </is>
      </c>
      <c r="F30" s="6" t="inlineStr">
        <is>
          <t>FP addition, FP adder — Ch3, sl. 17–20</t>
        </is>
      </c>
      <c r="G30" s="24" t="inlineStr">
        <is>
          <t>L22</t>
        </is>
      </c>
      <c r="H30" s="24" t="n">
        <v>15</v>
      </c>
      <c r="I30" s="24" t="inlineStr">
        <is>
          <t>52</t>
        </is>
      </c>
      <c r="J30" s="25" t="inlineStr">
        <is>
          <t>★★ Medium</t>
        </is>
      </c>
      <c r="K30" s="24" t="inlineStr">
        <is>
          <t>Trace</t>
        </is>
      </c>
      <c r="L30" s="22" t="inlineStr">
        <is>
          <t>✔ Solved</t>
        </is>
      </c>
      <c r="M30" s="6" t="inlineStr">
        <is>
          <t>2022-23 1(a) (CSE 209); 2018-19 8(b); 2016-17 7(b); 2015-16 6(a); 2013-14 3(a); 2011-12 5(a)</t>
        </is>
      </c>
      <c r="N30" s="23" t="b">
        <v>0</v>
      </c>
      <c r="O30" s="24" t="n"/>
      <c r="P30" s="24" t="n"/>
      <c r="Q30" s="6" t="n"/>
    </row>
    <row r="31">
      <c r="A31" s="24" t="n">
        <v>28</v>
      </c>
      <c r="B31" s="24" t="inlineStr">
        <is>
          <t>2016-17</t>
        </is>
      </c>
      <c r="C31" s="24" t="inlineStr">
        <is>
          <t>CSE 305</t>
        </is>
      </c>
      <c r="D31" s="24" t="inlineStr">
        <is>
          <t>7(b)</t>
        </is>
      </c>
      <c r="E31" s="6" t="inlineStr">
        <is>
          <t>Simulate FP addition −0.25 + 0.625 on the FP adder hardware (fill the tables)</t>
        </is>
      </c>
      <c r="F31" s="6" t="inlineStr">
        <is>
          <t>FP addition, FP adder — Ch3, sl. 17–20</t>
        </is>
      </c>
      <c r="G31" s="24" t="inlineStr">
        <is>
          <t>L22</t>
        </is>
      </c>
      <c r="H31" s="24" t="n">
        <v>15</v>
      </c>
      <c r="I31" s="24" t="inlineStr">
        <is>
          <t>59</t>
        </is>
      </c>
      <c r="J31" s="25" t="inlineStr">
        <is>
          <t>★★ Medium</t>
        </is>
      </c>
      <c r="K31" s="24" t="inlineStr">
        <is>
          <t>Trace</t>
        </is>
      </c>
      <c r="L31" s="22" t="inlineStr">
        <is>
          <t>✔ Solved</t>
        </is>
      </c>
      <c r="M31" s="6" t="inlineStr">
        <is>
          <t>2022-23 1(a) (CSE 209); 2018-19 8(b); 2017-18 5(b); 2015-16 6(a); 2013-14 3(a); 2011-12 5(a)</t>
        </is>
      </c>
      <c r="N31" s="23" t="b">
        <v>0</v>
      </c>
      <c r="O31" s="24" t="n"/>
      <c r="P31" s="24" t="n"/>
      <c r="Q31" s="6" t="n"/>
    </row>
    <row r="32">
      <c r="A32" s="24" t="n">
        <v>29</v>
      </c>
      <c r="B32" s="24" t="inlineStr">
        <is>
          <t>2015-16</t>
        </is>
      </c>
      <c r="C32" s="24" t="inlineStr">
        <is>
          <t>CSE 305</t>
        </is>
      </c>
      <c r="D32" s="24" t="inlineStr">
        <is>
          <t>6(a)</t>
        </is>
      </c>
      <c r="E32" s="6" t="inlineStr">
        <is>
          <t>Steps of floating-point addition with an example</t>
        </is>
      </c>
      <c r="F32" s="6" t="inlineStr">
        <is>
          <t>FP addition, FP adder — Ch3, sl. 17–20</t>
        </is>
      </c>
      <c r="G32" s="24" t="inlineStr">
        <is>
          <t>L22</t>
        </is>
      </c>
      <c r="H32" s="24" t="n">
        <v>12</v>
      </c>
      <c r="I32" s="24" t="inlineStr">
        <is>
          <t>66</t>
        </is>
      </c>
      <c r="J32" s="25" t="inlineStr">
        <is>
          <t>★★ Medium</t>
        </is>
      </c>
      <c r="K32" s="24" t="inlineStr">
        <is>
          <t>Theory</t>
        </is>
      </c>
      <c r="L32" s="22" t="inlineStr">
        <is>
          <t>✔ Solved</t>
        </is>
      </c>
      <c r="M32" s="6" t="inlineStr">
        <is>
          <t>2022-23 1(a) (CSE 209); 2018-19 8(b); 2017-18 5(b); 2016-17 7(b); 2013-14 3(a); 2011-12 5(a)</t>
        </is>
      </c>
      <c r="N32" s="23" t="b">
        <v>0</v>
      </c>
      <c r="O32" s="24" t="n"/>
      <c r="P32" s="24" t="n"/>
      <c r="Q32" s="6" t="n"/>
    </row>
    <row r="33">
      <c r="A33" s="24" t="n">
        <v>30</v>
      </c>
      <c r="B33" s="24" t="inlineStr">
        <is>
          <t>2013-14</t>
        </is>
      </c>
      <c r="C33" s="24" t="inlineStr">
        <is>
          <t>CSE 305</t>
        </is>
      </c>
      <c r="D33" s="24" t="inlineStr">
        <is>
          <t>3(a)</t>
        </is>
      </c>
      <c r="E33" s="6" t="inlineStr">
        <is>
          <t>Steps for adding two binary floating-point numbers</t>
        </is>
      </c>
      <c r="F33" s="6" t="inlineStr">
        <is>
          <t>FP addition, FP adder — Ch3, sl. 17–20</t>
        </is>
      </c>
      <c r="G33" s="24" t="inlineStr">
        <is>
          <t>L22</t>
        </is>
      </c>
      <c r="H33" s="24" t="n">
        <v>10</v>
      </c>
      <c r="I33" s="24" t="inlineStr">
        <is>
          <t>74</t>
        </is>
      </c>
      <c r="J33" s="25" t="inlineStr">
        <is>
          <t>★★ Medium</t>
        </is>
      </c>
      <c r="K33" s="24" t="inlineStr">
        <is>
          <t>Theory</t>
        </is>
      </c>
      <c r="L33" s="22" t="inlineStr">
        <is>
          <t>✔ Solved</t>
        </is>
      </c>
      <c r="M33" s="6" t="inlineStr">
        <is>
          <t>2022-23 1(a) (CSE 209); 2018-19 8(b); 2017-18 5(b); 2016-17 7(b); 2015-16 6(a); 2011-12 5(a)</t>
        </is>
      </c>
      <c r="N33" s="23" t="b">
        <v>0</v>
      </c>
      <c r="O33" s="24" t="n"/>
      <c r="P33" s="24" t="n"/>
      <c r="Q33" s="6" t="n"/>
    </row>
    <row r="34">
      <c r="A34" s="24" t="n">
        <v>31</v>
      </c>
      <c r="B34" s="24" t="inlineStr">
        <is>
          <t>2011-12</t>
        </is>
      </c>
      <c r="C34" s="24" t="inlineStr">
        <is>
          <t>CSE 305</t>
        </is>
      </c>
      <c r="D34" s="24" t="inlineStr">
        <is>
          <t>5(a)</t>
        </is>
      </c>
      <c r="E34" s="6" t="inlineStr">
        <is>
          <t>Flow diagram of FP addition; overflow/underflow conditions</t>
        </is>
      </c>
      <c r="F34" s="6" t="inlineStr">
        <is>
          <t>FP addition, FP adder — Ch3, sl. 17–20</t>
        </is>
      </c>
      <c r="G34" s="24" t="inlineStr">
        <is>
          <t>L22</t>
        </is>
      </c>
      <c r="H34" s="24" t="n">
        <v>10</v>
      </c>
      <c r="I34" s="24" t="inlineStr">
        <is>
          <t>86</t>
        </is>
      </c>
      <c r="J34" s="25" t="inlineStr">
        <is>
          <t>★★ Medium</t>
        </is>
      </c>
      <c r="K34" s="24" t="inlineStr">
        <is>
          <t>Theory</t>
        </is>
      </c>
      <c r="L34" s="22" t="inlineStr">
        <is>
          <t>✔ Solved</t>
        </is>
      </c>
      <c r="M34" s="6" t="inlineStr">
        <is>
          <t>2022-23 1(a) (CSE 209); 2018-19 8(b); 2017-18 5(b); 2016-17 7(b); 2015-16 6(a); 2013-14 3(a)</t>
        </is>
      </c>
      <c r="N34" s="23" t="b">
        <v>0</v>
      </c>
      <c r="O34" s="24" t="n"/>
      <c r="P34" s="24" t="n"/>
      <c r="Q34" s="6" t="n"/>
    </row>
  </sheetData>
  <autoFilter ref="A3:Q34"/>
  <conditionalFormatting sqref="A4:Q34">
    <cfRule type="expression" priority="1" dxfId="0">
      <formula>$N4=TRUE</formula>
    </cfRule>
  </conditionalFormatting>
  <conditionalFormatting sqref="O4:O34">
    <cfRule type="cellIs" priority="2" operator="equal" dxfId="1">
      <formula>"Weak"</formula>
    </cfRule>
    <cfRule type="cellIs" priority="3" operator="equal" dxfId="2">
      <formula>"Strong"</formula>
    </cfRule>
  </conditionalFormatting>
  <dataValidations count="2">
    <dataValidation sqref="N4:N34" showDropDown="0" showInputMessage="0" showErrorMessage="0" allowBlank="1" type="list">
      <formula1>"TRUE,FALSE"</formula1>
    </dataValidation>
    <dataValidation sqref="O4:O34" showDropDown="0" showInputMessage="0" showErrorMessage="0" allowBlank="1" type="list">
      <formula1>"Weak,OK,Strong"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10" customWidth="1" min="4" max="4"/>
    <col width="58" customWidth="1" min="5" max="5"/>
    <col width="34" customWidth="1" min="6" max="6"/>
    <col width="7" customWidth="1" min="7" max="7"/>
    <col width="8" customWidth="1" min="8" max="8"/>
    <col width="7" customWidth="1" min="9" max="9"/>
    <col width="32" customWidth="1" min="10" max="10"/>
  </cols>
  <sheetData>
    <row r="1">
      <c r="A1" s="18" t="inlineStr">
        <is>
          <t>ART-section questions on topics NOT in the current slides</t>
        </is>
      </c>
    </row>
    <row r="2">
      <c r="A2" s="2" t="inlineStr">
        <is>
          <t>Mostly older papers. Ask sir/ma'am whether these topics are in this term's syllabus before practising them.</t>
        </is>
      </c>
    </row>
    <row r="3">
      <c r="A3" s="7" t="inlineStr">
        <is>
          <t>Q No.</t>
        </is>
      </c>
      <c r="B3" s="7" t="inlineStr">
        <is>
          <t>Year</t>
        </is>
      </c>
      <c r="C3" s="7" t="inlineStr">
        <is>
          <t>Course</t>
        </is>
      </c>
      <c r="D3" s="7" t="inlineStr">
        <is>
          <t>Ques No.</t>
        </is>
      </c>
      <c r="E3" s="7" t="inlineStr">
        <is>
          <t>Short Question</t>
        </is>
      </c>
      <c r="F3" s="7" t="inlineStr">
        <is>
          <t>Topic Area</t>
        </is>
      </c>
      <c r="G3" s="7" t="inlineStr">
        <is>
          <t>Marks</t>
        </is>
      </c>
      <c r="H3" s="7" t="inlineStr">
        <is>
          <t>TF Page</t>
        </is>
      </c>
      <c r="I3" s="7" t="inlineStr">
        <is>
          <t>Done</t>
        </is>
      </c>
      <c r="J3" s="7" t="inlineStr">
        <is>
          <t>My Notes</t>
        </is>
      </c>
    </row>
    <row r="4">
      <c r="A4" s="24" t="n">
        <v>1</v>
      </c>
      <c r="B4" s="24" t="inlineStr">
        <is>
          <t>2022-23</t>
        </is>
      </c>
      <c r="C4" s="24" t="inlineStr">
        <is>
          <t>CSE 209</t>
        </is>
      </c>
      <c r="D4" s="24" t="inlineStr">
        <is>
          <t>1(b)</t>
        </is>
      </c>
      <c r="E4" s="6" t="inlineStr">
        <is>
          <t>6-bit ALU division: dividend 1011 1100 1111, divisor 110101 — registers at each step</t>
        </is>
      </c>
      <c r="F4" s="6" t="inlineStr">
        <is>
          <t>Integer division (textbook §3.4, not in short slides) — solved in Ch3 notes L23</t>
        </is>
      </c>
      <c r="G4" s="24" t="n">
        <v>10</v>
      </c>
      <c r="H4" s="24" t="inlineStr">
        <is>
          <t>8</t>
        </is>
      </c>
      <c r="I4" s="23" t="b">
        <v>0</v>
      </c>
      <c r="J4" s="6" t="n"/>
    </row>
    <row r="5">
      <c r="A5" s="24" t="n">
        <v>2</v>
      </c>
      <c r="B5" s="24" t="inlineStr">
        <is>
          <t>2022-23</t>
        </is>
      </c>
      <c r="C5" s="24" t="inlineStr">
        <is>
          <t>CSE 305</t>
        </is>
      </c>
      <c r="D5" s="24" t="inlineStr">
        <is>
          <t>8(a)</t>
        </is>
      </c>
      <c r="E5" s="6" t="inlineStr">
        <is>
          <t>MIPS FP code: float a,b,c; double w,x,y,z; if (a+b&gt;c) x = (y*z)/w;</t>
        </is>
      </c>
      <c r="F5" s="6" t="inlineStr">
        <is>
          <t>MIPS floating-point instructions (textbook §3.5) — solved in Ch3 notes L23</t>
        </is>
      </c>
      <c r="G5" s="24" t="n">
        <v>7</v>
      </c>
      <c r="H5" s="24" t="inlineStr">
        <is>
          <t>19</t>
        </is>
      </c>
      <c r="I5" s="23" t="b">
        <v>0</v>
      </c>
      <c r="J5" s="6" t="n"/>
    </row>
    <row r="6">
      <c r="A6" s="24" t="n">
        <v>3</v>
      </c>
      <c r="B6" s="24" t="inlineStr">
        <is>
          <t>2021-22</t>
        </is>
      </c>
      <c r="C6" s="24" t="inlineStr">
        <is>
          <t>CSE 305</t>
        </is>
      </c>
      <c r="D6" s="24" t="inlineStr">
        <is>
          <t>5(c)</t>
        </is>
      </c>
      <c r="E6" s="6" t="inlineStr">
        <is>
          <t>How can subword parallelism accelerate matrix multiplication / image processing?</t>
        </is>
      </c>
      <c r="F6" s="6" t="inlineStr">
        <is>
          <t>Subword parallelism (textbook §3.6) — short answer in Ch3 notes L23</t>
        </is>
      </c>
      <c r="G6" s="24" t="n">
        <v>10</v>
      </c>
      <c r="H6" s="24" t="inlineStr">
        <is>
          <t>24</t>
        </is>
      </c>
      <c r="I6" s="23" t="b">
        <v>0</v>
      </c>
      <c r="J6" s="6" t="n"/>
    </row>
    <row r="7">
      <c r="A7" s="24" t="n">
        <v>4</v>
      </c>
      <c r="B7" s="24" t="inlineStr">
        <is>
          <t>2020-21</t>
        </is>
      </c>
      <c r="C7" s="24" t="inlineStr">
        <is>
          <t>CSE 305</t>
        </is>
      </c>
      <c r="D7" s="24" t="inlineStr">
        <is>
          <t>10(c)</t>
        </is>
      </c>
      <c r="E7" s="6" t="inlineStr">
        <is>
          <t>Briefly describe how to perform a signed multiplication</t>
        </is>
      </c>
      <c r="F7" s="6" t="inlineStr">
        <is>
          <t>Signed multiplication (textbook §3.3) — answer in Ch3 notes L23</t>
        </is>
      </c>
      <c r="G7" s="24" t="n">
        <v>5</v>
      </c>
      <c r="H7" s="24" t="inlineStr">
        <is>
          <t>31</t>
        </is>
      </c>
      <c r="I7" s="23" t="b">
        <v>0</v>
      </c>
      <c r="J7" s="6" t="n"/>
    </row>
    <row r="8">
      <c r="A8" s="24" t="n">
        <v>5</v>
      </c>
      <c r="B8" s="24" t="inlineStr">
        <is>
          <t>2020-21</t>
        </is>
      </c>
      <c r="C8" s="24" t="inlineStr">
        <is>
          <t>CSE 305</t>
        </is>
      </c>
      <c r="D8" s="24" t="inlineStr">
        <is>
          <t>11(a)</t>
        </is>
      </c>
      <c r="E8" s="6" t="inlineStr">
        <is>
          <t>SPECBM101: geometric mean 28.74 — find the execution time of Program 1</t>
        </is>
      </c>
      <c r="F8" s="6" t="inlineStr">
        <is>
          <t>SPEC benchmark / geometric mean (textbook §1.10) — method in Ch1 notes L4</t>
        </is>
      </c>
      <c r="G8" s="24" t="n">
        <v>10</v>
      </c>
      <c r="H8" s="24" t="inlineStr">
        <is>
          <t>32</t>
        </is>
      </c>
      <c r="I8" s="23" t="b">
        <v>0</v>
      </c>
      <c r="J8" s="6" t="n"/>
    </row>
    <row r="9">
      <c r="A9" s="24" t="n">
        <v>6</v>
      </c>
      <c r="B9" s="24" t="inlineStr">
        <is>
          <t>2020-21</t>
        </is>
      </c>
      <c r="C9" s="24" t="inlineStr">
        <is>
          <t>CSE 305</t>
        </is>
      </c>
      <c r="D9" s="24" t="inlineStr">
        <is>
          <t>11(b)</t>
        </is>
      </c>
      <c r="E9" s="6" t="inlineStr">
        <is>
          <t>Processor unit with scratchpad memory: micro-operations for an addition; how to make it one</t>
        </is>
      </c>
      <c r="F9" s="6" t="inlineStr">
        <is>
          <t>Processor unit with scratchpad (Mano §9.2 — before the ALU deck's §9.3)</t>
        </is>
      </c>
      <c r="G9" s="24" t="n">
        <v>8</v>
      </c>
      <c r="H9" s="24" t="inlineStr">
        <is>
          <t>32</t>
        </is>
      </c>
      <c r="I9" s="23" t="b">
        <v>0</v>
      </c>
      <c r="J9" s="6" t="n"/>
    </row>
    <row r="10">
      <c r="A10" s="24" t="n">
        <v>7</v>
      </c>
      <c r="B10" s="24" t="inlineStr">
        <is>
          <t>2020-21</t>
        </is>
      </c>
      <c r="C10" s="24" t="inlineStr">
        <is>
          <t>CSE 305</t>
        </is>
      </c>
      <c r="D10" s="24" t="inlineStr">
        <is>
          <t>12(c)</t>
        </is>
      </c>
      <c r="E10" s="6" t="inlineStr">
        <is>
          <t>Importance of guard digit, round digit and sticky bit when rounding</t>
        </is>
      </c>
      <c r="F10" s="6" t="inlineStr">
        <is>
          <t>FP rounding: guard/round/sticky (textbook §3.5) — answer in Ch3 notes L23</t>
        </is>
      </c>
      <c r="G10" s="24" t="n">
        <v>9</v>
      </c>
      <c r="H10" s="24" t="inlineStr">
        <is>
          <t>34</t>
        </is>
      </c>
      <c r="I10" s="23" t="b">
        <v>0</v>
      </c>
      <c r="J10" s="6" t="n"/>
    </row>
    <row r="11">
      <c r="A11" s="24" t="n">
        <v>8</v>
      </c>
      <c r="B11" s="24" t="inlineStr">
        <is>
          <t>2020-21</t>
        </is>
      </c>
      <c r="C11" s="24" t="inlineStr">
        <is>
          <t>CSE 305</t>
        </is>
      </c>
      <c r="D11" s="24" t="inlineStr">
        <is>
          <t>13(c)</t>
        </is>
      </c>
      <c r="E11" s="6" t="inlineStr">
        <is>
          <t>MIPS FP code: float a,b,c; double w,x,y,z; if (a+b&gt;c) x = (y*z)/w;</t>
        </is>
      </c>
      <c r="F11" s="6" t="inlineStr">
        <is>
          <t>MIPS floating-point instructions (textbook §3.5) — solved in Ch3 notes L23</t>
        </is>
      </c>
      <c r="G11" s="24" t="n">
        <v>7</v>
      </c>
      <c r="H11" s="24" t="inlineStr">
        <is>
          <t>35</t>
        </is>
      </c>
      <c r="I11" s="23" t="b">
        <v>0</v>
      </c>
      <c r="J11" s="6" t="n"/>
    </row>
    <row r="12">
      <c r="A12" s="24" t="n">
        <v>9</v>
      </c>
      <c r="B12" s="24" t="inlineStr">
        <is>
          <t>2019-20</t>
        </is>
      </c>
      <c r="C12" s="24" t="inlineStr">
        <is>
          <t>CSE 305</t>
        </is>
      </c>
      <c r="D12" s="24" t="inlineStr">
        <is>
          <t>4(c)</t>
        </is>
      </c>
      <c r="E12" s="6" t="inlineStr">
        <is>
          <t>MIPS FP code (double): if (a&gt;b) c = c−(c*e)/d; else c = c+d;</t>
        </is>
      </c>
      <c r="F12" s="6" t="inlineStr">
        <is>
          <t>MIPS floating-point instructions (textbook §3.5) — solved in Ch3 notes L23</t>
        </is>
      </c>
      <c r="G12" s="24" t="n">
        <v>8</v>
      </c>
      <c r="H12" s="24" t="inlineStr">
        <is>
          <t>38</t>
        </is>
      </c>
      <c r="I12" s="23" t="b">
        <v>0</v>
      </c>
      <c r="J12" s="6" t="n"/>
    </row>
    <row r="13">
      <c r="A13" s="24" t="n">
        <v>10</v>
      </c>
      <c r="B13" s="24" t="inlineStr">
        <is>
          <t>2018-19</t>
        </is>
      </c>
      <c r="C13" s="24" t="inlineStr">
        <is>
          <t>CSE 305</t>
        </is>
      </c>
      <c r="D13" s="24" t="inlineStr">
        <is>
          <t>6(b)</t>
        </is>
      </c>
      <c r="E13" s="6" t="inlineStr">
        <is>
          <t>4-bit ALU division: dividend 11001001, divisor 1011 — registers at each step</t>
        </is>
      </c>
      <c r="F13" s="6" t="inlineStr">
        <is>
          <t>Integer division (textbook §3.4, not in short slides) — solved in Ch3 notes L23</t>
        </is>
      </c>
      <c r="G13" s="24" t="n">
        <v>15</v>
      </c>
      <c r="H13" s="24" t="inlineStr">
        <is>
          <t>45</t>
        </is>
      </c>
      <c r="I13" s="23" t="b">
        <v>0</v>
      </c>
      <c r="J13" s="6" t="n"/>
    </row>
    <row r="14">
      <c r="A14" s="24" t="n">
        <v>11</v>
      </c>
      <c r="B14" s="24" t="inlineStr">
        <is>
          <t>2017-18</t>
        </is>
      </c>
      <c r="C14" s="24" t="inlineStr">
        <is>
          <t>CSE 305</t>
        </is>
      </c>
      <c r="D14" s="24" t="inlineStr">
        <is>
          <t>8(a)</t>
        </is>
      </c>
      <c r="E14" s="6" t="inlineStr">
        <is>
          <t>4-bit ALU division: dividend 11010101, divisor 1011 — registers at every step</t>
        </is>
      </c>
      <c r="F14" s="6" t="inlineStr">
        <is>
          <t>Integer division (textbook §3.4, not in short slides) — solved in Ch3 notes L23</t>
        </is>
      </c>
      <c r="G14" s="24" t="n">
        <v>15</v>
      </c>
      <c r="H14" s="24" t="inlineStr">
        <is>
          <t>53</t>
        </is>
      </c>
      <c r="I14" s="23" t="b">
        <v>0</v>
      </c>
      <c r="J14" s="6" t="n"/>
    </row>
    <row r="15">
      <c r="A15" s="24" t="n">
        <v>12</v>
      </c>
      <c r="B15" s="24" t="inlineStr">
        <is>
          <t>2017-18</t>
        </is>
      </c>
      <c r="C15" s="24" t="inlineStr">
        <is>
          <t>CSE 305</t>
        </is>
      </c>
      <c r="D15" s="24" t="inlineStr">
        <is>
          <t>8(b)</t>
        </is>
      </c>
      <c r="E15" s="6" t="inlineStr">
        <is>
          <t>MIPS FP code for float convert(float cels): ferh = 9.0*cels/5.0 + 32.0</t>
        </is>
      </c>
      <c r="F15" s="6" t="inlineStr">
        <is>
          <t>MIPS floating-point instructions (textbook §3.5) — solved in Ch3 notes L23</t>
        </is>
      </c>
      <c r="G15" s="24" t="n">
        <v>10</v>
      </c>
      <c r="H15" s="24" t="inlineStr">
        <is>
          <t>53</t>
        </is>
      </c>
      <c r="I15" s="23" t="b">
        <v>0</v>
      </c>
      <c r="J15" s="6" t="n"/>
    </row>
    <row r="16">
      <c r="A16" s="24" t="n">
        <v>13</v>
      </c>
      <c r="B16" s="24" t="inlineStr">
        <is>
          <t>2016-17</t>
        </is>
      </c>
      <c r="C16" s="24" t="inlineStr">
        <is>
          <t>CSE 305</t>
        </is>
      </c>
      <c r="D16" s="24" t="inlineStr">
        <is>
          <t>5(b)</t>
        </is>
      </c>
      <c r="E16" s="6" t="inlineStr">
        <is>
          <t>SPEC CINT2006 table (12 programs): SPEC ratios and overall SPEC ratio</t>
        </is>
      </c>
      <c r="F16" s="6" t="inlineStr">
        <is>
          <t>SPEC benchmark / geometric mean (textbook §1.10) — method in Ch1 notes L4</t>
        </is>
      </c>
      <c r="G16" s="24" t="n">
        <v>10</v>
      </c>
      <c r="H16" s="24" t="inlineStr">
        <is>
          <t>57</t>
        </is>
      </c>
      <c r="I16" s="23" t="b">
        <v>0</v>
      </c>
      <c r="J16" s="6" t="n"/>
    </row>
    <row r="17">
      <c r="A17" s="24" t="n">
        <v>14</v>
      </c>
      <c r="B17" s="24" t="inlineStr">
        <is>
          <t>2016-17</t>
        </is>
      </c>
      <c r="C17" s="24" t="inlineStr">
        <is>
          <t>CSE 305</t>
        </is>
      </c>
      <c r="D17" s="24" t="inlineStr">
        <is>
          <t>8(b)</t>
        </is>
      </c>
      <c r="E17" s="6" t="inlineStr">
        <is>
          <t>Redesign a single-bus computer so devices of different speeds can share the bus</t>
        </is>
      </c>
      <c r="F17" s="6" t="inlineStr">
        <is>
          <t>Buses / I/O (not in either teacher's slides)</t>
        </is>
      </c>
      <c r="G17" s="24" t="n">
        <v>10</v>
      </c>
      <c r="H17" s="24" t="inlineStr">
        <is>
          <t>61</t>
        </is>
      </c>
      <c r="I17" s="23" t="b">
        <v>0</v>
      </c>
      <c r="J17" s="6" t="n"/>
    </row>
    <row r="18">
      <c r="A18" s="24" t="n">
        <v>15</v>
      </c>
      <c r="B18" s="24" t="inlineStr">
        <is>
          <t>2012-13</t>
        </is>
      </c>
      <c r="C18" s="24" t="inlineStr">
        <is>
          <t>CSE 305</t>
        </is>
      </c>
      <c r="D18" s="24" t="inlineStr">
        <is>
          <t>8(b)</t>
        </is>
      </c>
      <c r="E18" s="6" t="inlineStr">
        <is>
          <t>Flowchart of division for the given (refined) division hardware</t>
        </is>
      </c>
      <c r="F18" s="6" t="inlineStr">
        <is>
          <t>Integer division (textbook §3.4, not in short slides) — solved in Ch3 notes L23</t>
        </is>
      </c>
      <c r="G18" s="24" t="n">
        <v>12</v>
      </c>
      <c r="H18" s="24" t="inlineStr">
        <is>
          <t>81</t>
        </is>
      </c>
      <c r="I18" s="23" t="b">
        <v>0</v>
      </c>
      <c r="J18" s="6" t="n"/>
    </row>
    <row r="19">
      <c r="A19" s="24" t="n">
        <v>16</v>
      </c>
      <c r="B19" s="24" t="inlineStr">
        <is>
          <t>2012-13</t>
        </is>
      </c>
      <c r="C19" s="24" t="inlineStr">
        <is>
          <t>CSE 305</t>
        </is>
      </c>
      <c r="D19" s="24" t="inlineStr">
        <is>
          <t>8(c)</t>
        </is>
      </c>
      <c r="E19" s="6" t="inlineStr">
        <is>
          <t>Describe the steps of DMA transfer</t>
        </is>
      </c>
      <c r="F19" s="6" t="inlineStr">
        <is>
          <t>I/O, DMA (not in either teacher's slides; not in RS tracker)</t>
        </is>
      </c>
      <c r="G19" s="24" t="n">
        <v>8</v>
      </c>
      <c r="H19" s="24" t="inlineStr">
        <is>
          <t>81</t>
        </is>
      </c>
      <c r="I19" s="23" t="b">
        <v>0</v>
      </c>
      <c r="J19" s="6" t="n"/>
    </row>
    <row r="20">
      <c r="A20" s="24" t="n">
        <v>17</v>
      </c>
      <c r="B20" s="24" t="inlineStr">
        <is>
          <t>2012-13</t>
        </is>
      </c>
      <c r="C20" s="24" t="inlineStr">
        <is>
          <t>CSE 305</t>
        </is>
      </c>
      <c r="D20" s="24" t="inlineStr">
        <is>
          <t>8(d)</t>
        </is>
      </c>
      <c r="E20" s="6" t="inlineStr">
        <is>
          <t>Crossbar network and Omega network with diagrams</t>
        </is>
      </c>
      <c r="F20" s="6" t="inlineStr">
        <is>
          <t>Interconnection networks (not in either teacher's slides; not in RS tracker)</t>
        </is>
      </c>
      <c r="G20" s="24" t="n">
        <v>10</v>
      </c>
      <c r="H20" s="24" t="inlineStr">
        <is>
          <t>81</t>
        </is>
      </c>
      <c r="I20" s="23" t="b">
        <v>0</v>
      </c>
      <c r="J20" s="6" t="n"/>
    </row>
    <row r="21">
      <c r="A21" s="24" t="n">
        <v>18</v>
      </c>
      <c r="B21" s="24" t="inlineStr">
        <is>
          <t>2011-12</t>
        </is>
      </c>
      <c r="C21" s="24" t="inlineStr">
        <is>
          <t>CSE 305</t>
        </is>
      </c>
      <c r="D21" s="24" t="inlineStr">
        <is>
          <t>1(b)</t>
        </is>
      </c>
      <c r="E21" s="6" t="inlineStr">
        <is>
          <t>ISA classes (stack, accumulator, register-memory, load-store) with examples and block diagrams</t>
        </is>
      </c>
      <c r="F21" s="6" t="inlineStr">
        <is>
          <t>ISA classes (textbook Appendix — not in slides)</t>
        </is>
      </c>
      <c r="G21" s="24" t="n">
        <v>10</v>
      </c>
      <c r="H21" s="24" t="inlineStr">
        <is>
          <t>84</t>
        </is>
      </c>
      <c r="I21" s="23" t="b">
        <v>0</v>
      </c>
      <c r="J21" s="6" t="n"/>
    </row>
  </sheetData>
  <autoFilter ref="A3:J21"/>
  <conditionalFormatting sqref="A4:J21">
    <cfRule type="expression" priority="1" dxfId="3">
      <formula>$I4=TRUE</formula>
    </cfRule>
  </conditionalFormatting>
  <dataValidations count="1">
    <dataValidation sqref="I4:I2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2026-10-17T07:42:24Z</dcterms:created>
  <dcterms:modified xmlns:dcterms="http://purl.org/dc/terms/" xmlns:xsi="http://www.w3.org/2001/XMLSchema-instance" xsi:type="dcterms:W3CDTF">2026-10-17T07:42:24Z</dcterms:modified>
</cp:coreProperties>
</file>