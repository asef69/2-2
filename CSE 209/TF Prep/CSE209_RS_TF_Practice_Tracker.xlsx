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Dashboard" sheetId="2" state="visible" r:id="rId4"/>
    <sheet name="1 Ch4 P1 Single-Cycle" sheetId="3" state="visible" r:id="rId5"/>
    <sheet name="2 Ch4 P2 Pipelining" sheetId="4" state="visible" r:id="rId6"/>
    <sheet name="3 Ch5 Memory" sheetId="5" state="visible" r:id="rId7"/>
    <sheet name="4 GPU + Integration" sheetId="6" state="visible" r:id="rId8"/>
    <sheet name="5 Control Unit" sheetId="7" state="visible" r:id="rId9"/>
    <sheet name="Outside Notes" sheetId="8" state="visible" r:id="rId10"/>
  </sheets>
  <definedNames>
    <definedName function="false" hidden="false" localSheetId="2" name="_xlnm.Print_Titles" vbProcedure="false">'1 Ch4 P1 Single-Cycle'!$3:$3</definedName>
    <definedName function="false" hidden="true" localSheetId="2" name="_xlnm._FilterDatabase" vbProcedure="false">'1 Ch4 P1 Single-Cycle'!$A$3:$Q$31</definedName>
    <definedName function="false" hidden="false" localSheetId="3" name="_xlnm.Print_Titles" vbProcedure="false">'2 Ch4 P2 Pipelining'!$3:$3</definedName>
    <definedName function="false" hidden="true" localSheetId="3" name="_xlnm._FilterDatabase" vbProcedure="false">'2 Ch4 P2 Pipelining'!$A$3:$Q$66</definedName>
    <definedName function="false" hidden="false" localSheetId="4" name="_xlnm.Print_Titles" vbProcedure="false">'3 Ch5 Memory'!$3:$3</definedName>
    <definedName function="false" hidden="true" localSheetId="4" name="_xlnm._FilterDatabase" vbProcedure="false">'3 Ch5 Memory'!$A$3:$Q$82</definedName>
    <definedName function="false" hidden="false" localSheetId="5" name="_xlnm.Print_Titles" vbProcedure="false">'4 GPU + Integration'!$3:$3</definedName>
    <definedName function="false" hidden="true" localSheetId="5" name="_xlnm._FilterDatabase" vbProcedure="false">'4 GPU + Integration'!$A$3:$Q$11</definedName>
    <definedName function="false" hidden="false" localSheetId="6" name="_xlnm.Print_Titles" vbProcedure="false">'5 Control Unit'!$3:$3</definedName>
    <definedName function="false" hidden="true" localSheetId="6" name="_xlnm._FilterDatabase" vbProcedure="false">'5 Control Unit'!$A$3:$Q$10</definedName>
    <definedName function="false" hidden="true" localSheetId="7" name="_xlnm._FilterDatabase" vbProcedure="false">'Outside Notes'!$A$3:$J$26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<sst xmlns="http://schemas.openxmlformats.org/spreadsheetml/2006/main" count="2173" uniqueCount="632">
  <si>
    <t xml:space="preserve">CSE 209 (Rifat Sir part) — TF Practice Tracker</t>
  </si>
  <si>
    <t xml:space="preserve">Every RS-part question in TF209.pdf, mapped to the note file and lesson that teaches it.</t>
  </si>
  <si>
    <t xml:space="preserve">Workflow — after you finish a note file</t>
  </si>
  <si>
    <t xml:space="preserve">1. Open its tab</t>
  </si>
  <si>
    <t xml:space="preserve">Tabs 1–5 follow the order of your note files. Q No. runs lesson by lesson, newest year first inside each lesson.</t>
  </si>
  <si>
    <t xml:space="preserve">2. Filter</t>
  </si>
  <si>
    <t xml:space="preserve">Use the filter arrow on Priority → ★★★ High first (2019-20 to 2023-24 papers). Then ★★ Medium, then ★ Low.</t>
  </si>
  <si>
    <t xml:space="preserve">3. Solve</t>
  </si>
  <si>
    <t xml:space="preserve">Open TF209.pdf at the TF Page shown. Solve on paper under exam time (≈1.5 min per mark). Do not read the note solution first.</t>
  </si>
  <si>
    <t xml:space="preserve">4. Check</t>
  </si>
  <si>
    <t xml:space="preserve">In Notes tells you what the note has: ✔ Solved = same question worked out; ◐ Method = method / model answer you can apply; ○ Partly = notes cover most of it, finish the rest yourself.</t>
  </si>
  <si>
    <t xml:space="preserve">5. Record</t>
  </si>
  <si>
    <t xml:space="preserve">Tick Done, pick Confidence, add the Date. Write mistakes in My Notes. Re-solve every 'Weak' row before the exam.</t>
  </si>
  <si>
    <t xml:space="preserve">6. Repeats</t>
  </si>
  <si>
    <t xml:space="preserve">'Same Type Also In' lists other papers with the same question type. Solve one, then try a repeat cold — that is the real test.</t>
  </si>
  <si>
    <t xml:space="preserve">Columns you edit (all others are fixed data)</t>
  </si>
  <si>
    <t xml:space="preserve">Done (col N)</t>
  </si>
  <si>
    <t xml:space="preserve">TRUE / FALSE. In Google Sheets: select N4 downward → Insert → Checkbox. The values stay; ticking turns the row green.</t>
  </si>
  <si>
    <t xml:space="preserve">Confidence (col O)</t>
  </si>
  <si>
    <t xml:space="preserve">Dropdown: Weak / OK / Strong. Weak rows turn the cell red.</t>
  </si>
  <si>
    <t xml:space="preserve">Date (col P)</t>
  </si>
  <si>
    <t xml:space="preserve">Date you solved it, e.g. 16-Oct-2026.</t>
  </si>
  <si>
    <t xml:space="preserve">My Notes (col Q)</t>
  </si>
  <si>
    <t xml:space="preserve">Mistakes, missing steps, formula you forgot.</t>
  </si>
  <si>
    <t xml:space="preserve">Legend</t>
  </si>
  <si>
    <t xml:space="preserve">★★★ High</t>
  </si>
  <si>
    <t xml:space="preserve">Asked in 2019-20 or later (most important — current question style).</t>
  </si>
  <si>
    <t xml:space="preserve">★★ Medium</t>
  </si>
  <si>
    <t xml:space="preserve">Older paper, but the same question type appears at least twice in TF.</t>
  </si>
  <si>
    <t xml:space="preserve">★ Low</t>
  </si>
  <si>
    <t xml:space="preserve">Older paper, asked once.</t>
  </si>
  <si>
    <t xml:space="preserve">Type</t>
  </si>
  <si>
    <t xml:space="preserve">Numerical = calculation · Trace = tables / pipeline or cache simulation · Design = draw / modify hardware · Theory = explain.</t>
  </si>
  <si>
    <t xml:space="preserve">Course</t>
  </si>
  <si>
    <t xml:space="preserve">CSE 209 = current course code; CSE 305 = old code for the same Rifat Sir content.</t>
  </si>
  <si>
    <t xml:space="preserve">Topic</t>
  </si>
  <si>
    <t xml:space="preserve">Note lesson title — slide PDF and slide numbers (Control Unit uses PDF page numbers).</t>
  </si>
  <si>
    <t xml:space="preserve">Outside Notes tab</t>
  </si>
  <si>
    <t xml:space="preserve">RS-section questions from older papers on topics not in the current slides (multiprocessors, I/O, RAID, single-bus CPU…). Check with sir before spending time on them.</t>
  </si>
  <si>
    <t xml:space="preserve">Example of a filled row</t>
  </si>
  <si>
    <t xml:space="preserve">Columns</t>
  </si>
  <si>
    <t xml:space="preserve">Q No. | Year | Course | Ques No. | Short Question | Done | Confidence | Date | My Notes</t>
  </si>
  <si>
    <t xml:space="preserve">Values</t>
  </si>
  <si>
    <t xml:space="preserve">12 | 2023-24 | CSE 209 | 1(a) | Design a complete forwarding unit… | True | OK | 16-Oct-2026 | Forgot RegWrite check in MEM hazard condition</t>
  </si>
  <si>
    <t xml:space="preserve">Progress Dashboard</t>
  </si>
  <si>
    <t xml:space="preserve">Updates automatically when you tick Done / set Confidence in tabs 1–5.</t>
  </si>
  <si>
    <t xml:space="preserve">#</t>
  </si>
  <si>
    <t xml:space="preserve">Note file (tab)</t>
  </si>
  <si>
    <t xml:space="preserve">Questions</t>
  </si>
  <si>
    <t xml:space="preserve">Done</t>
  </si>
  <si>
    <t xml:space="preserve">% Done</t>
  </si>
  <si>
    <t xml:space="preserve">Marks (total)</t>
  </si>
  <si>
    <t xml:space="preserve">Marks done</t>
  </si>
  <si>
    <t xml:space="preserve">High-priority left</t>
  </si>
  <si>
    <t xml:space="preserve">Weak</t>
  </si>
  <si>
    <t xml:space="preserve">Next unsolved (top of tab)</t>
  </si>
  <si>
    <t xml:space="preserve">1 Ch4 P1 Single-Cycle</t>
  </si>
  <si>
    <t xml:space="preserve">2 Ch4 P2 Pipelining</t>
  </si>
  <si>
    <t xml:space="preserve">3 Ch5 Memory</t>
  </si>
  <si>
    <t xml:space="preserve">4 GPU + Integration</t>
  </si>
  <si>
    <t xml:space="preserve">5 Control Unit</t>
  </si>
  <si>
    <t xml:space="preserve">TOTAL</t>
  </si>
  <si>
    <t xml:space="preserve">Questions by year (tabs 1–5)</t>
  </si>
  <si>
    <t xml:space="preserve">Year</t>
  </si>
  <si>
    <t xml:space="preserve">2023-24</t>
  </si>
  <si>
    <t xml:space="preserve">2022-23</t>
  </si>
  <si>
    <t xml:space="preserve">2021-22</t>
  </si>
  <si>
    <t xml:space="preserve">2020-21</t>
  </si>
  <si>
    <t xml:space="preserve">2019-20</t>
  </si>
  <si>
    <t xml:space="preserve">2018-19</t>
  </si>
  <si>
    <t xml:space="preserve">2017-18</t>
  </si>
  <si>
    <t xml:space="preserve">2016-17</t>
  </si>
  <si>
    <t xml:space="preserve">2015-16</t>
  </si>
  <si>
    <t xml:space="preserve">2014-15</t>
  </si>
  <si>
    <t xml:space="preserve">2013-14</t>
  </si>
  <si>
    <t xml:space="preserve">2012-13</t>
  </si>
  <si>
    <t xml:space="preserve">2011-12</t>
  </si>
  <si>
    <t xml:space="preserve">Shaded years = ★★★ High priority (2019-20 onward).</t>
  </si>
  <si>
    <t xml:space="preserve">Note: a question that spans two lessons is listed under the lesson that teaches its main part. 2016-17 2(b) (ALU control) is in both tab 1 and tab 5.</t>
  </si>
  <si>
    <t xml:space="preserve">Chapter 4 Part 1 — Single-Cycle Datapath &amp; Control</t>
  </si>
  <si>
    <t xml:space="preserve">Note file: CSE209_Ch4_SingleCycle_Notes.docx   ·   Solve after finishing the matching lesson. Filter Priority → ★★★ High first.</t>
  </si>
  <si>
    <t xml:space="preserve">Q No.</t>
  </si>
  <si>
    <t xml:space="preserve">Ques No.</t>
  </si>
  <si>
    <t xml:space="preserve">Short Question</t>
  </si>
  <si>
    <t xml:space="preserve">Topic (slide PDF · slides)</t>
  </si>
  <si>
    <t xml:space="preserve">Lesson</t>
  </si>
  <si>
    <t xml:space="preserve">Marks</t>
  </si>
  <si>
    <t xml:space="preserve">TF Page</t>
  </si>
  <si>
    <t xml:space="preserve">Priority</t>
  </si>
  <si>
    <t xml:space="preserve">In Notes</t>
  </si>
  <si>
    <t xml:space="preserve">Same Type Also In</t>
  </si>
  <si>
    <t xml:space="preserve">Confidence</t>
  </si>
  <si>
    <t xml:space="preserve">Date</t>
  </si>
  <si>
    <t xml:space="preserve">My Notes</t>
  </si>
  <si>
    <t xml:space="preserve">CSE 305</t>
  </si>
  <si>
    <t xml:space="preserve">3(b)</t>
  </si>
  <si>
    <t xml:space="preserve">Purpose of the ALU for R-type, load/store and branch instructions</t>
  </si>
  <si>
    <t xml:space="preserve">Instruction execution &amp; ALU roles — Ch 4 Part 1, sl. 3–4, 13–17</t>
  </si>
  <si>
    <t xml:space="preserve">L1</t>
  </si>
  <si>
    <t xml:space="preserve">Theory</t>
  </si>
  <si>
    <t xml:space="preserve">◐ Method</t>
  </si>
  <si>
    <t xml:space="preserve">—</t>
  </si>
  <si>
    <t xml:space="preserve">CSE 209</t>
  </si>
  <si>
    <t xml:space="preserve">8(a)(i)</t>
  </si>
  <si>
    <t xml:space="preserve">Why is PC incremented by 4?</t>
  </si>
  <si>
    <t xml:space="preserve">Fetch, PC + 4, clocking — Ch 4 Part 1, sl. 9–13, 33</t>
  </si>
  <si>
    <t xml:space="preserve">L2</t>
  </si>
  <si>
    <t xml:space="preserve">2023-24 8(a)(iii); 2023-24 8(a)(ii); 2023-24 8(a)(iv)</t>
  </si>
  <si>
    <t xml:space="preserve">8(a)</t>
  </si>
  <si>
    <t xml:space="preserve">Values (0/1) of RegDst, Branch, MemRead, MemtoReg, MemWrite, ALUSrc, RegWrite for add, sw, beq (Fig. 8a)</t>
  </si>
  <si>
    <t xml:space="preserve">Register connections &amp; basic control signals — Ch 4 Part 1, sl. 14–17, 21, 25–27</t>
  </si>
  <si>
    <t xml:space="preserve">L3</t>
  </si>
  <si>
    <t xml:space="preserve">40–41</t>
  </si>
  <si>
    <t xml:space="preserve">Trace</t>
  </si>
  <si>
    <t xml:space="preserve">2016-17 2(a); 2014-15 8(c)</t>
  </si>
  <si>
    <t xml:space="preserve">2(a)</t>
  </si>
  <si>
    <t xml:space="preserve">Functions of the control signals ALUSrc, ALUOp, RegDst, MemWrite, RegWrite</t>
  </si>
  <si>
    <t xml:space="preserve">2019-20 8(a); 2014-15 8(c)</t>
  </si>
  <si>
    <t xml:space="preserve">2(e)</t>
  </si>
  <si>
    <t xml:space="preserve">What are the two inputs of the MUX at the ALU input?</t>
  </si>
  <si>
    <t xml:space="preserve">3</t>
  </si>
  <si>
    <t xml:space="preserve">Highlight the active datapath elements and set control bits for ori $t1, 100($t2) on the full datapath (Fig. 1)</t>
  </si>
  <si>
    <t xml:space="preserve">ALUOp, ALU control &amp; instruction traces — Ch 4 Part 1, sl. 23–24, 28–29</t>
  </si>
  <si>
    <t xml:space="preserve">L4</t>
  </si>
  <si>
    <t xml:space="preserve">○ Partly</t>
  </si>
  <si>
    <t xml:space="preserve">2016-17 2(c)</t>
  </si>
  <si>
    <t xml:space="preserve">2(b)</t>
  </si>
  <si>
    <t xml:space="preserve">How are the ALU control bits set from ALUOp and the R-type funct code?</t>
  </si>
  <si>
    <t xml:space="preserve">2016-17 2(b)</t>
  </si>
  <si>
    <t xml:space="preserve">2(c)</t>
  </si>
  <si>
    <t xml:space="preserve">Describe the datapath for R-type instructions</t>
  </si>
  <si>
    <t xml:space="preserve">2020-21 3</t>
  </si>
  <si>
    <t xml:space="preserve">4(a)</t>
  </si>
  <si>
    <t xml:space="preserve">Branch format with 19-bit address field: formula for branch target; draw single-cycle datapath for beq (relevant parts only)</t>
  </si>
  <si>
    <t xml:space="preserve">beq: target, Zero, PCSrc — Ch 4 Part 1, sl. 18–19, 22, 30</t>
  </si>
  <si>
    <t xml:space="preserve">L5</t>
  </si>
  <si>
    <t xml:space="preserve">Design</t>
  </si>
  <si>
    <t xml:space="preserve">2016-17 2(d)</t>
  </si>
  <si>
    <t xml:space="preserve">2(d)</t>
  </si>
  <si>
    <t xml:space="preserve">How is the PC updated for the beq instruction?</t>
  </si>
  <si>
    <t xml:space="preserve">2022-23 4(a)</t>
  </si>
  <si>
    <t xml:space="preserve">8(c)</t>
  </si>
  <si>
    <t xml:space="preserve">Design the control bits for 'beq rs, rt, address' on the given datapath/control table</t>
  </si>
  <si>
    <t xml:space="preserve">2019-20 8(a); 2016-17 2(a)</t>
  </si>
  <si>
    <t xml:space="preserve">8(a)(iii)</t>
  </si>
  <si>
    <t xml:space="preserve">Why are the upper 4 bits of PC + 4 concatenated in the jump address?</t>
  </si>
  <si>
    <t xml:space="preserve">Jump address &amp; jump hardware — Ch 4 Part 1, sl. 31–32</t>
  </si>
  <si>
    <t xml:space="preserve">L6</t>
  </si>
  <si>
    <t xml:space="preserve">2023-24 8(a)(i); 2023-24 8(a)(ii); 2023-24 8(a)(iv)</t>
  </si>
  <si>
    <t xml:space="preserve">8(b)</t>
  </si>
  <si>
    <t xml:space="preserve">Components needed to add the jump instruction to the Fig. 8(a) datapath; draw only those parts</t>
  </si>
  <si>
    <t xml:space="preserve">2021-22 1(a) (CSE 305)</t>
  </si>
  <si>
    <t xml:space="preserve">12(c)(ii)</t>
  </si>
  <si>
    <t xml:space="preserve">PC = 0x00000000: can a single j reach the 32-bit constant 0x20014924?</t>
  </si>
  <si>
    <t xml:space="preserve">Numerical</t>
  </si>
  <si>
    <t xml:space="preserve">2021-22 6(b)(i) (CSE 305)</t>
  </si>
  <si>
    <t xml:space="preserve">1(a)</t>
  </si>
  <si>
    <t xml:space="preserve">Complete the incomplete single-cycle datapath for beq and j</t>
  </si>
  <si>
    <t xml:space="preserve">21, 26</t>
  </si>
  <si>
    <t xml:space="preserve">2023-24 8(b) (CSE 209)</t>
  </si>
  <si>
    <t xml:space="preserve">6(b)(i)</t>
  </si>
  <si>
    <t xml:space="preserve">PC = 0x2000 0000: can j set PC to 0x4000 0000? Explain</t>
  </si>
  <si>
    <t xml:space="preserve">2022-23 12(c)(ii) (CSE 209)</t>
  </si>
  <si>
    <t xml:space="preserve">8(a)(ii)</t>
  </si>
  <si>
    <t xml:space="preserve">How is the clock-cycle length determined in single-cycle execution?</t>
  </si>
  <si>
    <t xml:space="preserve">Full datapath, timing &amp; theory answers — Ch 4 Part 1, sl. 20–22, 26, 32–33</t>
  </si>
  <si>
    <t xml:space="preserve">L7</t>
  </si>
  <si>
    <t xml:space="preserve">2023-24 8(a)(i); 2023-24 8(a)(iii); 2023-24 8(a)(iv)</t>
  </si>
  <si>
    <t xml:space="preserve">8(a)(iv)</t>
  </si>
  <si>
    <t xml:space="preserve">'One physical memory can implement both instruction and data memory in single-cycle' — agree/disagree?</t>
  </si>
  <si>
    <t xml:space="preserve">2023-24 8(a)(i); 2023-24 8(a)(iii); 2023-24 8(a)(ii)</t>
  </si>
  <si>
    <t xml:space="preserve">1(b)</t>
  </si>
  <si>
    <t xml:space="preserve">Why are single-cycle implementations not very efficient?</t>
  </si>
  <si>
    <t xml:space="preserve">Draw the complete single-cycle datapath and control for add, lw, beq</t>
  </si>
  <si>
    <t xml:space="preserve">2013-14 7(c); 2011-12 3(a)</t>
  </si>
  <si>
    <t xml:space="preserve">7(c)</t>
  </si>
  <si>
    <t xml:space="preserve">Draw the complete single-cycle datapath and control for add, sw, beq</t>
  </si>
  <si>
    <t xml:space="preserve">2017-18 1(b); 2011-12 3(a)</t>
  </si>
  <si>
    <t xml:space="preserve">3(a)</t>
  </si>
  <si>
    <t xml:space="preserve">Single-cycle datapath + control for ADD, SW, JUMP with no redundant hardware</t>
  </si>
  <si>
    <t xml:space="preserve">2017-18 1(b); 2013-14 7(c)</t>
  </si>
  <si>
    <t xml:space="preserve">Add connections to support beq, bneq, j, jr with the minimum number of 2×1 MUXes</t>
  </si>
  <si>
    <t xml:space="preserve">Adding bne, jr, jal — Ch 4 Part 1, sl. 32 (modifications)</t>
  </si>
  <si>
    <t xml:space="preserve">L8A</t>
  </si>
  <si>
    <t xml:space="preserve">2018-19 1(a) (CSE 305); 2012-13 2 (CSE 305)</t>
  </si>
  <si>
    <t xml:space="preserve">11(b)</t>
  </si>
  <si>
    <t xml:space="preserve">How does jal differ from an unconditional jump? (NOT part is ISA)</t>
  </si>
  <si>
    <t xml:space="preserve">Update the single-cycle datapath (Fig. 1.A) for bne, j, jr, jal, slt, lui; explain updates</t>
  </si>
  <si>
    <t xml:space="preserve">42, 47</t>
  </si>
  <si>
    <t xml:space="preserve">2022-23 3 (CSE 209); 2012-13 2</t>
  </si>
  <si>
    <t xml:space="preserve">2</t>
  </si>
  <si>
    <t xml:space="preserve">Implement bne, j, jr, jal in the Fig. 2 datapath; give values of all (new) control lines</t>
  </si>
  <si>
    <t xml:space="preserve">78, 82</t>
  </si>
  <si>
    <t xml:space="preserve">2022-23 3 (CSE 209); 2018-19 1(a)</t>
  </si>
  <si>
    <t xml:space="preserve">5(a)(i)</t>
  </si>
  <si>
    <t xml:space="preserve">MIPS-v22 (changed R/I field order): connect instruction memory to Read reg 1, Read reg 2, Write reg with MUXes; show bit widths</t>
  </si>
  <si>
    <t xml:space="preserve">slt, lui &amp; modified formats — Ch 4 Part 1, sl. 32 (modifications)</t>
  </si>
  <si>
    <t xml:space="preserve">L8B</t>
  </si>
  <si>
    <t xml:space="preserve">4–5</t>
  </si>
  <si>
    <t xml:space="preserve">6</t>
  </si>
  <si>
    <t xml:space="preserve">Design an M-type (memory-operand) add/sub instruction: format + hardware changes</t>
  </si>
  <si>
    <t xml:space="preserve">Chapter 4 Part 2 — Pipelining</t>
  </si>
  <si>
    <t xml:space="preserve">Note file: CSE209_Ch4_Part2_Pipelining_Notes.docx   ·   Solve after finishing the matching lesson. Filter Priority → ★★★ High first.</t>
  </si>
  <si>
    <t xml:space="preserve">6(a)</t>
  </si>
  <si>
    <t xml:space="preserve">Joey: 'number of cycles = number of instructions' — agree?</t>
  </si>
  <si>
    <t xml:space="preserve">Pipelining basics, speedup — Ch 4 Part 2, sl. 2–9</t>
  </si>
  <si>
    <t xml:space="preserve">L9</t>
  </si>
  <si>
    <t xml:space="preserve">✔ Solved</t>
  </si>
  <si>
    <t xml:space="preserve">1(c)</t>
  </si>
  <si>
    <t xml:space="preserve">Speedup pipelined vs single-cycle for 3 lw (200/100/100/200/100 ps); then +3,000,000 lw</t>
  </si>
  <si>
    <t xml:space="preserve">2015-16 2(b); 2013-14 7(d)</t>
  </si>
  <si>
    <t xml:space="preserve">Speedup pipelined vs single-cycle for 3 lw (200/100/200/200/100 ps); then +2,000,000 lw</t>
  </si>
  <si>
    <t xml:space="preserve">2017-18 1(c); 2013-14 7(d)</t>
  </si>
  <si>
    <t xml:space="preserve">7(d)</t>
  </si>
  <si>
    <t xml:space="preserve">States of the MIPS pipeline; speedup for 3 lw; then +1,000,000 lw</t>
  </si>
  <si>
    <t xml:space="preserve">2017-18 1(c); 2015-16 2(b)</t>
  </si>
  <si>
    <t xml:space="preserve">4(b)</t>
  </si>
  <si>
    <t xml:space="preserve">Convert the single-cycle datapath (Fig. 2) to pipelined: pipeline registers, forwarding unit, hazard detection unit</t>
  </si>
  <si>
    <t xml:space="preserve">Pipeline registers, datapath &amp; control — Ch 4 Part 2, sl. 33–52</t>
  </si>
  <si>
    <t xml:space="preserve">L10</t>
  </si>
  <si>
    <t xml:space="preserve">2014-15 3(c)</t>
  </si>
  <si>
    <t xml:space="preserve">Draw the complete pipelined datapath and control for lw with pipeline registers</t>
  </si>
  <si>
    <t xml:space="preserve">2013-14 8(a)</t>
  </si>
  <si>
    <t xml:space="preserve">3(c)</t>
  </si>
  <si>
    <t xml:space="preserve">Convert the single-cycle datapath to pipelined: pipeline registers + forwarding unit</t>
  </si>
  <si>
    <t xml:space="preserve">2016-17 4(b)</t>
  </si>
  <si>
    <t xml:space="preserve">2015-16 2(c)</t>
  </si>
  <si>
    <t xml:space="preserve">3(d)</t>
  </si>
  <si>
    <t xml:space="preserve">What do LW $6,36($1) and ADD $5,$5,$5 do in the EX and MEM stages?</t>
  </si>
  <si>
    <t xml:space="preserve">2011-12 4(a)</t>
  </si>
  <si>
    <t xml:space="preserve">What values are stored in the IF/ID and ID/EX pipeline registers?</t>
  </si>
  <si>
    <t xml:space="preserve">2011-12 3(d)</t>
  </si>
  <si>
    <t xml:space="preserve">No forwarding: pipeline for sub/and/or with stalls; total clock cycles</t>
  </si>
  <si>
    <t xml:space="preserve">Hazards &amp; stalls without forwarding — Ch 4 Part 2, sl. 10–15, 25</t>
  </si>
  <si>
    <t xml:space="preserve">L11</t>
  </si>
  <si>
    <t xml:space="preserve">2011-12 4(d)</t>
  </si>
  <si>
    <t xml:space="preserve">Pipeline hazards; structural hazard time-space diagram; hazard type in lw/lw/add/sw/lw/add/sw and fix</t>
  </si>
  <si>
    <t xml:space="preserve">2022-23 1(c) (CSE 209); 2021-22 1(b); 2019-20 5(a); 2019-20 5(b); 2019-20 5(c); 2017-18 1(a); 2015-16 2(d); 2014-15 3(a)</t>
  </si>
  <si>
    <t xml:space="preserve">2022-23 1(c) (CSE 209); 2021-22 1(b); 2019-20 5(a); 2019-20 5(b); 2019-20 5(c); 2017-18 1(a); 2016-17 4(a); 2015-16 2(d)</t>
  </si>
  <si>
    <t xml:space="preserve">How many data hazards in add/sub/lw/sub? Techniques to eliminate them</t>
  </si>
  <si>
    <t xml:space="preserve">4(c)</t>
  </si>
  <si>
    <t xml:space="preserve">What is a branch hazard?</t>
  </si>
  <si>
    <t xml:space="preserve">What is a pipeline hazard? Types of pipeline hazards</t>
  </si>
  <si>
    <t xml:space="preserve">4(d)</t>
  </si>
  <si>
    <t xml:space="preserve">No forwarding: LW $1,40($6); ADD $6,$2,$2; SW $6,50($1) — eliminate data hazards with nop</t>
  </si>
  <si>
    <t xml:space="preserve">2022-23 1(a)</t>
  </si>
  <si>
    <t xml:space="preserve">Design a complete forwarding unit with equations (double data hazard) on the given figure</t>
  </si>
  <si>
    <t xml:space="preserve">Forwarding &amp; double data hazard — Ch 4 Part 2, sl. 16, 53–65</t>
  </si>
  <si>
    <t xml:space="preserve">L12</t>
  </si>
  <si>
    <t xml:space="preserve">2021-22 2(a) (CSE 305); 2017-18 2(b) (CSE 305); 2012-13 4(a) (CSE 305)</t>
  </si>
  <si>
    <t xml:space="preserve">With forwarding: pipeline registers + forwarding lines for sub/and/or; total cycles; explain double data hazard</t>
  </si>
  <si>
    <t xml:space="preserve">2022-23 1(c); 2020-21 4; 2019-20 8(c)</t>
  </si>
  <si>
    <t xml:space="preserve">Forwarding condition between ins 1 and ins 2</t>
  </si>
  <si>
    <t xml:space="preserve">2022-23 1(b); 2020-21 4; 2019-20 8(c)</t>
  </si>
  <si>
    <t xml:space="preserve">What is forwarding? Complete forwarding unit with equations (double data hazard)</t>
  </si>
  <si>
    <t xml:space="preserve">2023-24 1(a) (CSE 209); 2017-18 2(b); 2012-13 4(a)</t>
  </si>
  <si>
    <t xml:space="preserve">4</t>
  </si>
  <si>
    <t xml:space="preserve">Identify data hazards (multi-cycle diagram), mark forwarding, write conditions; can forwarding solve all?</t>
  </si>
  <si>
    <t xml:space="preserve">28–29</t>
  </si>
  <si>
    <t xml:space="preserve">2022-23 1(b); 2022-23 1(c); 2019-20 8(c)</t>
  </si>
  <si>
    <t xml:space="preserve">Forwarding conditions for sub→and (green) and sub→or (yellow) paths</t>
  </si>
  <si>
    <t xml:space="preserve">2022-23 1(b); 2022-23 1(c); 2020-21 4</t>
  </si>
  <si>
    <t xml:space="preserve">Complete forwarding unit with equations (double data hazard) on the given figure</t>
  </si>
  <si>
    <t xml:space="preserve">49–50</t>
  </si>
  <si>
    <t xml:space="preserve">2023-24 1(a) (CSE 209); 2021-22 2(a); 2012-13 4(a)</t>
  </si>
  <si>
    <t xml:space="preserve">Double data hazard; forwarding equations with double hazard; how MIPS detects load-use hazard</t>
  </si>
  <si>
    <t xml:space="preserve">2017-18 2(a); 2011-12 4(c)</t>
  </si>
  <si>
    <t xml:space="preserve">Detect data hazards and solve them with a forwarding unit</t>
  </si>
  <si>
    <t xml:space="preserve">2023-24 1(a) (CSE 209); 2021-22 2(a); 2017-18 2(b)</t>
  </si>
  <si>
    <t xml:space="preserve">Give an example of a double data hazard</t>
  </si>
  <si>
    <t xml:space="preserve">2017-18 2(a); 2015-16 3(a)</t>
  </si>
  <si>
    <t xml:space="preserve">Hazards in lw/addi/lw/sw; detection conditions; complete the hazard detection unit (all signals)</t>
  </si>
  <si>
    <t xml:space="preserve">Load-use hazard &amp; hazard detection — Ch 4 Part 2, sl. 17–21, 66–76</t>
  </si>
  <si>
    <t xml:space="preserve">L13</t>
  </si>
  <si>
    <t xml:space="preserve">8–9</t>
  </si>
  <si>
    <t xml:space="preserve">Double data hazard example; how MIPS detects load-use hazard and stalls the pipeline</t>
  </si>
  <si>
    <t xml:space="preserve">2015-16 3(a); 2011-12 4(c)</t>
  </si>
  <si>
    <t xml:space="preserve">A data hazard forwarding cannot solve; what to do</t>
  </si>
  <si>
    <t xml:space="preserve">A=B+C; D=A+E (offsets 0,4,8,12,16): MIPS code, cycles, reschedule and recount</t>
  </si>
  <si>
    <t xml:space="preserve">Timing diagrams &amp; code scheduling — Ch 4 Part 2, sl. 22–24</t>
  </si>
  <si>
    <t xml:space="preserve">L14</t>
  </si>
  <si>
    <t xml:space="preserve">2021-22 1(b) (CSE 305); 2019-20 5(a) (CSE 305); 2019-20 5(b) (CSE 305); 2019-20 5(c) (CSE 305); 2017-18 1(a) (CSE 305); 2016-17 4(a) (CSE 305); 2015-16 2(d) (CSE 305); 2014-15 3(a) (CSE 305)</t>
  </si>
  <si>
    <t xml:space="preserve">Cycles for lw/lw/add/sw/lw/add/sw (slide-22 code); reduce with code scheduling</t>
  </si>
  <si>
    <t xml:space="preserve">2022-23 1(c) (CSE 209); 2019-20 5(a); 2019-20 5(b); 2019-20 5(c); 2017-18 1(a); 2016-17 4(a); 2015-16 2(d); 2014-15 3(a)</t>
  </si>
  <si>
    <t xml:space="preserve">5(a)</t>
  </si>
  <si>
    <t xml:space="preserve">A=B+C; D=A+D: draw pipeline with stalls and forwarding paths</t>
  </si>
  <si>
    <t xml:space="preserve">2022-23 1(c) (CSE 209); 2021-22 1(b); 2019-20 5(b); 2019-20 5(c); 2017-18 1(a); 2016-17 4(a); 2015-16 2(d); 2014-15 3(a)</t>
  </si>
  <si>
    <t xml:space="preserve">5(b)</t>
  </si>
  <si>
    <t xml:space="preserve">Number of stalls and clock cycles for 5(a)</t>
  </si>
  <si>
    <t xml:space="preserve">2022-23 1(c) (CSE 209); 2021-22 1(b); 2019-20 5(a); 2019-20 5(c); 2017-18 1(a); 2016-17 4(a); 2015-16 2(d); 2014-15 3(a)</t>
  </si>
  <si>
    <t xml:space="preserve">5(c)</t>
  </si>
  <si>
    <t xml:space="preserve">Can the 5(a) code be rearranged to reduce stalls? New code, stalls, cycles</t>
  </si>
  <si>
    <t xml:space="preserve">2022-23 1(c) (CSE 209); 2021-22 1(b); 2019-20 5(a); 2019-20 5(b); 2017-18 1(a); 2016-17 4(a); 2015-16 2(d); 2014-15 3(a)</t>
  </si>
  <si>
    <t xml:space="preserve">A=B+C; D=A+E (offsets A0 B4 C8 D12 E16): cycles; code scheduling; new cycles</t>
  </si>
  <si>
    <t xml:space="preserve">2022-23 1(c) (CSE 209); 2021-22 1(b); 2019-20 5(a); 2019-20 5(b); 2019-20 5(c); 2016-17 4(a); 2015-16 2(d); 2014-15 3(a)</t>
  </si>
  <si>
    <t xml:space="preserve">2022-23 1(c) (CSE 209); 2021-22 1(b); 2019-20 5(a); 2019-20 5(b); 2019-20 5(c); 2017-18 1(a); 2016-17 4(a); 2014-15 3(a)</t>
  </si>
  <si>
    <t xml:space="preserve">Code with beq/bne, branch in ID, forwarding: hazards; total stalls; cycles for 3 branch outcomes</t>
  </si>
  <si>
    <t xml:space="preserve">Branch hazards, flush/stall, jumps — Ch 4 Part 2, sl. 25–31, 77–81</t>
  </si>
  <si>
    <t xml:space="preserve">L15</t>
  </si>
  <si>
    <t xml:space="preserve">5</t>
  </si>
  <si>
    <t xml:space="preserve">Branch decided by ALU Zero: can flush and stall happen together? Issue and solution</t>
  </si>
  <si>
    <t xml:space="preserve">2018-19 2(a) (CSE 305)</t>
  </si>
  <si>
    <t xml:space="preserve">7</t>
  </si>
  <si>
    <t xml:space="preserve">Chandler/Joey/Ross: jump needs 1 stall? Move control to IF? Better solution</t>
  </si>
  <si>
    <t xml:space="preserve">10–11</t>
  </si>
  <si>
    <t xml:space="preserve">Name the four components added in ID to reduce branch stalls; how decision + target are ready by end of ID</t>
  </si>
  <si>
    <t xml:space="preserve">Data hazards for branches: MIPS examples needing 0, 1 and 2 stalls</t>
  </si>
  <si>
    <t xml:space="preserve">2017-18 2(c); 2013-14 8(c)</t>
  </si>
  <si>
    <t xml:space="preserve">Branch decided by ALU Zero: can flush and stall happen together? Single-cycle illustration; issue/solution</t>
  </si>
  <si>
    <t xml:space="preserve">2022-23 5 (CSE 209)</t>
  </si>
  <si>
    <t xml:space="preserve">lw $1 / add $1 / beq with early branch decision: issues (multicycle diagram) and number of cycles</t>
  </si>
  <si>
    <t xml:space="preserve">MIPS code for branch data hazards needing 1 and 2 stalls</t>
  </si>
  <si>
    <t xml:space="preserve">2021-22 1(c); 2013-14 8(c)</t>
  </si>
  <si>
    <t xml:space="preserve">Data hazard for branches: examples needing 0, 1, 2 stalls</t>
  </si>
  <si>
    <t xml:space="preserve">2021-22 1(c); 2017-18 2(c)</t>
  </si>
  <si>
    <t xml:space="preserve">Nested loops with a 1-bit predictor — problem and fix; 'perfect predictor still 1-cycle penalty' — why, how to remove</t>
  </si>
  <si>
    <t xml:space="preserve">Branch prediction (1-bit/2-bit, BTB) — Ch 4 Part 2, sl. 28–31, 82–85</t>
  </si>
  <si>
    <t xml:space="preserve">L16</t>
  </si>
  <si>
    <t xml:space="preserve">2021-22 1(d) (CSE 305); 2017-18 2(d) (CSE 305); 2013-14 8(d) (CSE 305)</t>
  </si>
  <si>
    <t xml:space="preserve">1(d)</t>
  </si>
  <si>
    <t xml:space="preserve">Nested loops: problem with a 1-bit branch predictor and its solution</t>
  </si>
  <si>
    <t xml:space="preserve">2023-24 1(c) (CSE 209); 2017-18 2(d); 2013-14 8(d)</t>
  </si>
  <si>
    <t xml:space="preserve">Draw the FSM of a 2-bit dynamic branch prediction scheme</t>
  </si>
  <si>
    <t xml:space="preserve">2011-12 4(e)</t>
  </si>
  <si>
    <t xml:space="preserve">2023-24 1(c) (CSE 209); 2021-22 1(d); 2013-14 8(d)</t>
  </si>
  <si>
    <t xml:space="preserve">'Even with a perfect branch predictor, 1-cycle penalty for a taken branch' — why? Solution</t>
  </si>
  <si>
    <t xml:space="preserve">2015-16 2(e)</t>
  </si>
  <si>
    <t xml:space="preserve">2017-18 1(d)</t>
  </si>
  <si>
    <t xml:space="preserve">Describe dynamic branch prediction techniques for control hazards</t>
  </si>
  <si>
    <t xml:space="preserve">8(d)</t>
  </si>
  <si>
    <t xml:space="preserve">2023-24 1(c) (CSE 209); 2021-22 1(d); 2017-18 2(d)</t>
  </si>
  <si>
    <t xml:space="preserve">4(e)</t>
  </si>
  <si>
    <t xml:space="preserve">2-bit predictor accuracy for pattern T,T,NT,T (start strongly NT); steady-state accuracy</t>
  </si>
  <si>
    <t xml:space="preserve">2019-20 8(b)</t>
  </si>
  <si>
    <t xml:space="preserve">Dual-issue schedule of the array loop; IPC; technique to increase IPC</t>
  </si>
  <si>
    <t xml:space="preserve">Multiple issue, scheduling, unrolling — Ch 4 Part 2, sl. 86–99</t>
  </si>
  <si>
    <t xml:space="preserve">L17</t>
  </si>
  <si>
    <t xml:space="preserve">2021-22 2(c) (CSE 305); 2020-21 5 (CSE 305)</t>
  </si>
  <si>
    <t xml:space="preserve">2023-24 4(b) (CSE 209); 2020-21 5</t>
  </si>
  <si>
    <t xml:space="preserve">Block diagram of a dynamically scheduled multiple-issue superscalar CPU</t>
  </si>
  <si>
    <t xml:space="preserve">2014-15 1(d)</t>
  </si>
  <si>
    <t xml:space="preserve">Refactor a two-load loop for multiple issue to maximise IPC; effective IPC</t>
  </si>
  <si>
    <t xml:space="preserve">2023-24 4(b) (CSE 209); 2021-22 2(c)</t>
  </si>
  <si>
    <t xml:space="preserve">Superscalar time-space diagram; typical superscalar RISC architecture; superscalar vs VLIW</t>
  </si>
  <si>
    <t xml:space="preserve">2021-22 2(b)</t>
  </si>
  <si>
    <t xml:space="preserve">8</t>
  </si>
  <si>
    <t xml:space="preserve">Add precise exception handling to the pipelined MIPS datapath (given figure)</t>
  </si>
  <si>
    <t xml:space="preserve">Exceptions in the pipeline — textbook §4.9 (not in slide file)</t>
  </si>
  <si>
    <t xml:space="preserve">L18</t>
  </si>
  <si>
    <t xml:space="preserve">11, 15</t>
  </si>
  <si>
    <t xml:space="preserve">2018-19 2(c) (CSE 305); 2011-12 4(f) (CSE 305)</t>
  </si>
  <si>
    <t xml:space="preserve">How is a TLB miss handled; handle a TLB-miss exception in the pipelined datapath (Fig. 2.c)</t>
  </si>
  <si>
    <t xml:space="preserve">42, 48</t>
  </si>
  <si>
    <t xml:space="preserve">2022-23 8 (CSE 209); 2011-12 4(f)</t>
  </si>
  <si>
    <t xml:space="preserve">4(f)</t>
  </si>
  <si>
    <t xml:space="preserve">Why does MIPS use EPC and Cause registers for exceptions? What is an imprecise exception?</t>
  </si>
  <si>
    <t xml:space="preserve">2022-23 8 (CSE 209); 2018-19 2(c)</t>
  </si>
  <si>
    <t xml:space="preserve">Chapter 5 — Memory Hierarchy</t>
  </si>
  <si>
    <t xml:space="preserve">Note file: CSE209_Ch5_Memory_Hierarchy_Notes.docx   ·   Solve after finishing the matching lesson. Filter Priority → ★★★ High first.</t>
  </si>
  <si>
    <t xml:space="preserve">Three sources of cache misses; ideal disk (1 MB sector, 10000 rpm, 5 ms seek, 100 MB/s, 0.5 ms) read time; improvement with 2 ms seek</t>
  </si>
  <si>
    <t xml:space="preserve">Locality, technologies, disk — Ch 5, sl. 2–16</t>
  </si>
  <si>
    <t xml:space="preserve">L19</t>
  </si>
  <si>
    <t xml:space="preserve">2012-13 5(a); 2011-12 6(d)</t>
  </si>
  <si>
    <t xml:space="preserve">Principle of locality of reference; its role in designing the memory hierarchy</t>
  </si>
  <si>
    <t xml:space="preserve">2014-15 2(a); 2013-14 1(a)</t>
  </si>
  <si>
    <t xml:space="preserve">Principle of locality; role in memory hierarchy (key characteristics part is outside)</t>
  </si>
  <si>
    <t xml:space="preserve">2016-17 3(a); 2013-14 1(a)</t>
  </si>
  <si>
    <t xml:space="preserve">2(b)(i)</t>
  </si>
  <si>
    <t xml:space="preserve">Short note on flash storage</t>
  </si>
  <si>
    <t xml:space="preserve">2012-13 5(c)</t>
  </si>
  <si>
    <t xml:space="preserve">State the principles of temporal and spatial locality</t>
  </si>
  <si>
    <t xml:space="preserve">2016-17 3(a); 2014-15 2(a)</t>
  </si>
  <si>
    <t xml:space="preserve">Average time to read/write a 512-byte sector (15,000 RPM, 4 ms seek, 100 MB/s, 0.2 ms)</t>
  </si>
  <si>
    <t xml:space="preserve">2017-18 3(a); 2011-12 6(d)</t>
  </si>
  <si>
    <t xml:space="preserve">Differentiate NAND and NOR flash memories</t>
  </si>
  <si>
    <t xml:space="preserve">2014-15 2(b)(i)</t>
  </si>
  <si>
    <t xml:space="preserve">6(d)</t>
  </si>
  <si>
    <t xml:space="preserve">Components of disk data access time</t>
  </si>
  <si>
    <t xml:space="preserve">2017-18 3(a); 2012-13 5(a)</t>
  </si>
  <si>
    <t xml:space="preserve">DM cache (tag 31–10, index 9–5, offset 4–0), byte refs 0…2180: block size, entries, replacements, hit ratio, final state</t>
  </si>
  <si>
    <t xml:space="preserve">Direct-mapped caches &amp; traces — Ch 5, sl. 17–27</t>
  </si>
  <si>
    <t xml:space="preserve">L20</t>
  </si>
  <si>
    <t xml:space="preserve">2015-16 4(b) (CSE 305)</t>
  </si>
  <si>
    <t xml:space="preserve">DM cache (tag 31–10, index 9–5, offset 4–0), byte refs 0…2180: block size, entries, replacements, hit ratio</t>
  </si>
  <si>
    <t xml:space="preserve">2023-24 2(b) (CSE 209)</t>
  </si>
  <si>
    <t xml:space="preserve">9(b)</t>
  </si>
  <si>
    <t xml:space="preserve">Total size of a 4-way cache: 48-bit address, 64 KB data, 16-word blocks, tag/valid/dirty/protection bits, lb support</t>
  </si>
  <si>
    <t xml:space="preserve">Address fields &amp; total cache bits — Ch 5, sl. 26–27, 44</t>
  </si>
  <si>
    <t xml:space="preserve">L21</t>
  </si>
  <si>
    <t xml:space="preserve">2022-23 2(b) (CSE 305); 2019-20 6(b) (CSE 305); 2019-20 7(a) (CSE 305); 2018-19 4(b) (CSE 305); 2013-14 1(e) (CSE 305); 2012-13 7(b) (CSE 305); 2011-12 8(a) (CSE 305)</t>
  </si>
  <si>
    <t xml:space="preserve">Total bits for an 8-way cache, 4K blocks, 4-word blocks, 32-bit address (sets and tag bits)</t>
  </si>
  <si>
    <t xml:space="preserve">2022-23 9(b) (CSE 209); 2019-20 6(b); 2019-20 7(a); 2018-19 4(b); 2013-14 1(e); 2012-13 7(b); 2011-12 8(a)</t>
  </si>
  <si>
    <t xml:space="preserve">Fields 12/8/10/2 bits, 2-way LRU: distinct blocks; index of address 24092022; replacement probability</t>
  </si>
  <si>
    <t xml:space="preserve">2016-17 3(b); 2014-15 2(c)</t>
  </si>
  <si>
    <t xml:space="preserve">6(b)</t>
  </si>
  <si>
    <t xml:space="preserve">Total tag bits for an 8-way cache: 4K blocks, 4-word blocks, 32-bit address</t>
  </si>
  <si>
    <t xml:space="preserve">2022-23 9(b) (CSE 209); 2022-23 2(b); 2019-20 7(a); 2018-19 4(b); 2013-14 1(e); 2012-13 7(b); 2011-12 8(a)</t>
  </si>
  <si>
    <t xml:space="preserve">7(a)</t>
  </si>
  <si>
    <t xml:space="preserve">Total bits for a DM cache with 64 KB data and 8-word blocks, 32-bit address</t>
  </si>
  <si>
    <t xml:space="preserve">2022-23 9(b) (CSE 209); 2022-23 2(b); 2019-20 6(b); 2018-19 4(b); 2013-14 1(e); 2012-13 7(b); 2011-12 8(a)</t>
  </si>
  <si>
    <t xml:space="preserve">256 KB cache, 64-word blocks, WT, random: cache size; overhead for DM / 2-way / FA; cache address of lw $1,18($2) with $2=1000</t>
  </si>
  <si>
    <t xml:space="preserve">2022-23 9(b) (CSE 209); 2022-23 2(b); 2019-20 6(b); 2019-20 7(a); 2013-14 1(e); 2012-13 7(b); 2011-12 8(a)</t>
  </si>
  <si>
    <t xml:space="preserve">32-bit byte address, 64-byte lines: address formats + counts for DM (tag 20), fully associative, 4-way (tag 9)</t>
  </si>
  <si>
    <t xml:space="preserve">2020-21 6; 2014-15 2(c)</t>
  </si>
  <si>
    <t xml:space="preserve">2020-21 6; 2016-17 3(b)</t>
  </si>
  <si>
    <t xml:space="preserve">1(e)</t>
  </si>
  <si>
    <t xml:space="preserve">Tag-field size for a DM cache with 2^n blocks, 2^m-word blocks, 32-bit byte address</t>
  </si>
  <si>
    <t xml:space="preserve">2022-23 9(b) (CSE 209); 2022-23 2(b); 2019-20 6(b); 2019-20 7(a); 2018-19 4(b); 2012-13 7(b); 2011-12 8(a)</t>
  </si>
  <si>
    <t xml:space="preserve">7(b)</t>
  </si>
  <si>
    <t xml:space="preserve">16 KB cache, 128-byte lines: number of sets for 2-way, 4-way, 8-way</t>
  </si>
  <si>
    <t xml:space="preserve">2022-23 9(b) (CSE 209); 2022-23 2(b); 2019-20 6(b); 2019-20 7(a); 2018-19 4(b); 2013-14 1(e); 2011-12 8(a)</t>
  </si>
  <si>
    <t xml:space="preserve">16K blocks, 4-word blocks, 32-bit address, 4-way: total tag bits and total cache size</t>
  </si>
  <si>
    <t xml:space="preserve">2022-23 9(b) (CSE 209); 2022-23 2(b); 2019-20 6(b); 2019-20 7(a); 2018-19 4(b); 2013-14 1(e); 2012-13 7(b)</t>
  </si>
  <si>
    <t xml:space="preserve">8-block DM vs 2-way LRU tables for 32,36,35,32,48,32,51,35; hit ratios</t>
  </si>
  <si>
    <t xml:space="preserve">Set-associative caches &amp; LRU — Ch 5, sl. 38–45, 74–76</t>
  </si>
  <si>
    <t xml:space="preserve">L22</t>
  </si>
  <si>
    <t xml:space="preserve">2021-22 4(a); 2019-20 6(a); 2017-18 4(b); 2015-16 4(c); 2013-14 1(b); 2011-12 5(c)</t>
  </si>
  <si>
    <t xml:space="preserve">4-block FA / 2-way / DM (LRU) misses for 1,3,2,4,5,1,3,1,3,5,3,2</t>
  </si>
  <si>
    <t xml:space="preserve">2022-23 2(a); 2019-20 6(a); 2017-18 4(b); 2015-16 4(c); 2013-14 1(b); 2011-12 5(c)</t>
  </si>
  <si>
    <t xml:space="preserve">8-block DM / 2-way / 4-way (LRU) tables for 0,12,16,18,0</t>
  </si>
  <si>
    <t xml:space="preserve">2022-23 2(a); 2021-22 4(a); 2017-18 4(b); 2015-16 4(c); 2013-14 1(b); 2011-12 5(c)</t>
  </si>
  <si>
    <t xml:space="preserve">4-block FA / 2-way / DM (LRU) misses for 1,3,5,1,3,1,3,5,3,1,5,3</t>
  </si>
  <si>
    <t xml:space="preserve">2022-23 2(a); 2021-22 4(a); 2019-20 6(a); 2015-16 4(c); 2013-14 1(b); 2011-12 5(c)</t>
  </si>
  <si>
    <t xml:space="preserve">4-block FA / 2-way / DM misses for 0,2,4,8,10,12,14,16,0 and 1,3,5,1,3,1,3,5,3</t>
  </si>
  <si>
    <t xml:space="preserve">2022-23 2(a); 2021-22 4(a); 2019-20 6(a); 2017-18 4(b); 2013-14 1(b); 2011-12 5(c)</t>
  </si>
  <si>
    <t xml:space="preserve">2-way, 4 blocks, LRU: hits for 0,2,4,0,2,4,0,2,4 with cache state after each access</t>
  </si>
  <si>
    <t xml:space="preserve">2022-23 2(a); 2021-22 4(a); 2019-20 6(a); 2017-18 4(b); 2015-16 4(c); 2011-12 5(c)</t>
  </si>
  <si>
    <t xml:space="preserve">4-block FA / 2-way / DM misses for 0,4,0,2,6,8</t>
  </si>
  <si>
    <t xml:space="preserve">2022-23 2(a); 2021-22 4(a); 2019-20 6(a); 2017-18 4(b); 2015-16 4(c); 2013-14 1(b)</t>
  </si>
  <si>
    <t xml:space="preserve">What are direct-mapped, set-associative and fully associative schemes?</t>
  </si>
  <si>
    <t xml:space="preserve">Larger blocks: pros/cons; early restart, critical word first; write buffer in WT and WB</t>
  </si>
  <si>
    <t xml:space="preserve">Writes, block size, miss types — Ch 5, sl. 28–32, 77–79</t>
  </si>
  <si>
    <t xml:space="preserve">L23</t>
  </si>
  <si>
    <t xml:space="preserve">2017-18 3(b) (CSE 305); 2015-16 3(b) (CSE 305); 2012-13 7(a) (CSE 305)</t>
  </si>
  <si>
    <t xml:space="preserve">Spatial vs temporal locality; write-through vs write-back; how each handles a write miss</t>
  </si>
  <si>
    <t xml:space="preserve">2023-24 2(c) (CSE 209); 2015-16 3(b); 2012-13 7(a)</t>
  </si>
  <si>
    <t xml:space="preserve">Write-through vs write-back; how each handles a write miss</t>
  </si>
  <si>
    <t xml:space="preserve">2023-24 2(c) (CSE 209); 2017-18 3(b); 2012-13 7(a)</t>
  </si>
  <si>
    <t xml:space="preserve">Advantages of a write-back cache</t>
  </si>
  <si>
    <t xml:space="preserve">2023-24 2(c) (CSE 209); 2017-18 3(b); 2015-16 3(b)</t>
  </si>
  <si>
    <t xml:space="preserve">Blocks at 0x1000 and 0x2000 alternate, 1 KB DM cache, 32 blocks: misses; compulsory vs conflict</t>
  </si>
  <si>
    <t xml:space="preserve">6(c)</t>
  </si>
  <si>
    <t xml:space="preserve">Steps to handle a cache miss</t>
  </si>
  <si>
    <t xml:space="preserve">CPI 1, 4 GHz, 200 ns, 5%: speedup with L2 (10 ns, 2%) and then L3 (40 ns, 1%)</t>
  </si>
  <si>
    <t xml:space="preserve">Cache performance, AMAT, multilevel — Ch 5, sl. 33–37, 46–49</t>
  </si>
  <si>
    <t xml:space="preserve">L24</t>
  </si>
  <si>
    <t xml:space="preserve">2022-23 3(a) (CSE 305); 2021-22 3(a) (CSE 305); 2017-18 4(a) (CSE 305); 2015-16 4(d) (CSE 305); 2012-13 7(c) (CSE 305)</t>
  </si>
  <si>
    <t xml:space="preserve">9(a)</t>
  </si>
  <si>
    <t xml:space="preserve">P1 (L1+L2) vs P2 (L1+L2+L3): effective CPI, faster one, L2 miss rate needed to match</t>
  </si>
  <si>
    <t xml:space="preserve">11–12</t>
  </si>
  <si>
    <t xml:space="preserve">2018-19 4(a) (CSE 305)</t>
  </si>
  <si>
    <t xml:space="preserve">CPI 2, 0.5 ns, 150 ns, 5%: one-level CPI, ideal speedup; L2 (15 ns, 0.5%) CPI; speedup</t>
  </si>
  <si>
    <t xml:space="preserve">2023-24 2(a) (CSE 209); 2021-22 3(a); 2017-18 4(a); 2015-16 4(d); 2012-13 7(c)</t>
  </si>
  <si>
    <t xml:space="preserve">CPI 1, 4 GHz, 200 ns, 4%: speedup with L2 (10 ns, 1%) and L3 (40 ns, 0.5%)</t>
  </si>
  <si>
    <t xml:space="preserve">2023-24 2(a) (CSE 209); 2022-23 3(a); 2017-18 4(a); 2015-16 4(d); 2012-13 7(c)</t>
  </si>
  <si>
    <t xml:space="preserve">Cache→RAM→SSD→HDD (5/15/25/0%, 1/10/100/1000 cycles): P(fetch from SSD), expected time, I-cache miss rate</t>
  </si>
  <si>
    <t xml:space="preserve">Three processors (cycle time, block size, I/D miss rates, penalty 6 + block): most miss cycles, fastest/slowest, processor-3 organization</t>
  </si>
  <si>
    <t xml:space="preserve">2022-23 9(a) (CSE 209)</t>
  </si>
  <si>
    <t xml:space="preserve">I-cache 3%, D-cache 5%, 40% ld/st, CPI 2, penalty 200: perfect-cache speedup; time on memory stalls</t>
  </si>
  <si>
    <t xml:space="preserve">2015-16 4(a); 2011-12 6(b)</t>
  </si>
  <si>
    <t xml:space="preserve">2023-24 2(a) (CSE 209); 2022-23 3(a); 2021-22 3(a); 2015-16 4(d); 2012-13 7(c)</t>
  </si>
  <si>
    <t xml:space="preserve">I-cache 3%, D-cache 5%, 40% ld/st, CPI 2, penalty 100: perfect-cache speedup; time on stalls</t>
  </si>
  <si>
    <t xml:space="preserve">2017-18 3(d); 2011-12 6(b)</t>
  </si>
  <si>
    <t xml:space="preserve">CPI 1, 4 GHz, 100 ns, 3%: speedup with L2 (5 ns, 1%)</t>
  </si>
  <si>
    <t xml:space="preserve">2023-24 2(a) (CSE 209); 2022-23 3(a); 2021-22 3(a); 2017-18 4(a); 2012-13 7(c)</t>
  </si>
  <si>
    <t xml:space="preserve">CPI 2, 1 GHz, 100 ns, L1 4%: CPI with L1 only, + DM L2 (10 cyc, 4%), + 8-way L2 (20 cyc, 1.6%)</t>
  </si>
  <si>
    <t xml:space="preserve">2023-24 2(a) (CSE 209); 2022-23 3(a); 2021-22 3(a); 2017-18 4(a); 2015-16 4(d)</t>
  </si>
  <si>
    <t xml:space="preserve">I-cache 2%, D-cache 4%, CPI 6, 100 ns, 4 GHz: perfect-cache speedup</t>
  </si>
  <si>
    <t xml:space="preserve">2017-18 3(d); 2015-16 4(a)</t>
  </si>
  <si>
    <t xml:space="preserve">5(d)</t>
  </si>
  <si>
    <t xml:space="preserve">What is a split cache? How is it different from a multilevel cache?</t>
  </si>
  <si>
    <t xml:space="preserve">12(d)</t>
  </si>
  <si>
    <t xml:space="preserve">Radix sort vs quicksort: why the clock-cycle graph diverges from the instruction graph</t>
  </si>
  <si>
    <t xml:space="preserve">Software &amp; the cache — Ch 5, sl. 50–55, 90–91</t>
  </si>
  <si>
    <t xml:space="preserve">L25</t>
  </si>
  <si>
    <t xml:space="preserve">10(a)</t>
  </si>
  <si>
    <t xml:space="preserve">38-bit VA, 8 GB DRAM, 16 KB pages, 4 B PTE, 75 processes: single-level, 3-level (best/avg/worst), inverted table memory</t>
  </si>
  <si>
    <t xml:space="preserve">Virtual memory &amp; page tables — Ch 5, sl. 56–62</t>
  </si>
  <si>
    <t xml:space="preserve">L26</t>
  </si>
  <si>
    <t xml:space="preserve">2022-23 3(c) (CSE 305); 2018-19 3(b) (CSE 305); 2013-14 2(d) (CSE 305); 2011-12 7(a) (CSE 305)</t>
  </si>
  <si>
    <t xml:space="preserve">Virtual vs physical address; purpose of virtual addressing</t>
  </si>
  <si>
    <t xml:space="preserve">Page-table entries for a 64-bit VA → 30-bit PA with 8 KB pages</t>
  </si>
  <si>
    <t xml:space="preserve">2022-23 10(a) (CSE 209); 2018-19 3(b); 2013-14 2(d); 2011-12 7(a)</t>
  </si>
  <si>
    <t xml:space="preserve">Explain with diagrams how the page table works (VA, PA, memory, disk)</t>
  </si>
  <si>
    <t xml:space="preserve">2017-18 3(c); 2015-16 3(c)</t>
  </si>
  <si>
    <t xml:space="preserve">Approximate LRU with reference bits (4-entry page table, clear every 4 steps): simulate 0,0,2,7,0,6,1,2,6,7,1,1,7,1,4,1</t>
  </si>
  <si>
    <t xml:space="preserve">40-bit VA, 16 KB pages, 36-bit PA: page-table size; inverted size; VA→PA mapping with 2-way 256-entry TLB + 16 KB DM cache</t>
  </si>
  <si>
    <t xml:space="preserve">2022-23 10(a) (CSE 209); 2022-23 3(c); 2013-14 2(d); 2011-12 7(a)</t>
  </si>
  <si>
    <t xml:space="preserve">How the page table works w.r.t. VA, PA, main memory and disk</t>
  </si>
  <si>
    <t xml:space="preserve">2021-22 3(b); 2015-16 3(c)</t>
  </si>
  <si>
    <t xml:space="preserve">2021-22 3(b); 2017-18 3(c)</t>
  </si>
  <si>
    <t xml:space="preserve">32-bit VA, 4 GB DRAM, 8 KB pages, 4 B PTE: number of entries; memory for the page table</t>
  </si>
  <si>
    <t xml:space="preserve">2022-23 10(a) (CSE 209); 2022-23 3(c); 2018-19 3(b); 2011-12 7(a)</t>
  </si>
  <si>
    <t xml:space="preserve">Virtual memory; page table and page-table register; draw 32→30-bit mapping; page-table size (4 KB pages, 4 B PTE)</t>
  </si>
  <si>
    <t xml:space="preserve">2022-23 10(a) (CSE 209); 2022-23 3(c); 2018-19 3(b); 2013-14 2(d)</t>
  </si>
  <si>
    <t xml:space="preserve">TLB vs data cache; flow diagram of TLB–cache interaction for read and write</t>
  </si>
  <si>
    <t xml:space="preserve">TLB &amp; TLB–page table–cache path — Ch 5, sl. 63–72</t>
  </si>
  <si>
    <t xml:space="preserve">L27</t>
  </si>
  <si>
    <t xml:space="preserve">2018-19 3(a) (CSE 305); 2017-18 4(d) (CSE 305); 2015-16 3(d) (CSE 305)</t>
  </si>
  <si>
    <t xml:space="preserve">4 KB pages, 4-entry FA TLB (LRU): stream 4669…49225 — TLB hit / PT hit / page fault; final TLB and page table</t>
  </si>
  <si>
    <t xml:space="preserve">10(b)</t>
  </si>
  <si>
    <t xml:space="preserve">Block diagram of TLB + data cache: 32 KB pages, 64-bit VA, 64 GB DRAM, 32-entry FA TLB, 64 KB DM cache, 64-word blocks</t>
  </si>
  <si>
    <t xml:space="preserve">10(c)</t>
  </si>
  <si>
    <t xml:space="preserve">Why must the OS clear the TLB and data cache on a context switch? How to avoid clearing</t>
  </si>
  <si>
    <t xml:space="preserve">2012-13 6(b) (CSE 305)</t>
  </si>
  <si>
    <t xml:space="preserve">TLB / page table / cache hit-miss combinations: which are possible and when</t>
  </si>
  <si>
    <t xml:space="preserve">Purpose of the tag bits in the TLB</t>
  </si>
  <si>
    <t xml:space="preserve">2019-20 7(c); 2013-14 2(e); 2012-13 6(c)</t>
  </si>
  <si>
    <t xml:space="preserve">Explain how a TLB miss is handled</t>
  </si>
  <si>
    <t xml:space="preserve">2019-20 7(b); 2013-14 2(e); 2012-13 6(c)</t>
  </si>
  <si>
    <t xml:space="preserve">Flowchart: real read/write request with TLB, cache and virtual memory</t>
  </si>
  <si>
    <t xml:space="preserve">2023-24 3(a) (CSE 209); 2017-18 4(d); 2015-16 3(d)</t>
  </si>
  <si>
    <t xml:space="preserve">16-entry TLB, 4 KB pages, ≥2 MB working set: performance; improvement with and without money</t>
  </si>
  <si>
    <t xml:space="preserve">What is a TLB? Why is it necessary in virtual memory?</t>
  </si>
  <si>
    <t xml:space="preserve">2013-14 1(d)</t>
  </si>
  <si>
    <t xml:space="preserve">Flowchart of TLB–data cache interaction for write only</t>
  </si>
  <si>
    <t xml:space="preserve">2023-24 3(a) (CSE 209); 2018-19 3(a); 2015-16 3(d)</t>
  </si>
  <si>
    <t xml:space="preserve">TLB vs data cache; flowchart of TLB–cache interaction for read and write</t>
  </si>
  <si>
    <t xml:space="preserve">2023-24 3(a) (CSE 209); 2018-19 3(a); 2017-18 4(d)</t>
  </si>
  <si>
    <t xml:space="preserve">Limitation of a processor with virtual memory but no TLB</t>
  </si>
  <si>
    <t xml:space="preserve">2017-18 4(c)</t>
  </si>
  <si>
    <t xml:space="preserve">Procedure to handle a TLB miss</t>
  </si>
  <si>
    <t xml:space="preserve">2019-20 7(b); 2019-20 7(c); 2012-13 6(c)</t>
  </si>
  <si>
    <t xml:space="preserve">'The TLB acts as a cache of the page table for entries that map to physical pages only' — agree?</t>
  </si>
  <si>
    <t xml:space="preserve">2019-20 7(b); 2019-20 7(c); 2013-14 2(e)</t>
  </si>
  <si>
    <t xml:space="preserve">Disadvantages of a virtually addressed cache</t>
  </si>
  <si>
    <t xml:space="preserve">2022-23 10(c) (CSE 209)</t>
  </si>
  <si>
    <t xml:space="preserve">Cache coherence problem; how snooping solves it, with an example</t>
  </si>
  <si>
    <t xml:space="preserve">Cache coherence &amp; snooping — Ch 5, sl. 80–86</t>
  </si>
  <si>
    <t xml:space="preserve">L28</t>
  </si>
  <si>
    <t xml:space="preserve">2021-22 3(d) (CSE 305); 2015-16 8(a) (CSE 305); 2013-14 1(c) (CSE 305)</t>
  </si>
  <si>
    <t xml:space="preserve">How snooping solves cache coherence, with an example</t>
  </si>
  <si>
    <t xml:space="preserve">2023-24 3(c) (CSE 209); 2015-16 8(a); 2013-14 1(c)</t>
  </si>
  <si>
    <t xml:space="preserve">Methods to maintain coherence among caches and global memory in shared memory</t>
  </si>
  <si>
    <t xml:space="preserve">2023-24 3(c) (CSE 209); 2021-22 3(d); 2013-14 1(c)</t>
  </si>
  <si>
    <t xml:space="preserve">Three conditions for a cache/memory to be coherent</t>
  </si>
  <si>
    <t xml:space="preserve">2023-24 3(c) (CSE 209); 2021-22 3(d); 2015-16 8(a)</t>
  </si>
  <si>
    <t xml:space="preserve">GPUs &amp; Final Integration</t>
  </si>
  <si>
    <t xml:space="preserve">Note file: CSE209_GPUs_Final_Integration_Notes.docx   ·   Solve after finishing the matching lesson. Filter Priority → ★★★ High first.</t>
  </si>
  <si>
    <t xml:space="preserve">Block diagrams: contemporary Intel and AMD PCs with a separate GPU; how CPU and GPU access each other's memory</t>
  </si>
  <si>
    <t xml:space="preserve">GPU systems, CPU–GPU memory access — GPU Slides, sl. 2–4, 10–19</t>
  </si>
  <si>
    <t xml:space="preserve">L33</t>
  </si>
  <si>
    <t xml:space="preserve">2021-22 4(b) (CSE 305)</t>
  </si>
  <si>
    <t xml:space="preserve">2023-24 4(a) (CSE 209)</t>
  </si>
  <si>
    <t xml:space="preserve">Kernel, grid, thread block in CUDA; how they map to SP cores and SMs</t>
  </si>
  <si>
    <t xml:space="preserve">CUDA: kernel, block, grid, mapping — GPU Slides, sl. 7–9, 27–34</t>
  </si>
  <si>
    <t xml:space="preserve">L35</t>
  </si>
  <si>
    <t xml:space="preserve">2021-22 4(c) (CSE 305)</t>
  </si>
  <si>
    <t xml:space="preserve">2023-24 4(c) (CSE 209)</t>
  </si>
  <si>
    <t xml:space="preserve">1</t>
  </si>
  <si>
    <t xml:space="preserve">Eight great ideas: (a) code reordering, (b) separate data/instruction caches, (c) GPUs after the power wall</t>
  </si>
  <si>
    <t xml:space="preserve">Final integration: eight great ideas — all RS notes</t>
  </si>
  <si>
    <t xml:space="preserve">L36</t>
  </si>
  <si>
    <t xml:space="preserve">2016-17 5(a); 2014-15 5(a)</t>
  </si>
  <si>
    <t xml:space="preserve">Your favourite topic from processor, memory hierarchy and multiprocessors — describe briefly</t>
  </si>
  <si>
    <t xml:space="preserve">Eight great ideas behind: single-cycle design not used; prefetching</t>
  </si>
  <si>
    <t xml:space="preserve">2020-21 1; 2014-15 5(a)</t>
  </si>
  <si>
    <t xml:space="preserve">Eight great ideas behind: PC-relative branches, on-chip caches, 31-adder multiplier, procedures, prefetching</t>
  </si>
  <si>
    <t xml:space="preserve">2020-21 1; 2016-17 5(a)</t>
  </si>
  <si>
    <t xml:space="preserve">Implementation of the MIPS Control Unit</t>
  </si>
  <si>
    <t xml:space="preserve">Note file: CSE209_Control_Unit_Notes.docx   ·   Solve after finishing the matching lesson. Filter Priority → ★★★ High first.</t>
  </si>
  <si>
    <t xml:space="preserve">ALU control bits from ALUOp and funct (gate-level version: Lesson 29; table: Ch 4 P1 L4)</t>
  </si>
  <si>
    <t xml:space="preserve">Combinational control, PLA — Control Unit PDF, pp. 2–7</t>
  </si>
  <si>
    <t xml:space="preserve">L29</t>
  </si>
  <si>
    <t xml:space="preserve">Can PCWriteCond be safely replaced by PCSource[0]? Justify</t>
  </si>
  <si>
    <t xml:space="preserve">Output/next-state equations, ROM/PLA — Control Unit PDF, pp. 7–20</t>
  </si>
  <si>
    <t xml:space="preserve">L31</t>
  </si>
  <si>
    <t xml:space="preserve">Relative merits of horizontal and vertical microinstruction formats</t>
  </si>
  <si>
    <t xml:space="preserve">Sequencer, microprogram, hardwired vs micro — Control Unit PDF, pp. 21–31</t>
  </si>
  <si>
    <t xml:space="preserve">L32</t>
  </si>
  <si>
    <t xml:space="preserve">2011-12 3(c)</t>
  </si>
  <si>
    <t xml:space="preserve">Present and explain a microprogram for the multicycle control unit (Fig. 3)</t>
  </si>
  <si>
    <t xml:space="preserve">79, 83</t>
  </si>
  <si>
    <t xml:space="preserve">Modify the multicycle implementation to handle undefined-instruction and overflow exceptions</t>
  </si>
  <si>
    <t xml:space="preserve">2012-13 3(c)</t>
  </si>
  <si>
    <t xml:space="preserve">In which step should overflow be detected so the destination register is not changed?</t>
  </si>
  <si>
    <t xml:space="preserve">2012-13 3(b)</t>
  </si>
  <si>
    <t xml:space="preserve">Properties of hard-wired and microprogrammed control-unit design</t>
  </si>
  <si>
    <t xml:space="preserve">2016-17 1(d)</t>
  </si>
  <si>
    <t xml:space="preserve">RS-section questions on topics NOT in the current slides</t>
  </si>
  <si>
    <t xml:space="preserve">Mostly older papers. Ask sir whether these topics are in this term's syllabus before practising them.</t>
  </si>
  <si>
    <t xml:space="preserve">Topic Area</t>
  </si>
  <si>
    <t xml:space="preserve">Shared memory multiprocessor (SMP); SISD vs MIMD</t>
  </si>
  <si>
    <t xml:space="preserve">Multiprocessors / Flynn taxonomy</t>
  </si>
  <si>
    <t xml:space="preserve">7(a), 7(c)</t>
  </si>
  <si>
    <t xml:space="preserve">Coarse/fine/SMT multithreading slot diagrams; vector vs array processor</t>
  </si>
  <si>
    <t xml:space="preserve">Multithreading / vector processors</t>
  </si>
  <si>
    <t xml:space="preserve">24–25</t>
  </si>
  <si>
    <t xml:space="preserve">9</t>
  </si>
  <si>
    <t xml:space="preserve">Scalar + 8×8 matrix sums on 8 vs 16 processors: speedups; 16×16 matrices; recursive scalar sum</t>
  </si>
  <si>
    <t xml:space="preserve">Multiprocessors / Amdahl's law</t>
  </si>
  <si>
    <t xml:space="preserve">1(a)–(c)</t>
  </si>
  <si>
    <t xml:space="preserve">Single-bus CPU datapath (PC, MAR, MDR, Y, Z): block diagram, control steps for Add (R3),R1, compact control word</t>
  </si>
  <si>
    <t xml:space="preserve">Single-bus datapath (older syllabus)</t>
  </si>
  <si>
    <t xml:space="preserve">Cache 6 ns/bit hit, memory 900 ns/bit miss: block transfer time and access efficiency at hit ratio 0.8</t>
  </si>
  <si>
    <t xml:space="preserve">Memory access efficiency (not in slides)</t>
  </si>
  <si>
    <t xml:space="preserve">SISD, SIMD and MISD architectures with block diagrams</t>
  </si>
  <si>
    <t xml:space="preserve">Flynn taxonomy</t>
  </si>
  <si>
    <t xml:space="preserve">Bus-based shared-memory multiprocessor: max processors, hit rate for 20 processors</t>
  </si>
  <si>
    <t xml:space="preserve">Multiprocessors</t>
  </si>
  <si>
    <t xml:space="preserve">Compare CISC and RISC architectures</t>
  </si>
  <si>
    <t xml:space="preserve">ISA (ART part)</t>
  </si>
  <si>
    <t xml:space="preserve">7(a)–(b)</t>
  </si>
  <si>
    <t xml:space="preserve">Coarse/fine/SMT multithreading slot diagrams; max processors on a bus</t>
  </si>
  <si>
    <t xml:space="preserve">Multithreading / multiprocessors</t>
  </si>
  <si>
    <t xml:space="preserve">8(b)–(c)</t>
  </si>
  <si>
    <t xml:space="preserve">Sum 64,000 numbers on UMA and message-passing multiprocessors; message-passing organization</t>
  </si>
  <si>
    <t xml:space="preserve">SISD, SIMD, MIMD and MISD architectures with block diagrams</t>
  </si>
  <si>
    <t xml:space="preserve">2(b)(ii)</t>
  </si>
  <si>
    <t xml:space="preserve">Short note on holographic data storage</t>
  </si>
  <si>
    <t xml:space="preserve">Storage (not in slides)</t>
  </si>
  <si>
    <t xml:space="preserve">4(a)–(c)</t>
  </si>
  <si>
    <t xml:space="preserve">I/O module, vectored interrupts with daisy chain, DMA transfer</t>
  </si>
  <si>
    <t xml:space="preserve">I/O (not in slides)</t>
  </si>
  <si>
    <t xml:space="preserve">69–70</t>
  </si>
  <si>
    <t xml:space="preserve">2(a)–(c)</t>
  </si>
  <si>
    <t xml:space="preserve">Shared memory vs clusters space; network bandwidth (ring, fully connected); UMA vs NUMA</t>
  </si>
  <si>
    <t xml:space="preserve">Multiprocessors / networks</t>
  </si>
  <si>
    <t xml:space="preserve">RAID 0, interrupt handling, Cause register, DMA stale data</t>
  </si>
  <si>
    <t xml:space="preserve">I/O and storage (not in slides)</t>
  </si>
  <si>
    <t xml:space="preserve">Purpose of RAID; RAID levels with diagrams</t>
  </si>
  <si>
    <t xml:space="preserve">Interleaved memory organization</t>
  </si>
  <si>
    <t xml:space="preserve">Memory organization (slides only mention DRAM banking)</t>
  </si>
  <si>
    <t xml:space="preserve">7(e)</t>
  </si>
  <si>
    <t xml:space="preserve">Fine-grain vs coarse-grain multithreading</t>
  </si>
  <si>
    <t xml:space="preserve">Hardware multithreading</t>
  </si>
  <si>
    <t xml:space="preserve">State diagram of a simple cache controller</t>
  </si>
  <si>
    <t xml:space="preserve">Cache controller FSM (not in slides)</t>
  </si>
  <si>
    <t xml:space="preserve">7(c), 8(b)–(d)</t>
  </si>
  <si>
    <t xml:space="preserve">Synchronous/asynchronous buses; shared-memory vs message-passing; memory buses</t>
  </si>
  <si>
    <t xml:space="preserve">Buses / multiprocessors</t>
  </si>
  <si>
    <t xml:space="preserve">86–87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</si>
</sst>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dd\-mmm\-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BE5D6"/>
      </patternFill>
    </fill>
    <fill>
      <patternFill patternType="solid">
        <fgColor rgb="FFF8CBAD"/>
        <bgColor rgb="FFFFC7CE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9E1F2"/>
        <bgColor rgb="FFDDEBF7"/>
      </patternFill>
    </fill>
    <fill>
      <patternFill patternType="solid">
        <fgColor rgb="FFFBE5D6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BE5D6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F2F2F2"/>
      <rgbColor rgb="FFFFC7CE"/>
      <rgbColor rgb="FFFCE4D6"/>
      <rgbColor rgb="FFF8CBAD"/>
      <rgbColor rgb="FF3366FF"/>
      <rgbColor rgb="FF33CCCC"/>
      <rgbColor rgb="FF99CC00"/>
      <rgbColor rgb="FFFBE5D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27.75" hidden="false" customHeight="true" outlineLevel="0" collapsed="false">
      <c r="B6" s="5" t="s">
        <v>3</v>
      </c>
      <c r="C6" s="6" t="s">
        <v>4</v>
      </c>
    </row>
    <row r="7" customFormat="false" ht="27.75" hidden="false" customHeight="true" outlineLevel="0" collapsed="false">
      <c r="B7" s="5" t="s">
        <v>5</v>
      </c>
      <c r="C7" s="6" t="s">
        <v>6</v>
      </c>
    </row>
    <row r="8" customFormat="false" ht="27.75" hidden="false" customHeight="true" outlineLevel="0" collapsed="false">
      <c r="B8" s="5" t="s">
        <v>7</v>
      </c>
      <c r="C8" s="6" t="s">
        <v>8</v>
      </c>
    </row>
    <row r="9" customFormat="false" ht="27.75" hidden="false" customHeight="true" outlineLevel="0" collapsed="false">
      <c r="B9" s="5" t="s">
        <v>9</v>
      </c>
      <c r="C9" s="6" t="s">
        <v>10</v>
      </c>
    </row>
    <row r="10" customFormat="false" ht="27.75" hidden="false" customHeight="true" outlineLevel="0" collapsed="false">
      <c r="B10" s="5" t="s">
        <v>11</v>
      </c>
      <c r="C10" s="6" t="s">
        <v>12</v>
      </c>
    </row>
    <row r="11" customFormat="false" ht="27.75" hidden="false" customHeight="true" outlineLevel="0" collapsed="false">
      <c r="B11" s="5" t="s">
        <v>13</v>
      </c>
      <c r="C11" s="6" t="s">
        <v>14</v>
      </c>
    </row>
    <row r="13" customFormat="false" ht="15" hidden="false" customHeight="false" outlineLevel="0" collapsed="false">
      <c r="B13" s="3" t="s">
        <v>15</v>
      </c>
      <c r="C13" s="4"/>
    </row>
    <row r="14" customFormat="false" ht="27.75" hidden="false" customHeight="true" outlineLevel="0" collapsed="false">
      <c r="B14" s="7" t="s">
        <v>16</v>
      </c>
      <c r="C14" s="6" t="s">
        <v>17</v>
      </c>
    </row>
    <row r="15" customFormat="false" ht="15" hidden="false" customHeight="true" outlineLevel="0" collapsed="false">
      <c r="B15" s="7" t="s">
        <v>18</v>
      </c>
      <c r="C15" s="6" t="s">
        <v>19</v>
      </c>
    </row>
    <row r="16" customFormat="false" ht="15" hidden="false" customHeight="true" outlineLevel="0" collapsed="false">
      <c r="B16" s="7" t="s">
        <v>20</v>
      </c>
      <c r="C16" s="6" t="s">
        <v>21</v>
      </c>
    </row>
    <row r="17" customFormat="false" ht="15" hidden="false" customHeight="true" outlineLevel="0" collapsed="false">
      <c r="B17" s="7" t="s">
        <v>22</v>
      </c>
      <c r="C17" s="6" t="s">
        <v>23</v>
      </c>
    </row>
    <row r="19" customFormat="false" ht="15" hidden="false" customHeight="false" outlineLevel="0" collapsed="false">
      <c r="B19" s="3" t="s">
        <v>24</v>
      </c>
      <c r="C19" s="4"/>
    </row>
    <row r="20" customFormat="false" ht="15" hidden="false" customHeight="true" outlineLevel="0" collapsed="false">
      <c r="B20" s="8" t="s">
        <v>25</v>
      </c>
      <c r="C20" s="6" t="s">
        <v>26</v>
      </c>
    </row>
    <row r="21" customFormat="false" ht="15" hidden="false" customHeight="true" outlineLevel="0" collapsed="false">
      <c r="B21" s="9" t="s">
        <v>27</v>
      </c>
      <c r="C21" s="6" t="s">
        <v>28</v>
      </c>
    </row>
    <row r="22" customFormat="false" ht="15" hidden="false" customHeight="true" outlineLevel="0" collapsed="false">
      <c r="B22" s="10" t="s">
        <v>29</v>
      </c>
      <c r="C22" s="6" t="s">
        <v>30</v>
      </c>
    </row>
    <row r="23" customFormat="false" ht="27.75" hidden="false" customHeight="true" outlineLevel="0" collapsed="false">
      <c r="B23" s="5" t="s">
        <v>31</v>
      </c>
      <c r="C23" s="6" t="s">
        <v>32</v>
      </c>
    </row>
    <row r="24" customFormat="false" ht="15" hidden="false" customHeight="true" outlineLevel="0" collapsed="false">
      <c r="B24" s="5" t="s">
        <v>33</v>
      </c>
      <c r="C24" s="6" t="s">
        <v>34</v>
      </c>
    </row>
    <row r="25" customFormat="false" ht="15" hidden="false" customHeight="true" outlineLevel="0" collapsed="false">
      <c r="B25" s="5" t="s">
        <v>35</v>
      </c>
      <c r="C25" s="6" t="s">
        <v>36</v>
      </c>
    </row>
    <row r="26" customFormat="false" ht="27.75" hidden="false" customHeight="true" outlineLevel="0" collapsed="false">
      <c r="B26" s="5" t="s">
        <v>37</v>
      </c>
      <c r="C26" s="6" t="s">
        <v>38</v>
      </c>
    </row>
    <row r="28" customFormat="false" ht="15" hidden="false" customHeight="false" outlineLevel="0" collapsed="false">
      <c r="B28" s="3" t="s">
        <v>39</v>
      </c>
      <c r="C28" s="4"/>
    </row>
    <row r="29" customFormat="false" ht="15" hidden="false" customHeight="false" outlineLevel="0" collapsed="false">
      <c r="B29" s="11" t="s">
        <v>40</v>
      </c>
      <c r="C29" s="12" t="s">
        <v>41</v>
      </c>
    </row>
    <row r="30" customFormat="false" ht="15" hidden="false" customHeight="false" outlineLevel="0" collapsed="false">
      <c r="B30" s="11" t="s">
        <v>42</v>
      </c>
      <c r="C30" s="1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7"/>
    <col collapsed="false" customWidth="true" hidden="false" outlineLevel="0" max="10" min="10" style="0" width="46"/>
  </cols>
  <sheetData>
    <row r="1" customFormat="false" ht="19.7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30" hidden="false" customHeight="true" outlineLevel="0" collapsed="false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  <c r="G4" s="14" t="s">
        <v>52</v>
      </c>
      <c r="H4" s="14" t="s">
        <v>53</v>
      </c>
      <c r="I4" s="14" t="s">
        <v>54</v>
      </c>
      <c r="J4" s="14" t="s">
        <v>55</v>
      </c>
    </row>
    <row r="5" customFormat="false" ht="15" hidden="false" customHeight="false" outlineLevel="0" collapsed="false">
      <c r="A5" s="15" t="n">
        <v>1</v>
      </c>
      <c r="B5" s="16" t="s">
        <v>56</v>
      </c>
      <c r="C5" s="15" t="n">
        <f aca="false">COUNTA('1 Ch4 P1 Single-Cycle'!$E$4:$E$31)</f>
        <v>28</v>
      </c>
      <c r="D5" s="15" t="n">
        <f aca="false">COUNTIF('1 Ch4 P1 Single-Cycle'!$N$4:$N$31,TRUE())</f>
        <v>0</v>
      </c>
      <c r="E5" s="17" t="n">
        <f aca="false">IF(C5=0,0,D5/C5)</f>
        <v>0</v>
      </c>
      <c r="F5" s="15" t="n">
        <f aca="false">SUM('1 Ch4 P1 Single-Cycle'!$H$4:$H$31)</f>
        <v>307</v>
      </c>
      <c r="G5" s="15" t="n">
        <f aca="false">SUMIF('1 Ch4 P1 Single-Cycle'!$N$4:$N$31,TRUE(),'1 Ch4 P1 Single-Cycle'!$H$4:$H$31)</f>
        <v>0</v>
      </c>
      <c r="H5" s="15" t="n">
        <f aca="false">COUNTIFS('1 Ch4 P1 Single-Cycle'!$J$4:$J$31,"★★★ High",'1 Ch4 P1 Single-Cycle'!$N$4:$N$31,FALSE())</f>
        <v>15</v>
      </c>
      <c r="I5" s="15" t="n">
        <f aca="false">COUNTIF('1 Ch4 P1 Single-Cycle'!$O$4:$O$31,"Weak")</f>
        <v>0</v>
      </c>
      <c r="J5" s="16" t="str">
        <f aca="false">IFERROR("Q"&amp;INDEX('1 Ch4 P1 Single-Cycle'!$A$4:$A$31,MATCH(FALSE(),'1 Ch4 P1 Single-Cycle'!$N$4:$N$31,0))&amp;" · "&amp;INDEX('1 Ch4 P1 Single-Cycle'!$B$4:$B$31,MATCH(FALSE(),'1 Ch4 P1 Single-Cycle'!$N$4:$N$31,0))&amp;" "&amp;INDEX('1 Ch4 P1 Single-Cycle'!$D$4:$D$31,MATCH(FALSE(),'1 Ch4 P1 Single-Cycle'!$N$4:$N$31,0))&amp;" · TF p."&amp;INDEX('1 Ch4 P1 Single-Cycle'!$I$4:$I$31,MATCH(FALSE(),'1 Ch4 P1 Single-Cycle'!$N$4:$N$31,0)),"All done ✔")</f>
        <v>Q1 · 2011-12 3(b) · TF p.84</v>
      </c>
    </row>
    <row r="6" customFormat="false" ht="15" hidden="false" customHeight="false" outlineLevel="0" collapsed="false">
      <c r="A6" s="15" t="n">
        <v>2</v>
      </c>
      <c r="B6" s="16" t="s">
        <v>57</v>
      </c>
      <c r="C6" s="15" t="n">
        <f aca="false">COUNTA('2 Ch4 P2 Pipelining'!$E$4:$E$66)</f>
        <v>63</v>
      </c>
      <c r="D6" s="15" t="n">
        <f aca="false">COUNTIF('2 Ch4 P2 Pipelining'!$N$4:$N$66,TRUE())</f>
        <v>0</v>
      </c>
      <c r="E6" s="17" t="n">
        <f aca="false">IF(C6=0,0,D6/C6)</f>
        <v>0</v>
      </c>
      <c r="F6" s="15" t="n">
        <f aca="false">SUM('2 Ch4 P2 Pipelining'!$H$4:$H$66)</f>
        <v>642</v>
      </c>
      <c r="G6" s="15" t="n">
        <f aca="false">SUMIF('2 Ch4 P2 Pipelining'!$N$4:$N$66,TRUE(),'2 Ch4 P2 Pipelining'!$H$4:$H$66)</f>
        <v>0</v>
      </c>
      <c r="H6" s="15" t="n">
        <f aca="false">COUNTIFS('2 Ch4 P2 Pipelining'!$J$4:$J$66,"★★★ High",'2 Ch4 P2 Pipelining'!$N$4:$N$66,FALSE())</f>
        <v>27</v>
      </c>
      <c r="I6" s="15" t="n">
        <f aca="false">COUNTIF('2 Ch4 P2 Pipelining'!$O$4:$O$66,"Weak")</f>
        <v>0</v>
      </c>
      <c r="J6" s="16" t="str">
        <f aca="false">IFERROR("Q"&amp;INDEX('2 Ch4 P2 Pipelining'!$A$4:$A$66,MATCH(FALSE(),'2 Ch4 P2 Pipelining'!$N$4:$N$66,0))&amp;" · "&amp;INDEX('2 Ch4 P2 Pipelining'!$B$4:$B$66,MATCH(FALSE(),'2 Ch4 P2 Pipelining'!$N$4:$N$66,0))&amp;" "&amp;INDEX('2 Ch4 P2 Pipelining'!$D$4:$D$66,MATCH(FALSE(),'2 Ch4 P2 Pipelining'!$N$4:$N$66,0))&amp;" · TF p."&amp;INDEX('2 Ch4 P2 Pipelining'!$I$4:$I$66,MATCH(FALSE(),'2 Ch4 P2 Pipelining'!$N$4:$N$66,0)),"All done ✔")</f>
        <v>Q1 · 2022-23 6(a) · TF p.18</v>
      </c>
    </row>
    <row r="7" customFormat="false" ht="15" hidden="false" customHeight="false" outlineLevel="0" collapsed="false">
      <c r="A7" s="15" t="n">
        <v>3</v>
      </c>
      <c r="B7" s="16" t="s">
        <v>58</v>
      </c>
      <c r="C7" s="15" t="n">
        <f aca="false">COUNTA('3 Ch5 Memory'!$E$4:$E$82)</f>
        <v>79</v>
      </c>
      <c r="D7" s="15" t="n">
        <f aca="false">COUNTIF('3 Ch5 Memory'!$N$4:$N$82,TRUE())</f>
        <v>0</v>
      </c>
      <c r="E7" s="17" t="n">
        <f aca="false">IF(C7=0,0,D7/C7)</f>
        <v>0</v>
      </c>
      <c r="F7" s="15" t="n">
        <f aca="false">SUM('3 Ch5 Memory'!$H$4:$H$82)</f>
        <v>825</v>
      </c>
      <c r="G7" s="15" t="n">
        <f aca="false">SUMIF('3 Ch5 Memory'!$N$4:$N$82,TRUE(),'3 Ch5 Memory'!$H$4:$H$82)</f>
        <v>0</v>
      </c>
      <c r="H7" s="15" t="n">
        <f aca="false">COUNTIFS('3 Ch5 Memory'!$J$4:$J$82,"★★★ High",'3 Ch5 Memory'!$N$4:$N$82,FALSE())</f>
        <v>30</v>
      </c>
      <c r="I7" s="15" t="n">
        <f aca="false">COUNTIF('3 Ch5 Memory'!$O$4:$O$82,"Weak")</f>
        <v>0</v>
      </c>
      <c r="J7" s="16" t="str">
        <f aca="false">IFERROR("Q"&amp;INDEX('3 Ch5 Memory'!$A$4:$A$82,MATCH(FALSE(),'3 Ch5 Memory'!$N$4:$N$82,0))&amp;" · "&amp;INDEX('3 Ch5 Memory'!$B$4:$B$82,MATCH(FALSE(),'3 Ch5 Memory'!$N$4:$N$82,0))&amp;" "&amp;INDEX('3 Ch5 Memory'!$D$4:$D$82,MATCH(FALSE(),'3 Ch5 Memory'!$N$4:$N$82,0))&amp;" · TF p."&amp;INDEX('3 Ch5 Memory'!$I$4:$I$82,MATCH(FALSE(),'3 Ch5 Memory'!$N$4:$N$82,0)),"All done ✔")</f>
        <v>Q1 · 2017-18 3(a) · TF p.50</v>
      </c>
    </row>
    <row r="8" customFormat="false" ht="15" hidden="false" customHeight="false" outlineLevel="0" collapsed="false">
      <c r="A8" s="15" t="n">
        <v>4</v>
      </c>
      <c r="B8" s="16" t="s">
        <v>59</v>
      </c>
      <c r="C8" s="15" t="n">
        <f aca="false">COUNTA('4 GPU + Integration'!$E$4:$E$11)</f>
        <v>8</v>
      </c>
      <c r="D8" s="15" t="n">
        <f aca="false">COUNTIF('4 GPU + Integration'!$N$4:$N$11,TRUE())</f>
        <v>0</v>
      </c>
      <c r="E8" s="17" t="n">
        <f aca="false">IF(C8=0,0,D8/C8)</f>
        <v>0</v>
      </c>
      <c r="F8" s="15" t="n">
        <f aca="false">SUM('4 GPU + Integration'!$H$4:$H$11)</f>
        <v>100</v>
      </c>
      <c r="G8" s="15" t="n">
        <f aca="false">SUMIF('4 GPU + Integration'!$N$4:$N$11,TRUE(),'4 GPU + Integration'!$H$4:$H$11)</f>
        <v>0</v>
      </c>
      <c r="H8" s="15" t="n">
        <f aca="false">COUNTIFS('4 GPU + Integration'!$J$4:$J$11,"★★★ High",'4 GPU + Integration'!$N$4:$N$11,FALSE())</f>
        <v>6</v>
      </c>
      <c r="I8" s="15" t="n">
        <f aca="false">COUNTIF('4 GPU + Integration'!$O$4:$O$11,"Weak")</f>
        <v>0</v>
      </c>
      <c r="J8" s="16" t="str">
        <f aca="false">IFERROR("Q"&amp;INDEX('4 GPU + Integration'!$A$4:$A$11,MATCH(FALSE(),'4 GPU + Integration'!$N$4:$N$11,0))&amp;" · "&amp;INDEX('4 GPU + Integration'!$B$4:$B$11,MATCH(FALSE(),'4 GPU + Integration'!$N$4:$N$11,0))&amp;" "&amp;INDEX('4 GPU + Integration'!$D$4:$D$11,MATCH(FALSE(),'4 GPU + Integration'!$N$4:$N$11,0))&amp;" · TF p."&amp;INDEX('4 GPU + Integration'!$I$4:$I$11,MATCH(FALSE(),'4 GPU + Integration'!$N$4:$N$11,0)),"All done ✔")</f>
        <v>Q1 · 2023-24 4(a) · TF p.4</v>
      </c>
    </row>
    <row r="9" customFormat="false" ht="15" hidden="false" customHeight="false" outlineLevel="0" collapsed="false">
      <c r="A9" s="15" t="n">
        <v>5</v>
      </c>
      <c r="B9" s="16" t="s">
        <v>60</v>
      </c>
      <c r="C9" s="15" t="n">
        <f aca="false">COUNTA('5 Control Unit'!$E$4:$E$10)</f>
        <v>7</v>
      </c>
      <c r="D9" s="15" t="n">
        <f aca="false">COUNTIF('5 Control Unit'!$N$4:$N$10,TRUE())</f>
        <v>0</v>
      </c>
      <c r="E9" s="17" t="n">
        <f aca="false">IF(C9=0,0,D9/C9)</f>
        <v>0</v>
      </c>
      <c r="F9" s="15" t="n">
        <f aca="false">SUM('5 Control Unit'!$H$4:$H$10)</f>
        <v>56</v>
      </c>
      <c r="G9" s="15" t="n">
        <f aca="false">SUMIF('5 Control Unit'!$N$4:$N$10,TRUE(),'5 Control Unit'!$H$4:$H$10)</f>
        <v>0</v>
      </c>
      <c r="H9" s="15" t="n">
        <f aca="false">COUNTIFS('5 Control Unit'!$J$4:$J$10,"★★★ High",'5 Control Unit'!$N$4:$N$10,FALSE())</f>
        <v>0</v>
      </c>
      <c r="I9" s="15" t="n">
        <f aca="false">COUNTIF('5 Control Unit'!$O$4:$O$10,"Weak")</f>
        <v>0</v>
      </c>
      <c r="J9" s="16" t="str">
        <f aca="false">IFERROR("Q"&amp;INDEX('5 Control Unit'!$A$4:$A$10,MATCH(FALSE(),'5 Control Unit'!$N$4:$N$10,0))&amp;" · "&amp;INDEX('5 Control Unit'!$B$4:$B$10,MATCH(FALSE(),'5 Control Unit'!$N$4:$N$10,0))&amp;" "&amp;INDEX('5 Control Unit'!$D$4:$D$10,MATCH(FALSE(),'5 Control Unit'!$N$4:$N$10,0))&amp;" · TF p."&amp;INDEX('5 Control Unit'!$I$4:$I$10,MATCH(FALSE(),'5 Control Unit'!$N$4:$N$10,0)),"All done ✔")</f>
        <v>Q1 · 2016-17 2(b) · TF p.55</v>
      </c>
    </row>
    <row r="10" customFormat="false" ht="15" hidden="false" customHeight="false" outlineLevel="0" collapsed="false">
      <c r="A10" s="18"/>
      <c r="B10" s="19" t="s">
        <v>61</v>
      </c>
      <c r="C10" s="18" t="n">
        <f aca="false">SUM(C5:C9)</f>
        <v>185</v>
      </c>
      <c r="D10" s="18" t="n">
        <f aca="false">SUM(D5:D9)</f>
        <v>0</v>
      </c>
      <c r="E10" s="20" t="n">
        <f aca="false">IF(C10=0,0,D10/C10)</f>
        <v>0</v>
      </c>
      <c r="F10" s="18" t="n">
        <f aca="false">SUM(F5:F9)</f>
        <v>1930</v>
      </c>
      <c r="G10" s="18" t="n">
        <f aca="false">SUM(G5:G9)</f>
        <v>0</v>
      </c>
      <c r="H10" s="18" t="n">
        <f aca="false">SUM(H5:H9)</f>
        <v>78</v>
      </c>
      <c r="I10" s="18" t="n">
        <f aca="false">SUM(I5:I9)</f>
        <v>0</v>
      </c>
      <c r="J10" s="19"/>
    </row>
    <row r="12" customFormat="false" ht="15" hidden="false" customHeight="false" outlineLevel="0" collapsed="false">
      <c r="A12" s="21" t="s">
        <v>62</v>
      </c>
    </row>
    <row r="13" customFormat="false" ht="15" hidden="false" customHeight="false" outlineLevel="0" collapsed="false">
      <c r="A13" s="22" t="s">
        <v>46</v>
      </c>
      <c r="B13" s="22" t="s">
        <v>63</v>
      </c>
      <c r="C13" s="22" t="s">
        <v>48</v>
      </c>
      <c r="D13" s="22" t="s">
        <v>49</v>
      </c>
      <c r="E13" s="22" t="s">
        <v>50</v>
      </c>
      <c r="F13" s="22" t="s">
        <v>51</v>
      </c>
    </row>
    <row r="14" customFormat="false" ht="15" hidden="false" customHeight="false" outlineLevel="0" collapsed="false">
      <c r="A14" s="23" t="n">
        <v>1</v>
      </c>
      <c r="B14" s="23" t="s">
        <v>64</v>
      </c>
      <c r="C14" s="23" t="n">
        <f aca="false">COUNTIF('1 Ch4 P1 Single-Cycle'!$B$4:$B$31,$B14)+COUNTIF('2 Ch4 P2 Pipelining'!$B$4:$B$66,$B14)+COUNTIF('3 Ch5 Memory'!$B$4:$B$82,$B14)+COUNTIF('4 GPU + Integration'!$B$4:$B$11,$B14)+COUNTIF('5 Control Unit'!$B$4:$B$10,$B14)</f>
        <v>18</v>
      </c>
      <c r="D14" s="23" t="n">
        <f aca="false">COUNTIFS('1 Ch4 P1 Single-Cycle'!$B$4:$B$31,$B14,'1 Ch4 P1 Single-Cycle'!$N$4:$N$31,TRUE())+COUNTIFS('2 Ch4 P2 Pipelining'!$B$4:$B$66,$B14,'2 Ch4 P2 Pipelining'!$N$4:$N$66,TRUE())+COUNTIFS('3 Ch5 Memory'!$B$4:$B$82,$B14,'3 Ch5 Memory'!$N$4:$N$82,TRUE())+COUNTIFS('4 GPU + Integration'!$B$4:$B$11,$B14,'4 GPU + Integration'!$N$4:$N$11,TRUE())+COUNTIFS('5 Control Unit'!$B$4:$B$10,$B14,'5 Control Unit'!$N$4:$N$10,TRUE())</f>
        <v>0</v>
      </c>
      <c r="E14" s="24" t="n">
        <f aca="false">IF(C14=0,0,D14/C14)</f>
        <v>0</v>
      </c>
      <c r="F14" s="23" t="n">
        <f aca="false">SUMIF('1 Ch4 P1 Single-Cycle'!$B$4:$B$31,$B14,'1 Ch4 P1 Single-Cycle'!$H$4:$H$31)+SUMIF('2 Ch4 P2 Pipelining'!$B$4:$B$66,$B14,'2 Ch4 P2 Pipelining'!$H$4:$H$66)+SUMIF('3 Ch5 Memory'!$B$4:$B$82,$B14,'3 Ch5 Memory'!$H$4:$H$82)+SUMIF('4 GPU + Integration'!$B$4:$B$11,$B14,'4 GPU + Integration'!$H$4:$H$11)+SUMIF('5 Control Unit'!$B$4:$B$10,$B14,'5 Control Unit'!$H$4:$H$10)</f>
        <v>180</v>
      </c>
    </row>
    <row r="15" customFormat="false" ht="15" hidden="false" customHeight="false" outlineLevel="0" collapsed="false">
      <c r="A15" s="23" t="n">
        <v>2</v>
      </c>
      <c r="B15" s="23" t="s">
        <v>65</v>
      </c>
      <c r="C15" s="23" t="n">
        <f aca="false">COUNTIF('1 Ch4 P1 Single-Cycle'!$B$4:$B$31,$B15)+COUNTIF('2 Ch4 P2 Pipelining'!$B$4:$B$66,$B15)+COUNTIF('3 Ch5 Memory'!$B$4:$B$82,$B15)+COUNTIF('4 GPU + Integration'!$B$4:$B$11,$B15)+COUNTIF('5 Control Unit'!$B$4:$B$10,$B15)</f>
        <v>26</v>
      </c>
      <c r="D15" s="23" t="n">
        <f aca="false">COUNTIFS('1 Ch4 P1 Single-Cycle'!$B$4:$B$31,$B15,'1 Ch4 P1 Single-Cycle'!$N$4:$N$31,TRUE())+COUNTIFS('2 Ch4 P2 Pipelining'!$B$4:$B$66,$B15,'2 Ch4 P2 Pipelining'!$N$4:$N$66,TRUE())+COUNTIFS('3 Ch5 Memory'!$B$4:$B$82,$B15,'3 Ch5 Memory'!$N$4:$N$82,TRUE())+COUNTIFS('4 GPU + Integration'!$B$4:$B$11,$B15,'4 GPU + Integration'!$N$4:$N$11,TRUE())+COUNTIFS('5 Control Unit'!$B$4:$B$10,$B15,'5 Control Unit'!$N$4:$N$10,TRUE())</f>
        <v>0</v>
      </c>
      <c r="E15" s="24" t="n">
        <f aca="false">IF(C15=0,0,D15/C15)</f>
        <v>0</v>
      </c>
      <c r="F15" s="23" t="n">
        <f aca="false">SUMIF('1 Ch4 P1 Single-Cycle'!$B$4:$B$31,$B15,'1 Ch4 P1 Single-Cycle'!$H$4:$H$31)+SUMIF('2 Ch4 P2 Pipelining'!$B$4:$B$66,$B15,'2 Ch4 P2 Pipelining'!$H$4:$H$66)+SUMIF('3 Ch5 Memory'!$B$4:$B$82,$B15,'3 Ch5 Memory'!$H$4:$H$82)+SUMIF('4 GPU + Integration'!$B$4:$B$11,$B15,'4 GPU + Integration'!$H$4:$H$11)+SUMIF('5 Control Unit'!$B$4:$B$10,$B15,'5 Control Unit'!$H$4:$H$10)</f>
        <v>319</v>
      </c>
    </row>
    <row r="16" customFormat="false" ht="15" hidden="false" customHeight="false" outlineLevel="0" collapsed="false">
      <c r="A16" s="23" t="n">
        <v>3</v>
      </c>
      <c r="B16" s="23" t="s">
        <v>66</v>
      </c>
      <c r="C16" s="23" t="n">
        <f aca="false">COUNTIF('1 Ch4 P1 Single-Cycle'!$B$4:$B$31,$B16)+COUNTIF('2 Ch4 P2 Pipelining'!$B$4:$B$66,$B16)+COUNTIF('3 Ch5 Memory'!$B$4:$B$82,$B16)+COUNTIF('4 GPU + Integration'!$B$4:$B$11,$B16)+COUNTIF('5 Control Unit'!$B$4:$B$10,$B16)</f>
        <v>15</v>
      </c>
      <c r="D16" s="23" t="n">
        <f aca="false">COUNTIFS('1 Ch4 P1 Single-Cycle'!$B$4:$B$31,$B16,'1 Ch4 P1 Single-Cycle'!$N$4:$N$31,TRUE())+COUNTIFS('2 Ch4 P2 Pipelining'!$B$4:$B$66,$B16,'2 Ch4 P2 Pipelining'!$N$4:$N$66,TRUE())+COUNTIFS('3 Ch5 Memory'!$B$4:$B$82,$B16,'3 Ch5 Memory'!$N$4:$N$82,TRUE())+COUNTIFS('4 GPU + Integration'!$B$4:$B$11,$B16,'4 GPU + Integration'!$N$4:$N$11,TRUE())+COUNTIFS('5 Control Unit'!$B$4:$B$10,$B16,'5 Control Unit'!$N$4:$N$10,TRUE())</f>
        <v>0</v>
      </c>
      <c r="E16" s="24" t="n">
        <f aca="false">IF(C16=0,0,D16/C16)</f>
        <v>0</v>
      </c>
      <c r="F16" s="23" t="n">
        <f aca="false">SUMIF('1 Ch4 P1 Single-Cycle'!$B$4:$B$31,$B16,'1 Ch4 P1 Single-Cycle'!$H$4:$H$31)+SUMIF('2 Ch4 P2 Pipelining'!$B$4:$B$66,$B16,'2 Ch4 P2 Pipelining'!$H$4:$H$66)+SUMIF('3 Ch5 Memory'!$B$4:$B$82,$B16,'3 Ch5 Memory'!$H$4:$H$82)+SUMIF('4 GPU + Integration'!$B$4:$B$11,$B16,'4 GPU + Integration'!$H$4:$H$11)+SUMIF('5 Control Unit'!$B$4:$B$10,$B16,'5 Control Unit'!$H$4:$H$10)</f>
        <v>145</v>
      </c>
    </row>
    <row r="17" customFormat="false" ht="15" hidden="false" customHeight="false" outlineLevel="0" collapsed="false">
      <c r="A17" s="23" t="n">
        <v>4</v>
      </c>
      <c r="B17" s="23" t="s">
        <v>67</v>
      </c>
      <c r="C17" s="23" t="n">
        <f aca="false">COUNTIF('1 Ch4 P1 Single-Cycle'!$B$4:$B$31,$B17)+COUNTIF('2 Ch4 P2 Pipelining'!$B$4:$B$66,$B17)+COUNTIF('3 Ch5 Memory'!$B$4:$B$82,$B17)+COUNTIF('4 GPU + Integration'!$B$4:$B$11,$B17)+COUNTIF('5 Control Unit'!$B$4:$B$10,$B17)</f>
        <v>8</v>
      </c>
      <c r="D17" s="23" t="n">
        <f aca="false">COUNTIFS('1 Ch4 P1 Single-Cycle'!$B$4:$B$31,$B17,'1 Ch4 P1 Single-Cycle'!$N$4:$N$31,TRUE())+COUNTIFS('2 Ch4 P2 Pipelining'!$B$4:$B$66,$B17,'2 Ch4 P2 Pipelining'!$N$4:$N$66,TRUE())+COUNTIFS('3 Ch5 Memory'!$B$4:$B$82,$B17,'3 Ch5 Memory'!$N$4:$N$82,TRUE())+COUNTIFS('4 GPU + Integration'!$B$4:$B$11,$B17,'4 GPU + Integration'!$N$4:$N$11,TRUE())+COUNTIFS('5 Control Unit'!$B$4:$B$10,$B17,'5 Control Unit'!$N$4:$N$10,TRUE())</f>
        <v>0</v>
      </c>
      <c r="E17" s="24" t="n">
        <f aca="false">IF(C17=0,0,D17/C17)</f>
        <v>0</v>
      </c>
      <c r="F17" s="23" t="n">
        <f aca="false">SUMIF('1 Ch4 P1 Single-Cycle'!$B$4:$B$31,$B17,'1 Ch4 P1 Single-Cycle'!$H$4:$H$31)+SUMIF('2 Ch4 P2 Pipelining'!$B$4:$B$66,$B17,'2 Ch4 P2 Pipelining'!$H$4:$H$66)+SUMIF('3 Ch5 Memory'!$B$4:$B$82,$B17,'3 Ch5 Memory'!$H$4:$H$82)+SUMIF('4 GPU + Integration'!$B$4:$B$11,$B17,'4 GPU + Integration'!$H$4:$H$11)+SUMIF('5 Control Unit'!$B$4:$B$10,$B17,'5 Control Unit'!$H$4:$H$10)</f>
        <v>120</v>
      </c>
    </row>
    <row r="18" customFormat="false" ht="15" hidden="false" customHeight="false" outlineLevel="0" collapsed="false">
      <c r="A18" s="23" t="n">
        <v>5</v>
      </c>
      <c r="B18" s="23" t="s">
        <v>68</v>
      </c>
      <c r="C18" s="23" t="n">
        <f aca="false">COUNTIF('1 Ch4 P1 Single-Cycle'!$B$4:$B$31,$B18)+COUNTIF('2 Ch4 P2 Pipelining'!$B$4:$B$66,$B18)+COUNTIF('3 Ch5 Memory'!$B$4:$B$82,$B18)+COUNTIF('4 GPU + Integration'!$B$4:$B$11,$B18)+COUNTIF('5 Control Unit'!$B$4:$B$10,$B18)</f>
        <v>11</v>
      </c>
      <c r="D18" s="23" t="n">
        <f aca="false">COUNTIFS('1 Ch4 P1 Single-Cycle'!$B$4:$B$31,$B18,'1 Ch4 P1 Single-Cycle'!$N$4:$N$31,TRUE())+COUNTIFS('2 Ch4 P2 Pipelining'!$B$4:$B$66,$B18,'2 Ch4 P2 Pipelining'!$N$4:$N$66,TRUE())+COUNTIFS('3 Ch5 Memory'!$B$4:$B$82,$B18,'3 Ch5 Memory'!$N$4:$N$82,TRUE())+COUNTIFS('4 GPU + Integration'!$B$4:$B$11,$B18,'4 GPU + Integration'!$N$4:$N$11,TRUE())+COUNTIFS('5 Control Unit'!$B$4:$B$10,$B18,'5 Control Unit'!$N$4:$N$10,TRUE())</f>
        <v>0</v>
      </c>
      <c r="E18" s="24" t="n">
        <f aca="false">IF(C18=0,0,D18/C18)</f>
        <v>0</v>
      </c>
      <c r="F18" s="23" t="n">
        <f aca="false">SUMIF('1 Ch4 P1 Single-Cycle'!$B$4:$B$31,$B18,'1 Ch4 P1 Single-Cycle'!$H$4:$H$31)+SUMIF('2 Ch4 P2 Pipelining'!$B$4:$B$66,$B18,'2 Ch4 P2 Pipelining'!$H$4:$H$66)+SUMIF('3 Ch5 Memory'!$B$4:$B$82,$B18,'3 Ch5 Memory'!$H$4:$H$82)+SUMIF('4 GPU + Integration'!$B$4:$B$11,$B18,'4 GPU + Integration'!$H$4:$H$11)+SUMIF('5 Control Unit'!$B$4:$B$10,$B18,'5 Control Unit'!$H$4:$H$10)</f>
        <v>140</v>
      </c>
    </row>
    <row r="19" customFormat="false" ht="15" hidden="false" customHeight="false" outlineLevel="0" collapsed="false">
      <c r="A19" s="15" t="n">
        <v>6</v>
      </c>
      <c r="B19" s="15" t="s">
        <v>69</v>
      </c>
      <c r="C19" s="15" t="n">
        <f aca="false">COUNTIF('1 Ch4 P1 Single-Cycle'!$B$4:$B$31,$B19)+COUNTIF('2 Ch4 P2 Pipelining'!$B$4:$B$66,$B19)+COUNTIF('3 Ch5 Memory'!$B$4:$B$82,$B19)+COUNTIF('4 GPU + Integration'!$B$4:$B$11,$B19)+COUNTIF('5 Control Unit'!$B$4:$B$10,$B19)</f>
        <v>10</v>
      </c>
      <c r="D19" s="15" t="n">
        <f aca="false">COUNTIFS('1 Ch4 P1 Single-Cycle'!$B$4:$B$31,$B19,'1 Ch4 P1 Single-Cycle'!$N$4:$N$31,TRUE())+COUNTIFS('2 Ch4 P2 Pipelining'!$B$4:$B$66,$B19,'2 Ch4 P2 Pipelining'!$N$4:$N$66,TRUE())+COUNTIFS('3 Ch5 Memory'!$B$4:$B$82,$B19,'3 Ch5 Memory'!$N$4:$N$82,TRUE())+COUNTIFS('4 GPU + Integration'!$B$4:$B$11,$B19,'4 GPU + Integration'!$N$4:$N$11,TRUE())+COUNTIFS('5 Control Unit'!$B$4:$B$10,$B19,'5 Control Unit'!$N$4:$N$10,TRUE())</f>
        <v>0</v>
      </c>
      <c r="E19" s="17" t="n">
        <f aca="false">IF(C19=0,0,D19/C19)</f>
        <v>0</v>
      </c>
      <c r="F19" s="15" t="n">
        <f aca="false">SUMIF('1 Ch4 P1 Single-Cycle'!$B$4:$B$31,$B19,'1 Ch4 P1 Single-Cycle'!$H$4:$H$31)+SUMIF('2 Ch4 P2 Pipelining'!$B$4:$B$66,$B19,'2 Ch4 P2 Pipelining'!$H$4:$H$66)+SUMIF('3 Ch5 Memory'!$B$4:$B$82,$B19,'3 Ch5 Memory'!$H$4:$H$82)+SUMIF('4 GPU + Integration'!$B$4:$B$11,$B19,'4 GPU + Integration'!$H$4:$H$11)+SUMIF('5 Control Unit'!$B$4:$B$10,$B19,'5 Control Unit'!$H$4:$H$10)</f>
        <v>140</v>
      </c>
    </row>
    <row r="20" customFormat="false" ht="15" hidden="false" customHeight="false" outlineLevel="0" collapsed="false">
      <c r="A20" s="15" t="n">
        <v>7</v>
      </c>
      <c r="B20" s="15" t="s">
        <v>70</v>
      </c>
      <c r="C20" s="15" t="n">
        <f aca="false">COUNTIF('1 Ch4 P1 Single-Cycle'!$B$4:$B$31,$B20)+COUNTIF('2 Ch4 P2 Pipelining'!$B$4:$B$66,$B20)+COUNTIF('3 Ch5 Memory'!$B$4:$B$82,$B20)+COUNTIF('4 GPU + Integration'!$B$4:$B$11,$B20)+COUNTIF('5 Control Unit'!$B$4:$B$10,$B20)</f>
        <v>16</v>
      </c>
      <c r="D20" s="15" t="n">
        <f aca="false">COUNTIFS('1 Ch4 P1 Single-Cycle'!$B$4:$B$31,$B20,'1 Ch4 P1 Single-Cycle'!$N$4:$N$31,TRUE())+COUNTIFS('2 Ch4 P2 Pipelining'!$B$4:$B$66,$B20,'2 Ch4 P2 Pipelining'!$N$4:$N$66,TRUE())+COUNTIFS('3 Ch5 Memory'!$B$4:$B$82,$B20,'3 Ch5 Memory'!$N$4:$N$82,TRUE())+COUNTIFS('4 GPU + Integration'!$B$4:$B$11,$B20,'4 GPU + Integration'!$N$4:$N$11,TRUE())+COUNTIFS('5 Control Unit'!$B$4:$B$10,$B20,'5 Control Unit'!$N$4:$N$10,TRUE())</f>
        <v>0</v>
      </c>
      <c r="E20" s="17" t="n">
        <f aca="false">IF(C20=0,0,D20/C20)</f>
        <v>0</v>
      </c>
      <c r="F20" s="15" t="n">
        <f aca="false">SUMIF('1 Ch4 P1 Single-Cycle'!$B$4:$B$31,$B20,'1 Ch4 P1 Single-Cycle'!$H$4:$H$31)+SUMIF('2 Ch4 P2 Pipelining'!$B$4:$B$66,$B20,'2 Ch4 P2 Pipelining'!$H$4:$H$66)+SUMIF('3 Ch5 Memory'!$B$4:$B$82,$B20,'3 Ch5 Memory'!$H$4:$H$82)+SUMIF('4 GPU + Integration'!$B$4:$B$11,$B20,'4 GPU + Integration'!$H$4:$H$11)+SUMIF('5 Control Unit'!$B$4:$B$10,$B20,'5 Control Unit'!$H$4:$H$10)</f>
        <v>140</v>
      </c>
    </row>
    <row r="21" customFormat="false" ht="15" hidden="false" customHeight="false" outlineLevel="0" collapsed="false">
      <c r="A21" s="15" t="n">
        <v>8</v>
      </c>
      <c r="B21" s="15" t="s">
        <v>71</v>
      </c>
      <c r="C21" s="15" t="n">
        <f aca="false">COUNTIF('1 Ch4 P1 Single-Cycle'!$B$4:$B$31,$B21)+COUNTIF('2 Ch4 P2 Pipelining'!$B$4:$B$66,$B21)+COUNTIF('3 Ch5 Memory'!$B$4:$B$82,$B21)+COUNTIF('4 GPU + Integration'!$B$4:$B$11,$B21)+COUNTIF('5 Control Unit'!$B$4:$B$10,$B21)</f>
        <v>12</v>
      </c>
      <c r="D21" s="15" t="n">
        <f aca="false">COUNTIFS('1 Ch4 P1 Single-Cycle'!$B$4:$B$31,$B21,'1 Ch4 P1 Single-Cycle'!$N$4:$N$31,TRUE())+COUNTIFS('2 Ch4 P2 Pipelining'!$B$4:$B$66,$B21,'2 Ch4 P2 Pipelining'!$N$4:$N$66,TRUE())+COUNTIFS('3 Ch5 Memory'!$B$4:$B$82,$B21,'3 Ch5 Memory'!$N$4:$N$82,TRUE())+COUNTIFS('4 GPU + Integration'!$B$4:$B$11,$B21,'4 GPU + Integration'!$N$4:$N$11,TRUE())+COUNTIFS('5 Control Unit'!$B$4:$B$10,$B21,'5 Control Unit'!$N$4:$N$10,TRUE())</f>
        <v>0</v>
      </c>
      <c r="E21" s="17" t="n">
        <f aca="false">IF(C21=0,0,D21/C21)</f>
        <v>0</v>
      </c>
      <c r="F21" s="15" t="n">
        <f aca="false">SUMIF('1 Ch4 P1 Single-Cycle'!$B$4:$B$31,$B21,'1 Ch4 P1 Single-Cycle'!$H$4:$H$31)+SUMIF('2 Ch4 P2 Pipelining'!$B$4:$B$66,$B21,'2 Ch4 P2 Pipelining'!$H$4:$H$66)+SUMIF('3 Ch5 Memory'!$B$4:$B$82,$B21,'3 Ch5 Memory'!$H$4:$H$82)+SUMIF('4 GPU + Integration'!$B$4:$B$11,$B21,'4 GPU + Integration'!$H$4:$H$11)+SUMIF('5 Control Unit'!$B$4:$B$10,$B21,'5 Control Unit'!$H$4:$H$10)</f>
        <v>105</v>
      </c>
    </row>
    <row r="22" customFormat="false" ht="15" hidden="false" customHeight="false" outlineLevel="0" collapsed="false">
      <c r="A22" s="15" t="n">
        <v>9</v>
      </c>
      <c r="B22" s="15" t="s">
        <v>72</v>
      </c>
      <c r="C22" s="15" t="n">
        <f aca="false">COUNTIF('1 Ch4 P1 Single-Cycle'!$B$4:$B$31,$B22)+COUNTIF('2 Ch4 P2 Pipelining'!$B$4:$B$66,$B22)+COUNTIF('3 Ch5 Memory'!$B$4:$B$82,$B22)+COUNTIF('4 GPU + Integration'!$B$4:$B$11,$B22)+COUNTIF('5 Control Unit'!$B$4:$B$10,$B22)</f>
        <v>13</v>
      </c>
      <c r="D22" s="15" t="n">
        <f aca="false">COUNTIFS('1 Ch4 P1 Single-Cycle'!$B$4:$B$31,$B22,'1 Ch4 P1 Single-Cycle'!$N$4:$N$31,TRUE())+COUNTIFS('2 Ch4 P2 Pipelining'!$B$4:$B$66,$B22,'2 Ch4 P2 Pipelining'!$N$4:$N$66,TRUE())+COUNTIFS('3 Ch5 Memory'!$B$4:$B$82,$B22,'3 Ch5 Memory'!$N$4:$N$82,TRUE())+COUNTIFS('4 GPU + Integration'!$B$4:$B$11,$B22,'4 GPU + Integration'!$N$4:$N$11,TRUE())+COUNTIFS('5 Control Unit'!$B$4:$B$10,$B22,'5 Control Unit'!$N$4:$N$10,TRUE())</f>
        <v>0</v>
      </c>
      <c r="E22" s="17" t="n">
        <f aca="false">IF(C22=0,0,D22/C22)</f>
        <v>0</v>
      </c>
      <c r="F22" s="15" t="n">
        <f aca="false">SUMIF('1 Ch4 P1 Single-Cycle'!$B$4:$B$31,$B22,'1 Ch4 P1 Single-Cycle'!$H$4:$H$31)+SUMIF('2 Ch4 P2 Pipelining'!$B$4:$B$66,$B22,'2 Ch4 P2 Pipelining'!$H$4:$H$66)+SUMIF('3 Ch5 Memory'!$B$4:$B$82,$B22,'3 Ch5 Memory'!$H$4:$H$82)+SUMIF('4 GPU + Integration'!$B$4:$B$11,$B22,'4 GPU + Integration'!$H$4:$H$11)+SUMIF('5 Control Unit'!$B$4:$B$10,$B22,'5 Control Unit'!$H$4:$H$10)</f>
        <v>110</v>
      </c>
    </row>
    <row r="23" customFormat="false" ht="15" hidden="false" customHeight="false" outlineLevel="0" collapsed="false">
      <c r="A23" s="15" t="n">
        <v>10</v>
      </c>
      <c r="B23" s="15" t="s">
        <v>73</v>
      </c>
      <c r="C23" s="15" t="n">
        <f aca="false">COUNTIF('1 Ch4 P1 Single-Cycle'!$B$4:$B$31,$B23)+COUNTIF('2 Ch4 P2 Pipelining'!$B$4:$B$66,$B23)+COUNTIF('3 Ch5 Memory'!$B$4:$B$82,$B23)+COUNTIF('4 GPU + Integration'!$B$4:$B$11,$B23)+COUNTIF('5 Control Unit'!$B$4:$B$10,$B23)</f>
        <v>9</v>
      </c>
      <c r="D23" s="15" t="n">
        <f aca="false">COUNTIFS('1 Ch4 P1 Single-Cycle'!$B$4:$B$31,$B23,'1 Ch4 P1 Single-Cycle'!$N$4:$N$31,TRUE())+COUNTIFS('2 Ch4 P2 Pipelining'!$B$4:$B$66,$B23,'2 Ch4 P2 Pipelining'!$N$4:$N$66,TRUE())+COUNTIFS('3 Ch5 Memory'!$B$4:$B$82,$B23,'3 Ch5 Memory'!$N$4:$N$82,TRUE())+COUNTIFS('4 GPU + Integration'!$B$4:$B$11,$B23,'4 GPU + Integration'!$N$4:$N$11,TRUE())+COUNTIFS('5 Control Unit'!$B$4:$B$10,$B23,'5 Control Unit'!$N$4:$N$10,TRUE())</f>
        <v>0</v>
      </c>
      <c r="E23" s="17" t="n">
        <f aca="false">IF(C23=0,0,D23/C23)</f>
        <v>0</v>
      </c>
      <c r="F23" s="15" t="n">
        <f aca="false">SUMIF('1 Ch4 P1 Single-Cycle'!$B$4:$B$31,$B23,'1 Ch4 P1 Single-Cycle'!$H$4:$H$31)+SUMIF('2 Ch4 P2 Pipelining'!$B$4:$B$66,$B23,'2 Ch4 P2 Pipelining'!$H$4:$H$66)+SUMIF('3 Ch5 Memory'!$B$4:$B$82,$B23,'3 Ch5 Memory'!$H$4:$H$82)+SUMIF('4 GPU + Integration'!$B$4:$B$11,$B23,'4 GPU + Integration'!$H$4:$H$11)+SUMIF('5 Control Unit'!$B$4:$B$10,$B23,'5 Control Unit'!$H$4:$H$10)</f>
        <v>103</v>
      </c>
    </row>
    <row r="24" customFormat="false" ht="15" hidden="false" customHeight="false" outlineLevel="0" collapsed="false">
      <c r="A24" s="15" t="n">
        <v>11</v>
      </c>
      <c r="B24" s="15" t="s">
        <v>74</v>
      </c>
      <c r="C24" s="15" t="n">
        <f aca="false">COUNTIF('1 Ch4 P1 Single-Cycle'!$B$4:$B$31,$B24)+COUNTIF('2 Ch4 P2 Pipelining'!$B$4:$B$66,$B24)+COUNTIF('3 Ch5 Memory'!$B$4:$B$82,$B24)+COUNTIF('4 GPU + Integration'!$B$4:$B$11,$B24)+COUNTIF('5 Control Unit'!$B$4:$B$10,$B24)</f>
        <v>13</v>
      </c>
      <c r="D24" s="15" t="n">
        <f aca="false">COUNTIFS('1 Ch4 P1 Single-Cycle'!$B$4:$B$31,$B24,'1 Ch4 P1 Single-Cycle'!$N$4:$N$31,TRUE())+COUNTIFS('2 Ch4 P2 Pipelining'!$B$4:$B$66,$B24,'2 Ch4 P2 Pipelining'!$N$4:$N$66,TRUE())+COUNTIFS('3 Ch5 Memory'!$B$4:$B$82,$B24,'3 Ch5 Memory'!$N$4:$N$82,TRUE())+COUNTIFS('4 GPU + Integration'!$B$4:$B$11,$B24,'4 GPU + Integration'!$N$4:$N$11,TRUE())+COUNTIFS('5 Control Unit'!$B$4:$B$10,$B24,'5 Control Unit'!$N$4:$N$10,TRUE())</f>
        <v>0</v>
      </c>
      <c r="E24" s="17" t="n">
        <f aca="false">IF(C24=0,0,D24/C24)</f>
        <v>0</v>
      </c>
      <c r="F24" s="15" t="n">
        <f aca="false">SUMIF('1 Ch4 P1 Single-Cycle'!$B$4:$B$31,$B24,'1 Ch4 P1 Single-Cycle'!$H$4:$H$31)+SUMIF('2 Ch4 P2 Pipelining'!$B$4:$B$66,$B24,'2 Ch4 P2 Pipelining'!$H$4:$H$66)+SUMIF('3 Ch5 Memory'!$B$4:$B$82,$B24,'3 Ch5 Memory'!$H$4:$H$82)+SUMIF('4 GPU + Integration'!$B$4:$B$11,$B24,'4 GPU + Integration'!$H$4:$H$11)+SUMIF('5 Control Unit'!$B$4:$B$10,$B24,'5 Control Unit'!$H$4:$H$10)</f>
        <v>110</v>
      </c>
    </row>
    <row r="25" customFormat="false" ht="15" hidden="false" customHeight="false" outlineLevel="0" collapsed="false">
      <c r="A25" s="15" t="n">
        <v>12</v>
      </c>
      <c r="B25" s="15" t="s">
        <v>75</v>
      </c>
      <c r="C25" s="15" t="n">
        <f aca="false">COUNTIF('1 Ch4 P1 Single-Cycle'!$B$4:$B$31,$B25)+COUNTIF('2 Ch4 P2 Pipelining'!$B$4:$B$66,$B25)+COUNTIF('3 Ch5 Memory'!$B$4:$B$82,$B25)+COUNTIF('4 GPU + Integration'!$B$4:$B$11,$B25)+COUNTIF('5 Control Unit'!$B$4:$B$10,$B25)</f>
        <v>16</v>
      </c>
      <c r="D25" s="15" t="n">
        <f aca="false">COUNTIFS('1 Ch4 P1 Single-Cycle'!$B$4:$B$31,$B25,'1 Ch4 P1 Single-Cycle'!$N$4:$N$31,TRUE())+COUNTIFS('2 Ch4 P2 Pipelining'!$B$4:$B$66,$B25,'2 Ch4 P2 Pipelining'!$N$4:$N$66,TRUE())+COUNTIFS('3 Ch5 Memory'!$B$4:$B$82,$B25,'3 Ch5 Memory'!$N$4:$N$82,TRUE())+COUNTIFS('4 GPU + Integration'!$B$4:$B$11,$B25,'4 GPU + Integration'!$N$4:$N$11,TRUE())+COUNTIFS('5 Control Unit'!$B$4:$B$10,$B25,'5 Control Unit'!$N$4:$N$10,TRUE())</f>
        <v>0</v>
      </c>
      <c r="E25" s="17" t="n">
        <f aca="false">IF(C25=0,0,D25/C25)</f>
        <v>0</v>
      </c>
      <c r="F25" s="15" t="n">
        <f aca="false">SUMIF('1 Ch4 P1 Single-Cycle'!$B$4:$B$31,$B25,'1 Ch4 P1 Single-Cycle'!$H$4:$H$31)+SUMIF('2 Ch4 P2 Pipelining'!$B$4:$B$66,$B25,'2 Ch4 P2 Pipelining'!$H$4:$H$66)+SUMIF('3 Ch5 Memory'!$B$4:$B$82,$B25,'3 Ch5 Memory'!$H$4:$H$82)+SUMIF('4 GPU + Integration'!$B$4:$B$11,$B25,'4 GPU + Integration'!$H$4:$H$11)+SUMIF('5 Control Unit'!$B$4:$B$10,$B25,'5 Control Unit'!$H$4:$H$10)</f>
        <v>173</v>
      </c>
    </row>
    <row r="26" customFormat="false" ht="15" hidden="false" customHeight="false" outlineLevel="0" collapsed="false">
      <c r="A26" s="15" t="n">
        <v>13</v>
      </c>
      <c r="B26" s="15" t="s">
        <v>76</v>
      </c>
      <c r="C26" s="15" t="n">
        <f aca="false">COUNTIF('1 Ch4 P1 Single-Cycle'!$B$4:$B$31,$B26)+COUNTIF('2 Ch4 P2 Pipelining'!$B$4:$B$66,$B26)+COUNTIF('3 Ch5 Memory'!$B$4:$B$82,$B26)+COUNTIF('4 GPU + Integration'!$B$4:$B$11,$B26)+COUNTIF('5 Control Unit'!$B$4:$B$10,$B26)</f>
        <v>18</v>
      </c>
      <c r="D26" s="15" t="n">
        <f aca="false">COUNTIFS('1 Ch4 P1 Single-Cycle'!$B$4:$B$31,$B26,'1 Ch4 P1 Single-Cycle'!$N$4:$N$31,TRUE())+COUNTIFS('2 Ch4 P2 Pipelining'!$B$4:$B$66,$B26,'2 Ch4 P2 Pipelining'!$N$4:$N$66,TRUE())+COUNTIFS('3 Ch5 Memory'!$B$4:$B$82,$B26,'3 Ch5 Memory'!$N$4:$N$82,TRUE())+COUNTIFS('4 GPU + Integration'!$B$4:$B$11,$B26,'4 GPU + Integration'!$N$4:$N$11,TRUE())+COUNTIFS('5 Control Unit'!$B$4:$B$10,$B26,'5 Control Unit'!$N$4:$N$10,TRUE())</f>
        <v>0</v>
      </c>
      <c r="E26" s="17" t="n">
        <f aca="false">IF(C26=0,0,D26/C26)</f>
        <v>0</v>
      </c>
      <c r="F26" s="15" t="n">
        <f aca="false">SUMIF('1 Ch4 P1 Single-Cycle'!$B$4:$B$31,$B26,'1 Ch4 P1 Single-Cycle'!$H$4:$H$31)+SUMIF('2 Ch4 P2 Pipelining'!$B$4:$B$66,$B26,'2 Ch4 P2 Pipelining'!$H$4:$H$66)+SUMIF('3 Ch5 Memory'!$B$4:$B$82,$B26,'3 Ch5 Memory'!$H$4:$H$82)+SUMIF('4 GPU + Integration'!$B$4:$B$11,$B26,'4 GPU + Integration'!$H$4:$H$11)+SUMIF('5 Control Unit'!$B$4:$B$10,$B26,'5 Control Unit'!$H$4:$H$10)</f>
        <v>145</v>
      </c>
    </row>
    <row r="27" customFormat="false" ht="15" hidden="false" customHeight="false" outlineLevel="0" collapsed="false">
      <c r="B27" s="25" t="s">
        <v>77</v>
      </c>
    </row>
    <row r="28" customFormat="false" ht="15" hidden="false" customHeight="false" outlineLevel="0" collapsed="false">
      <c r="B28" s="25" t="s">
        <v>78</v>
      </c>
    </row>
  </sheetData>
  <conditionalFormatting sqref="E5:E10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{ED60CCC5-D860-4DFC-BDF7-24F0D68194D3}</x14:id>
        </ext>
      </extLst>
    </cfRule>
  </conditionalFormatting>
  <conditionalFormatting sqref="E14:E26">
    <cfRule type="dataBar" priority="3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{16B8A6C8-B033-4485-A22B-97E460BDAD2F}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60CCC5-D860-4DFC-BDF7-24F0D68194D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E5:E10</xm:sqref>
        </x14:conditionalFormatting>
        <x14:conditionalFormatting xmlns:xm="http://schemas.microsoft.com/office/excel/2006/main">
          <x14:cfRule type="dataBar" id="{16B8A6C8-B033-4485-A22B-97E460BDAD2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E14:E26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5" min="5" style="0" width="58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30"/>
    <col collapsed="false" customWidth="true" hidden="false" outlineLevel="0" max="14" min="14" style="0" width="7"/>
    <col collapsed="false" customWidth="true" hidden="false" outlineLevel="0" max="16" min="15" style="0" width="12"/>
    <col collapsed="false" customWidth="true" hidden="false" outlineLevel="0" max="17" min="17" style="0" width="32"/>
  </cols>
  <sheetData>
    <row r="1" customFormat="false" ht="17.35" hidden="false" customHeight="false" outlineLevel="0" collapsed="false">
      <c r="A1" s="26" t="s">
        <v>79</v>
      </c>
    </row>
    <row r="2" customFormat="false" ht="15" hidden="false" customHeight="false" outlineLevel="0" collapsed="false">
      <c r="A2" s="2" t="s">
        <v>80</v>
      </c>
    </row>
    <row r="3" customFormat="false" ht="30" hidden="false" customHeight="true" outlineLevel="0" collapsed="false">
      <c r="A3" s="14" t="s">
        <v>81</v>
      </c>
      <c r="B3" s="14" t="s">
        <v>63</v>
      </c>
      <c r="C3" s="14" t="s">
        <v>33</v>
      </c>
      <c r="D3" s="14" t="s">
        <v>82</v>
      </c>
      <c r="E3" s="14" t="s">
        <v>83</v>
      </c>
      <c r="F3" s="14" t="s">
        <v>84</v>
      </c>
      <c r="G3" s="14" t="s">
        <v>85</v>
      </c>
      <c r="H3" s="14" t="s">
        <v>86</v>
      </c>
      <c r="I3" s="14" t="s">
        <v>87</v>
      </c>
      <c r="J3" s="14" t="s">
        <v>88</v>
      </c>
      <c r="K3" s="14" t="s">
        <v>31</v>
      </c>
      <c r="L3" s="14" t="s">
        <v>89</v>
      </c>
      <c r="M3" s="14" t="s">
        <v>90</v>
      </c>
      <c r="N3" s="14" t="s">
        <v>49</v>
      </c>
      <c r="O3" s="14" t="s">
        <v>91</v>
      </c>
      <c r="P3" s="14" t="s">
        <v>92</v>
      </c>
      <c r="Q3" s="14" t="s">
        <v>93</v>
      </c>
    </row>
    <row r="4" customFormat="false" ht="23.85" hidden="false" customHeight="false" outlineLevel="0" collapsed="false">
      <c r="A4" s="27" t="n">
        <v>1</v>
      </c>
      <c r="B4" s="27" t="s">
        <v>76</v>
      </c>
      <c r="C4" s="27" t="s">
        <v>94</v>
      </c>
      <c r="D4" s="27" t="s">
        <v>95</v>
      </c>
      <c r="E4" s="28" t="s">
        <v>96</v>
      </c>
      <c r="F4" s="28" t="s">
        <v>97</v>
      </c>
      <c r="G4" s="27" t="s">
        <v>98</v>
      </c>
      <c r="H4" s="27" t="n">
        <v>6</v>
      </c>
      <c r="I4" s="27" t="n">
        <v>84</v>
      </c>
      <c r="J4" s="29" t="s">
        <v>29</v>
      </c>
      <c r="K4" s="27" t="s">
        <v>99</v>
      </c>
      <c r="L4" s="30" t="s">
        <v>100</v>
      </c>
      <c r="M4" s="28" t="s">
        <v>101</v>
      </c>
      <c r="N4" s="31" t="b">
        <f aca="false">FALSE()</f>
        <v>0</v>
      </c>
      <c r="O4" s="32"/>
      <c r="P4" s="33"/>
      <c r="Q4" s="34"/>
    </row>
    <row r="5" customFormat="false" ht="23.85" hidden="false" customHeight="false" outlineLevel="0" collapsed="false">
      <c r="A5" s="35" t="n">
        <v>2</v>
      </c>
      <c r="B5" s="35" t="s">
        <v>64</v>
      </c>
      <c r="C5" s="35" t="s">
        <v>102</v>
      </c>
      <c r="D5" s="35" t="s">
        <v>103</v>
      </c>
      <c r="E5" s="6" t="s">
        <v>104</v>
      </c>
      <c r="F5" s="6" t="s">
        <v>105</v>
      </c>
      <c r="G5" s="35" t="s">
        <v>106</v>
      </c>
      <c r="H5" s="35" t="n">
        <v>5</v>
      </c>
      <c r="I5" s="35" t="n">
        <v>7</v>
      </c>
      <c r="J5" s="36" t="s">
        <v>25</v>
      </c>
      <c r="K5" s="35" t="s">
        <v>99</v>
      </c>
      <c r="L5" s="30" t="s">
        <v>100</v>
      </c>
      <c r="M5" s="6" t="s">
        <v>107</v>
      </c>
      <c r="N5" s="31" t="b">
        <f aca="false">FALSE()</f>
        <v>0</v>
      </c>
      <c r="O5" s="32"/>
      <c r="P5" s="33"/>
      <c r="Q5" s="34"/>
    </row>
    <row r="6" customFormat="false" ht="23.85" hidden="false" customHeight="false" outlineLevel="0" collapsed="false">
      <c r="A6" s="27" t="n">
        <v>3</v>
      </c>
      <c r="B6" s="27" t="s">
        <v>68</v>
      </c>
      <c r="C6" s="27" t="s">
        <v>94</v>
      </c>
      <c r="D6" s="27" t="s">
        <v>108</v>
      </c>
      <c r="E6" s="28" t="s">
        <v>109</v>
      </c>
      <c r="F6" s="28" t="s">
        <v>110</v>
      </c>
      <c r="G6" s="27" t="s">
        <v>111</v>
      </c>
      <c r="H6" s="27" t="n">
        <v>15</v>
      </c>
      <c r="I6" s="27" t="s">
        <v>112</v>
      </c>
      <c r="J6" s="36" t="s">
        <v>25</v>
      </c>
      <c r="K6" s="27" t="s">
        <v>113</v>
      </c>
      <c r="L6" s="30" t="s">
        <v>100</v>
      </c>
      <c r="M6" s="28" t="s">
        <v>114</v>
      </c>
      <c r="N6" s="31" t="b">
        <f aca="false">FALSE()</f>
        <v>0</v>
      </c>
      <c r="O6" s="32"/>
      <c r="P6" s="33"/>
      <c r="Q6" s="34"/>
    </row>
    <row r="7" customFormat="false" ht="23.85" hidden="false" customHeight="false" outlineLevel="0" collapsed="false">
      <c r="A7" s="27" t="n">
        <v>4</v>
      </c>
      <c r="B7" s="27" t="s">
        <v>71</v>
      </c>
      <c r="C7" s="27" t="s">
        <v>94</v>
      </c>
      <c r="D7" s="27" t="s">
        <v>115</v>
      </c>
      <c r="E7" s="28" t="s">
        <v>116</v>
      </c>
      <c r="F7" s="28" t="s">
        <v>110</v>
      </c>
      <c r="G7" s="27" t="s">
        <v>111</v>
      </c>
      <c r="H7" s="27" t="n">
        <v>5</v>
      </c>
      <c r="I7" s="27" t="n">
        <v>55</v>
      </c>
      <c r="J7" s="37" t="s">
        <v>27</v>
      </c>
      <c r="K7" s="27" t="s">
        <v>99</v>
      </c>
      <c r="L7" s="30" t="s">
        <v>100</v>
      </c>
      <c r="M7" s="28" t="s">
        <v>117</v>
      </c>
      <c r="N7" s="31" t="b">
        <f aca="false">FALSE()</f>
        <v>0</v>
      </c>
      <c r="O7" s="32"/>
      <c r="P7" s="33"/>
      <c r="Q7" s="34"/>
    </row>
    <row r="8" customFormat="false" ht="23.85" hidden="false" customHeight="false" outlineLevel="0" collapsed="false">
      <c r="A8" s="27" t="n">
        <v>5</v>
      </c>
      <c r="B8" s="27" t="s">
        <v>71</v>
      </c>
      <c r="C8" s="27" t="s">
        <v>94</v>
      </c>
      <c r="D8" s="27" t="s">
        <v>118</v>
      </c>
      <c r="E8" s="28" t="s">
        <v>119</v>
      </c>
      <c r="F8" s="28" t="s">
        <v>110</v>
      </c>
      <c r="G8" s="27" t="s">
        <v>111</v>
      </c>
      <c r="H8" s="27" t="n">
        <v>5</v>
      </c>
      <c r="I8" s="27" t="n">
        <v>55</v>
      </c>
      <c r="J8" s="29" t="s">
        <v>29</v>
      </c>
      <c r="K8" s="27" t="s">
        <v>99</v>
      </c>
      <c r="L8" s="30" t="s">
        <v>100</v>
      </c>
      <c r="M8" s="28" t="s">
        <v>101</v>
      </c>
      <c r="N8" s="31" t="b">
        <f aca="false">FALSE()</f>
        <v>0</v>
      </c>
      <c r="O8" s="32"/>
      <c r="P8" s="33"/>
      <c r="Q8" s="34"/>
    </row>
    <row r="9" customFormat="false" ht="23.85" hidden="false" customHeight="false" outlineLevel="0" collapsed="false">
      <c r="A9" s="35" t="n">
        <v>6</v>
      </c>
      <c r="B9" s="35" t="s">
        <v>67</v>
      </c>
      <c r="C9" s="35" t="s">
        <v>94</v>
      </c>
      <c r="D9" s="35" t="s">
        <v>120</v>
      </c>
      <c r="E9" s="6" t="s">
        <v>121</v>
      </c>
      <c r="F9" s="6" t="s">
        <v>122</v>
      </c>
      <c r="G9" s="35" t="s">
        <v>123</v>
      </c>
      <c r="H9" s="35" t="n">
        <v>15</v>
      </c>
      <c r="I9" s="35" t="n">
        <v>28</v>
      </c>
      <c r="J9" s="36" t="s">
        <v>25</v>
      </c>
      <c r="K9" s="35" t="s">
        <v>113</v>
      </c>
      <c r="L9" s="38" t="s">
        <v>124</v>
      </c>
      <c r="M9" s="6" t="s">
        <v>125</v>
      </c>
      <c r="N9" s="31" t="b">
        <f aca="false">FALSE()</f>
        <v>0</v>
      </c>
      <c r="O9" s="32"/>
      <c r="P9" s="33"/>
      <c r="Q9" s="34"/>
    </row>
    <row r="10" customFormat="false" ht="23.85" hidden="false" customHeight="false" outlineLevel="0" collapsed="false">
      <c r="A10" s="35" t="n">
        <v>7</v>
      </c>
      <c r="B10" s="35" t="s">
        <v>71</v>
      </c>
      <c r="C10" s="35" t="s">
        <v>94</v>
      </c>
      <c r="D10" s="35" t="s">
        <v>126</v>
      </c>
      <c r="E10" s="6" t="s">
        <v>127</v>
      </c>
      <c r="F10" s="6" t="s">
        <v>122</v>
      </c>
      <c r="G10" s="35" t="s">
        <v>123</v>
      </c>
      <c r="H10" s="35" t="n">
        <v>10</v>
      </c>
      <c r="I10" s="35" t="n">
        <v>55</v>
      </c>
      <c r="J10" s="37" t="s">
        <v>27</v>
      </c>
      <c r="K10" s="35" t="s">
        <v>99</v>
      </c>
      <c r="L10" s="30" t="s">
        <v>100</v>
      </c>
      <c r="M10" s="6" t="s">
        <v>128</v>
      </c>
      <c r="N10" s="31" t="b">
        <f aca="false">FALSE()</f>
        <v>0</v>
      </c>
      <c r="O10" s="32"/>
      <c r="P10" s="33"/>
      <c r="Q10" s="34"/>
    </row>
    <row r="11" customFormat="false" ht="23.85" hidden="false" customHeight="false" outlineLevel="0" collapsed="false">
      <c r="A11" s="35" t="n">
        <v>8</v>
      </c>
      <c r="B11" s="35" t="s">
        <v>71</v>
      </c>
      <c r="C11" s="35" t="s">
        <v>94</v>
      </c>
      <c r="D11" s="35" t="s">
        <v>129</v>
      </c>
      <c r="E11" s="6" t="s">
        <v>130</v>
      </c>
      <c r="F11" s="6" t="s">
        <v>122</v>
      </c>
      <c r="G11" s="35" t="s">
        <v>123</v>
      </c>
      <c r="H11" s="35" t="n">
        <v>10</v>
      </c>
      <c r="I11" s="35" t="n">
        <v>55</v>
      </c>
      <c r="J11" s="37" t="s">
        <v>27</v>
      </c>
      <c r="K11" s="35" t="s">
        <v>99</v>
      </c>
      <c r="L11" s="30" t="s">
        <v>100</v>
      </c>
      <c r="M11" s="6" t="s">
        <v>131</v>
      </c>
      <c r="N11" s="31" t="b">
        <f aca="false">FALSE()</f>
        <v>0</v>
      </c>
      <c r="O11" s="32"/>
      <c r="P11" s="33"/>
      <c r="Q11" s="34"/>
    </row>
    <row r="12" customFormat="false" ht="23.85" hidden="false" customHeight="false" outlineLevel="0" collapsed="false">
      <c r="A12" s="27" t="n">
        <v>9</v>
      </c>
      <c r="B12" s="27" t="s">
        <v>65</v>
      </c>
      <c r="C12" s="27" t="s">
        <v>94</v>
      </c>
      <c r="D12" s="27" t="s">
        <v>132</v>
      </c>
      <c r="E12" s="28" t="s">
        <v>133</v>
      </c>
      <c r="F12" s="28" t="s">
        <v>134</v>
      </c>
      <c r="G12" s="27" t="s">
        <v>135</v>
      </c>
      <c r="H12" s="27" t="n">
        <v>16</v>
      </c>
      <c r="I12" s="27" t="n">
        <v>17</v>
      </c>
      <c r="J12" s="36" t="s">
        <v>25</v>
      </c>
      <c r="K12" s="27" t="s">
        <v>136</v>
      </c>
      <c r="L12" s="30" t="s">
        <v>100</v>
      </c>
      <c r="M12" s="28" t="s">
        <v>137</v>
      </c>
      <c r="N12" s="31" t="b">
        <f aca="false">FALSE()</f>
        <v>0</v>
      </c>
      <c r="O12" s="32"/>
      <c r="P12" s="33"/>
      <c r="Q12" s="34"/>
    </row>
    <row r="13" customFormat="false" ht="23.85" hidden="false" customHeight="false" outlineLevel="0" collapsed="false">
      <c r="A13" s="27" t="n">
        <v>10</v>
      </c>
      <c r="B13" s="27" t="s">
        <v>71</v>
      </c>
      <c r="C13" s="27" t="s">
        <v>94</v>
      </c>
      <c r="D13" s="27" t="s">
        <v>138</v>
      </c>
      <c r="E13" s="28" t="s">
        <v>139</v>
      </c>
      <c r="F13" s="28" t="s">
        <v>134</v>
      </c>
      <c r="G13" s="27" t="s">
        <v>135</v>
      </c>
      <c r="H13" s="27" t="n">
        <v>5</v>
      </c>
      <c r="I13" s="27" t="n">
        <v>55</v>
      </c>
      <c r="J13" s="37" t="s">
        <v>27</v>
      </c>
      <c r="K13" s="27" t="s">
        <v>99</v>
      </c>
      <c r="L13" s="30" t="s">
        <v>100</v>
      </c>
      <c r="M13" s="28" t="s">
        <v>140</v>
      </c>
      <c r="N13" s="31" t="b">
        <f aca="false">FALSE()</f>
        <v>0</v>
      </c>
      <c r="O13" s="32"/>
      <c r="P13" s="33"/>
      <c r="Q13" s="34"/>
    </row>
    <row r="14" customFormat="false" ht="23.85" hidden="false" customHeight="false" outlineLevel="0" collapsed="false">
      <c r="A14" s="27" t="n">
        <v>11</v>
      </c>
      <c r="B14" s="27" t="s">
        <v>73</v>
      </c>
      <c r="C14" s="27" t="s">
        <v>94</v>
      </c>
      <c r="D14" s="27" t="s">
        <v>141</v>
      </c>
      <c r="E14" s="28" t="s">
        <v>142</v>
      </c>
      <c r="F14" s="28" t="s">
        <v>134</v>
      </c>
      <c r="G14" s="27" t="s">
        <v>135</v>
      </c>
      <c r="H14" s="27" t="n">
        <v>10</v>
      </c>
      <c r="I14" s="27" t="n">
        <v>73</v>
      </c>
      <c r="J14" s="37" t="s">
        <v>27</v>
      </c>
      <c r="K14" s="27" t="s">
        <v>113</v>
      </c>
      <c r="L14" s="30" t="s">
        <v>100</v>
      </c>
      <c r="M14" s="28" t="s">
        <v>143</v>
      </c>
      <c r="N14" s="31" t="b">
        <f aca="false">FALSE()</f>
        <v>0</v>
      </c>
      <c r="O14" s="32"/>
      <c r="P14" s="33"/>
      <c r="Q14" s="34"/>
    </row>
    <row r="15" customFormat="false" ht="23.85" hidden="false" customHeight="false" outlineLevel="0" collapsed="false">
      <c r="A15" s="35" t="n">
        <v>12</v>
      </c>
      <c r="B15" s="35" t="s">
        <v>64</v>
      </c>
      <c r="C15" s="35" t="s">
        <v>102</v>
      </c>
      <c r="D15" s="35" t="s">
        <v>144</v>
      </c>
      <c r="E15" s="6" t="s">
        <v>145</v>
      </c>
      <c r="F15" s="6" t="s">
        <v>146</v>
      </c>
      <c r="G15" s="35" t="s">
        <v>147</v>
      </c>
      <c r="H15" s="35" t="n">
        <v>5</v>
      </c>
      <c r="I15" s="35" t="n">
        <v>7</v>
      </c>
      <c r="J15" s="36" t="s">
        <v>25</v>
      </c>
      <c r="K15" s="35" t="s">
        <v>99</v>
      </c>
      <c r="L15" s="30" t="s">
        <v>100</v>
      </c>
      <c r="M15" s="6" t="s">
        <v>148</v>
      </c>
      <c r="N15" s="31" t="b">
        <f aca="false">FALSE()</f>
        <v>0</v>
      </c>
      <c r="O15" s="32"/>
      <c r="P15" s="33"/>
      <c r="Q15" s="34"/>
    </row>
    <row r="16" customFormat="false" ht="23.85" hidden="false" customHeight="false" outlineLevel="0" collapsed="false">
      <c r="A16" s="35" t="n">
        <v>13</v>
      </c>
      <c r="B16" s="35" t="s">
        <v>64</v>
      </c>
      <c r="C16" s="35" t="s">
        <v>102</v>
      </c>
      <c r="D16" s="35" t="s">
        <v>149</v>
      </c>
      <c r="E16" s="6" t="s">
        <v>150</v>
      </c>
      <c r="F16" s="6" t="s">
        <v>146</v>
      </c>
      <c r="G16" s="35" t="s">
        <v>147</v>
      </c>
      <c r="H16" s="35" t="n">
        <v>10</v>
      </c>
      <c r="I16" s="35" t="n">
        <v>7</v>
      </c>
      <c r="J16" s="36" t="s">
        <v>25</v>
      </c>
      <c r="K16" s="35" t="s">
        <v>136</v>
      </c>
      <c r="L16" s="30" t="s">
        <v>100</v>
      </c>
      <c r="M16" s="6" t="s">
        <v>151</v>
      </c>
      <c r="N16" s="31" t="b">
        <f aca="false">FALSE()</f>
        <v>0</v>
      </c>
      <c r="O16" s="32"/>
      <c r="P16" s="33"/>
      <c r="Q16" s="34"/>
    </row>
    <row r="17" customFormat="false" ht="23.85" hidden="false" customHeight="false" outlineLevel="0" collapsed="false">
      <c r="A17" s="35" t="n">
        <v>14</v>
      </c>
      <c r="B17" s="35" t="s">
        <v>65</v>
      </c>
      <c r="C17" s="35" t="s">
        <v>102</v>
      </c>
      <c r="D17" s="35" t="s">
        <v>152</v>
      </c>
      <c r="E17" s="6" t="s">
        <v>153</v>
      </c>
      <c r="F17" s="6" t="s">
        <v>146</v>
      </c>
      <c r="G17" s="35" t="s">
        <v>147</v>
      </c>
      <c r="H17" s="35" t="n">
        <v>3</v>
      </c>
      <c r="I17" s="35" t="n">
        <v>14</v>
      </c>
      <c r="J17" s="36" t="s">
        <v>25</v>
      </c>
      <c r="K17" s="35" t="s">
        <v>154</v>
      </c>
      <c r="L17" s="30" t="s">
        <v>100</v>
      </c>
      <c r="M17" s="6" t="s">
        <v>155</v>
      </c>
      <c r="N17" s="31" t="b">
        <f aca="false">FALSE()</f>
        <v>0</v>
      </c>
      <c r="O17" s="32"/>
      <c r="P17" s="33"/>
      <c r="Q17" s="34"/>
    </row>
    <row r="18" customFormat="false" ht="23.85" hidden="false" customHeight="false" outlineLevel="0" collapsed="false">
      <c r="A18" s="35" t="n">
        <v>15</v>
      </c>
      <c r="B18" s="35" t="s">
        <v>66</v>
      </c>
      <c r="C18" s="35" t="s">
        <v>94</v>
      </c>
      <c r="D18" s="35" t="s">
        <v>156</v>
      </c>
      <c r="E18" s="6" t="s">
        <v>157</v>
      </c>
      <c r="F18" s="6" t="s">
        <v>146</v>
      </c>
      <c r="G18" s="35" t="s">
        <v>147</v>
      </c>
      <c r="H18" s="35" t="n">
        <v>10</v>
      </c>
      <c r="I18" s="35" t="s">
        <v>158</v>
      </c>
      <c r="J18" s="36" t="s">
        <v>25</v>
      </c>
      <c r="K18" s="35" t="s">
        <v>136</v>
      </c>
      <c r="L18" s="30" t="s">
        <v>100</v>
      </c>
      <c r="M18" s="6" t="s">
        <v>159</v>
      </c>
      <c r="N18" s="31" t="b">
        <f aca="false">FALSE()</f>
        <v>0</v>
      </c>
      <c r="O18" s="32"/>
      <c r="P18" s="33"/>
      <c r="Q18" s="34"/>
    </row>
    <row r="19" customFormat="false" ht="23.85" hidden="false" customHeight="false" outlineLevel="0" collapsed="false">
      <c r="A19" s="35" t="n">
        <v>16</v>
      </c>
      <c r="B19" s="35" t="s">
        <v>66</v>
      </c>
      <c r="C19" s="35" t="s">
        <v>94</v>
      </c>
      <c r="D19" s="35" t="s">
        <v>160</v>
      </c>
      <c r="E19" s="6" t="s">
        <v>161</v>
      </c>
      <c r="F19" s="6" t="s">
        <v>146</v>
      </c>
      <c r="G19" s="35" t="s">
        <v>147</v>
      </c>
      <c r="H19" s="35" t="n">
        <v>5</v>
      </c>
      <c r="I19" s="35" t="n">
        <v>24</v>
      </c>
      <c r="J19" s="36" t="s">
        <v>25</v>
      </c>
      <c r="K19" s="35" t="s">
        <v>154</v>
      </c>
      <c r="L19" s="30" t="s">
        <v>100</v>
      </c>
      <c r="M19" s="6" t="s">
        <v>162</v>
      </c>
      <c r="N19" s="31" t="b">
        <f aca="false">FALSE()</f>
        <v>0</v>
      </c>
      <c r="O19" s="32"/>
      <c r="P19" s="33"/>
      <c r="Q19" s="34"/>
    </row>
    <row r="20" customFormat="false" ht="23.85" hidden="false" customHeight="false" outlineLevel="0" collapsed="false">
      <c r="A20" s="27" t="n">
        <v>17</v>
      </c>
      <c r="B20" s="27" t="s">
        <v>64</v>
      </c>
      <c r="C20" s="27" t="s">
        <v>102</v>
      </c>
      <c r="D20" s="27" t="s">
        <v>163</v>
      </c>
      <c r="E20" s="28" t="s">
        <v>164</v>
      </c>
      <c r="F20" s="28" t="s">
        <v>165</v>
      </c>
      <c r="G20" s="27" t="s">
        <v>166</v>
      </c>
      <c r="H20" s="27" t="n">
        <v>5</v>
      </c>
      <c r="I20" s="27" t="n">
        <v>7</v>
      </c>
      <c r="J20" s="36" t="s">
        <v>25</v>
      </c>
      <c r="K20" s="27" t="s">
        <v>99</v>
      </c>
      <c r="L20" s="30" t="s">
        <v>100</v>
      </c>
      <c r="M20" s="28" t="s">
        <v>167</v>
      </c>
      <c r="N20" s="31" t="b">
        <f aca="false">FALSE()</f>
        <v>0</v>
      </c>
      <c r="O20" s="32"/>
      <c r="P20" s="33"/>
      <c r="Q20" s="34"/>
    </row>
    <row r="21" customFormat="false" ht="23.85" hidden="false" customHeight="false" outlineLevel="0" collapsed="false">
      <c r="A21" s="27" t="n">
        <v>18</v>
      </c>
      <c r="B21" s="27" t="s">
        <v>64</v>
      </c>
      <c r="C21" s="27" t="s">
        <v>102</v>
      </c>
      <c r="D21" s="27" t="s">
        <v>168</v>
      </c>
      <c r="E21" s="28" t="s">
        <v>169</v>
      </c>
      <c r="F21" s="28" t="s">
        <v>165</v>
      </c>
      <c r="G21" s="27" t="s">
        <v>166</v>
      </c>
      <c r="H21" s="27" t="n">
        <v>5</v>
      </c>
      <c r="I21" s="27" t="n">
        <v>7</v>
      </c>
      <c r="J21" s="36" t="s">
        <v>25</v>
      </c>
      <c r="K21" s="27" t="s">
        <v>99</v>
      </c>
      <c r="L21" s="30" t="s">
        <v>100</v>
      </c>
      <c r="M21" s="28" t="s">
        <v>170</v>
      </c>
      <c r="N21" s="31" t="b">
        <f aca="false">FALSE()</f>
        <v>0</v>
      </c>
      <c r="O21" s="32"/>
      <c r="P21" s="33"/>
      <c r="Q21" s="34"/>
    </row>
    <row r="22" customFormat="false" ht="23.85" hidden="false" customHeight="false" outlineLevel="0" collapsed="false">
      <c r="A22" s="27" t="n">
        <v>19</v>
      </c>
      <c r="B22" s="27" t="s">
        <v>69</v>
      </c>
      <c r="C22" s="27" t="s">
        <v>94</v>
      </c>
      <c r="D22" s="27" t="s">
        <v>171</v>
      </c>
      <c r="E22" s="28" t="s">
        <v>172</v>
      </c>
      <c r="F22" s="28" t="s">
        <v>165</v>
      </c>
      <c r="G22" s="27" t="s">
        <v>166</v>
      </c>
      <c r="H22" s="27" t="n">
        <v>5</v>
      </c>
      <c r="I22" s="27" t="n">
        <v>42</v>
      </c>
      <c r="J22" s="29" t="s">
        <v>29</v>
      </c>
      <c r="K22" s="27" t="s">
        <v>99</v>
      </c>
      <c r="L22" s="30" t="s">
        <v>100</v>
      </c>
      <c r="M22" s="28" t="s">
        <v>101</v>
      </c>
      <c r="N22" s="31" t="b">
        <f aca="false">FALSE()</f>
        <v>0</v>
      </c>
      <c r="O22" s="32"/>
      <c r="P22" s="33"/>
      <c r="Q22" s="34"/>
    </row>
    <row r="23" customFormat="false" ht="23.85" hidden="false" customHeight="false" outlineLevel="0" collapsed="false">
      <c r="A23" s="27" t="n">
        <v>20</v>
      </c>
      <c r="B23" s="27" t="s">
        <v>70</v>
      </c>
      <c r="C23" s="27" t="s">
        <v>94</v>
      </c>
      <c r="D23" s="27" t="s">
        <v>171</v>
      </c>
      <c r="E23" s="28" t="s">
        <v>173</v>
      </c>
      <c r="F23" s="28" t="s">
        <v>165</v>
      </c>
      <c r="G23" s="27" t="s">
        <v>166</v>
      </c>
      <c r="H23" s="27" t="n">
        <v>15</v>
      </c>
      <c r="I23" s="27" t="n">
        <v>49</v>
      </c>
      <c r="J23" s="37" t="s">
        <v>27</v>
      </c>
      <c r="K23" s="27" t="s">
        <v>136</v>
      </c>
      <c r="L23" s="30" t="s">
        <v>100</v>
      </c>
      <c r="M23" s="28" t="s">
        <v>174</v>
      </c>
      <c r="N23" s="31" t="b">
        <f aca="false">FALSE()</f>
        <v>0</v>
      </c>
      <c r="O23" s="32"/>
      <c r="P23" s="33"/>
      <c r="Q23" s="34"/>
    </row>
    <row r="24" customFormat="false" ht="23.85" hidden="false" customHeight="false" outlineLevel="0" collapsed="false">
      <c r="A24" s="27" t="n">
        <v>21</v>
      </c>
      <c r="B24" s="27" t="s">
        <v>74</v>
      </c>
      <c r="C24" s="27" t="s">
        <v>94</v>
      </c>
      <c r="D24" s="27" t="s">
        <v>175</v>
      </c>
      <c r="E24" s="28" t="s">
        <v>176</v>
      </c>
      <c r="F24" s="28" t="s">
        <v>165</v>
      </c>
      <c r="G24" s="27" t="s">
        <v>166</v>
      </c>
      <c r="H24" s="27" t="n">
        <v>14</v>
      </c>
      <c r="I24" s="27" t="n">
        <v>76</v>
      </c>
      <c r="J24" s="37" t="s">
        <v>27</v>
      </c>
      <c r="K24" s="27" t="s">
        <v>136</v>
      </c>
      <c r="L24" s="30" t="s">
        <v>100</v>
      </c>
      <c r="M24" s="28" t="s">
        <v>177</v>
      </c>
      <c r="N24" s="31" t="b">
        <f aca="false">FALSE()</f>
        <v>0</v>
      </c>
      <c r="O24" s="32"/>
      <c r="P24" s="33"/>
      <c r="Q24" s="34"/>
    </row>
    <row r="25" customFormat="false" ht="23.85" hidden="false" customHeight="false" outlineLevel="0" collapsed="false">
      <c r="A25" s="27" t="n">
        <v>22</v>
      </c>
      <c r="B25" s="27" t="s">
        <v>76</v>
      </c>
      <c r="C25" s="27" t="s">
        <v>94</v>
      </c>
      <c r="D25" s="27" t="s">
        <v>178</v>
      </c>
      <c r="E25" s="28" t="s">
        <v>179</v>
      </c>
      <c r="F25" s="28" t="s">
        <v>165</v>
      </c>
      <c r="G25" s="27" t="s">
        <v>166</v>
      </c>
      <c r="H25" s="27" t="n">
        <v>15</v>
      </c>
      <c r="I25" s="27" t="n">
        <v>84</v>
      </c>
      <c r="J25" s="37" t="s">
        <v>27</v>
      </c>
      <c r="K25" s="27" t="s">
        <v>136</v>
      </c>
      <c r="L25" s="30" t="s">
        <v>100</v>
      </c>
      <c r="M25" s="28" t="s">
        <v>180</v>
      </c>
      <c r="N25" s="31" t="b">
        <f aca="false">FALSE()</f>
        <v>0</v>
      </c>
      <c r="O25" s="32"/>
      <c r="P25" s="33"/>
      <c r="Q25" s="34"/>
    </row>
    <row r="26" customFormat="false" ht="23.85" hidden="false" customHeight="false" outlineLevel="0" collapsed="false">
      <c r="A26" s="35" t="n">
        <v>23</v>
      </c>
      <c r="B26" s="35" t="s">
        <v>65</v>
      </c>
      <c r="C26" s="35" t="s">
        <v>102</v>
      </c>
      <c r="D26" s="35" t="s">
        <v>120</v>
      </c>
      <c r="E26" s="6" t="s">
        <v>181</v>
      </c>
      <c r="F26" s="6" t="s">
        <v>182</v>
      </c>
      <c r="G26" s="35" t="s">
        <v>183</v>
      </c>
      <c r="H26" s="35" t="n">
        <v>15</v>
      </c>
      <c r="I26" s="35" t="n">
        <v>9</v>
      </c>
      <c r="J26" s="36" t="s">
        <v>25</v>
      </c>
      <c r="K26" s="35" t="s">
        <v>136</v>
      </c>
      <c r="L26" s="30" t="s">
        <v>100</v>
      </c>
      <c r="M26" s="6" t="s">
        <v>184</v>
      </c>
      <c r="N26" s="31" t="b">
        <f aca="false">FALSE()</f>
        <v>0</v>
      </c>
      <c r="O26" s="32"/>
      <c r="P26" s="33"/>
      <c r="Q26" s="34"/>
    </row>
    <row r="27" customFormat="false" ht="23.85" hidden="false" customHeight="false" outlineLevel="0" collapsed="false">
      <c r="A27" s="35" t="n">
        <v>24</v>
      </c>
      <c r="B27" s="35" t="s">
        <v>65</v>
      </c>
      <c r="C27" s="35" t="s">
        <v>102</v>
      </c>
      <c r="D27" s="35" t="s">
        <v>185</v>
      </c>
      <c r="E27" s="6" t="s">
        <v>186</v>
      </c>
      <c r="F27" s="6" t="s">
        <v>182</v>
      </c>
      <c r="G27" s="35" t="s">
        <v>183</v>
      </c>
      <c r="H27" s="35" t="n">
        <v>8</v>
      </c>
      <c r="I27" s="35" t="n">
        <v>13</v>
      </c>
      <c r="J27" s="36" t="s">
        <v>25</v>
      </c>
      <c r="K27" s="35" t="s">
        <v>99</v>
      </c>
      <c r="L27" s="38" t="s">
        <v>124</v>
      </c>
      <c r="M27" s="6" t="s">
        <v>101</v>
      </c>
      <c r="N27" s="31" t="b">
        <f aca="false">FALSE()</f>
        <v>0</v>
      </c>
      <c r="O27" s="32"/>
      <c r="P27" s="33"/>
      <c r="Q27" s="34"/>
    </row>
    <row r="28" customFormat="false" ht="23.85" hidden="false" customHeight="false" outlineLevel="0" collapsed="false">
      <c r="A28" s="35" t="n">
        <v>25</v>
      </c>
      <c r="B28" s="35" t="s">
        <v>69</v>
      </c>
      <c r="C28" s="35" t="s">
        <v>94</v>
      </c>
      <c r="D28" s="35" t="s">
        <v>156</v>
      </c>
      <c r="E28" s="6" t="s">
        <v>187</v>
      </c>
      <c r="F28" s="6" t="s">
        <v>182</v>
      </c>
      <c r="G28" s="35" t="s">
        <v>183</v>
      </c>
      <c r="H28" s="35" t="n">
        <v>30</v>
      </c>
      <c r="I28" s="35" t="s">
        <v>188</v>
      </c>
      <c r="J28" s="37" t="s">
        <v>27</v>
      </c>
      <c r="K28" s="35" t="s">
        <v>136</v>
      </c>
      <c r="L28" s="30" t="s">
        <v>100</v>
      </c>
      <c r="M28" s="6" t="s">
        <v>189</v>
      </c>
      <c r="N28" s="31" t="b">
        <f aca="false">FALSE()</f>
        <v>0</v>
      </c>
      <c r="O28" s="32"/>
      <c r="P28" s="33"/>
      <c r="Q28" s="34"/>
    </row>
    <row r="29" customFormat="false" ht="23.85" hidden="false" customHeight="false" outlineLevel="0" collapsed="false">
      <c r="A29" s="35" t="n">
        <v>26</v>
      </c>
      <c r="B29" s="35" t="s">
        <v>75</v>
      </c>
      <c r="C29" s="35" t="s">
        <v>94</v>
      </c>
      <c r="D29" s="35" t="s">
        <v>190</v>
      </c>
      <c r="E29" s="6" t="s">
        <v>191</v>
      </c>
      <c r="F29" s="6" t="s">
        <v>182</v>
      </c>
      <c r="G29" s="35" t="s">
        <v>183</v>
      </c>
      <c r="H29" s="35" t="n">
        <v>35</v>
      </c>
      <c r="I29" s="35" t="s">
        <v>192</v>
      </c>
      <c r="J29" s="37" t="s">
        <v>27</v>
      </c>
      <c r="K29" s="35" t="s">
        <v>136</v>
      </c>
      <c r="L29" s="30" t="s">
        <v>100</v>
      </c>
      <c r="M29" s="6" t="s">
        <v>193</v>
      </c>
      <c r="N29" s="31" t="b">
        <f aca="false">FALSE()</f>
        <v>0</v>
      </c>
      <c r="O29" s="32"/>
      <c r="P29" s="33"/>
      <c r="Q29" s="34"/>
    </row>
    <row r="30" customFormat="false" ht="23.85" hidden="false" customHeight="false" outlineLevel="0" collapsed="false">
      <c r="A30" s="27" t="n">
        <v>27</v>
      </c>
      <c r="B30" s="27" t="s">
        <v>64</v>
      </c>
      <c r="C30" s="27" t="s">
        <v>102</v>
      </c>
      <c r="D30" s="27" t="s">
        <v>194</v>
      </c>
      <c r="E30" s="28" t="s">
        <v>195</v>
      </c>
      <c r="F30" s="28" t="s">
        <v>196</v>
      </c>
      <c r="G30" s="27" t="s">
        <v>197</v>
      </c>
      <c r="H30" s="27" t="n">
        <v>10</v>
      </c>
      <c r="I30" s="27" t="s">
        <v>198</v>
      </c>
      <c r="J30" s="36" t="s">
        <v>25</v>
      </c>
      <c r="K30" s="27" t="s">
        <v>136</v>
      </c>
      <c r="L30" s="30" t="s">
        <v>100</v>
      </c>
      <c r="M30" s="28" t="s">
        <v>101</v>
      </c>
      <c r="N30" s="31" t="b">
        <f aca="false">FALSE()</f>
        <v>0</v>
      </c>
      <c r="O30" s="32"/>
      <c r="P30" s="33"/>
      <c r="Q30" s="34"/>
    </row>
    <row r="31" customFormat="false" ht="23.85" hidden="false" customHeight="false" outlineLevel="0" collapsed="false">
      <c r="A31" s="27" t="n">
        <v>28</v>
      </c>
      <c r="B31" s="27" t="s">
        <v>65</v>
      </c>
      <c r="C31" s="27" t="s">
        <v>102</v>
      </c>
      <c r="D31" s="27" t="s">
        <v>199</v>
      </c>
      <c r="E31" s="28" t="s">
        <v>200</v>
      </c>
      <c r="F31" s="28" t="s">
        <v>196</v>
      </c>
      <c r="G31" s="27" t="s">
        <v>197</v>
      </c>
      <c r="H31" s="27" t="n">
        <v>15</v>
      </c>
      <c r="I31" s="27" t="n">
        <v>10</v>
      </c>
      <c r="J31" s="36" t="s">
        <v>25</v>
      </c>
      <c r="K31" s="27" t="s">
        <v>136</v>
      </c>
      <c r="L31" s="38" t="s">
        <v>124</v>
      </c>
      <c r="M31" s="28" t="s">
        <v>101</v>
      </c>
      <c r="N31" s="31" t="b">
        <f aca="false">FALSE()</f>
        <v>0</v>
      </c>
      <c r="O31" s="32"/>
      <c r="P31" s="33"/>
      <c r="Q31" s="34"/>
    </row>
  </sheetData>
  <autoFilter ref="A3:Q31"/>
  <conditionalFormatting sqref="A4:Q31">
    <cfRule type="expression" priority="2" aboveAverage="0" equalAverage="0" bottom="0" percent="0" rank="0" text="" dxfId="10">
      <formula>$N4=1</formula>
    </cfRule>
  </conditionalFormatting>
  <conditionalFormatting sqref="O4:O31">
    <cfRule type="cellIs" priority="3" operator="equal" aboveAverage="0" equalAverage="0" bottom="0" percent="0" rank="0" text="" dxfId="11">
      <formula>"Weak"</formula>
    </cfRule>
    <cfRule type="cellIs" priority="4" operator="equal" aboveAverage="0" equalAverage="0" bottom="0" percent="0" rank="0" text="" dxfId="12">
      <formula>"Strong"</formula>
    </cfRule>
  </conditionalFormatting>
  <dataValidations count="2">
    <dataValidation allowBlank="true" errorStyle="stop" operator="between" showDropDown="false" showErrorMessage="false" showInputMessage="false" sqref="N4:N31" type="list">
      <formula1>"TRUE,FALSE"</formula1>
      <formula2>0</formula2>
    </dataValidation>
    <dataValidation allowBlank="true" errorStyle="stop" operator="between" showDropDown="false" showErrorMessage="false" showInputMessage="false" sqref="O4:O31" type="list">
      <formula1>"Weak,OK,Strong"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5" min="5" style="0" width="58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30"/>
    <col collapsed="false" customWidth="true" hidden="false" outlineLevel="0" max="14" min="14" style="0" width="7"/>
    <col collapsed="false" customWidth="true" hidden="false" outlineLevel="0" max="16" min="15" style="0" width="12"/>
    <col collapsed="false" customWidth="true" hidden="false" outlineLevel="0" max="17" min="17" style="0" width="32"/>
  </cols>
  <sheetData>
    <row r="1" customFormat="false" ht="17.35" hidden="false" customHeight="false" outlineLevel="0" collapsed="false">
      <c r="A1" s="26" t="s">
        <v>201</v>
      </c>
    </row>
    <row r="2" customFormat="false" ht="15" hidden="false" customHeight="false" outlineLevel="0" collapsed="false">
      <c r="A2" s="2" t="s">
        <v>202</v>
      </c>
    </row>
    <row r="3" customFormat="false" ht="30" hidden="false" customHeight="true" outlineLevel="0" collapsed="false">
      <c r="A3" s="14" t="s">
        <v>81</v>
      </c>
      <c r="B3" s="14" t="s">
        <v>63</v>
      </c>
      <c r="C3" s="14" t="s">
        <v>33</v>
      </c>
      <c r="D3" s="14" t="s">
        <v>82</v>
      </c>
      <c r="E3" s="14" t="s">
        <v>83</v>
      </c>
      <c r="F3" s="14" t="s">
        <v>84</v>
      </c>
      <c r="G3" s="14" t="s">
        <v>85</v>
      </c>
      <c r="H3" s="14" t="s">
        <v>86</v>
      </c>
      <c r="I3" s="14" t="s">
        <v>87</v>
      </c>
      <c r="J3" s="14" t="s">
        <v>88</v>
      </c>
      <c r="K3" s="14" t="s">
        <v>31</v>
      </c>
      <c r="L3" s="14" t="s">
        <v>89</v>
      </c>
      <c r="M3" s="14" t="s">
        <v>90</v>
      </c>
      <c r="N3" s="14" t="s">
        <v>49</v>
      </c>
      <c r="O3" s="14" t="s">
        <v>91</v>
      </c>
      <c r="P3" s="14" t="s">
        <v>92</v>
      </c>
      <c r="Q3" s="14" t="s">
        <v>93</v>
      </c>
    </row>
    <row r="4" customFormat="false" ht="23.85" hidden="false" customHeight="false" outlineLevel="0" collapsed="false">
      <c r="A4" s="27" t="n">
        <v>1</v>
      </c>
      <c r="B4" s="27" t="s">
        <v>65</v>
      </c>
      <c r="C4" s="27" t="s">
        <v>94</v>
      </c>
      <c r="D4" s="27" t="s">
        <v>203</v>
      </c>
      <c r="E4" s="28" t="s">
        <v>204</v>
      </c>
      <c r="F4" s="28" t="s">
        <v>205</v>
      </c>
      <c r="G4" s="27" t="s">
        <v>206</v>
      </c>
      <c r="H4" s="27" t="n">
        <v>5</v>
      </c>
      <c r="I4" s="27" t="n">
        <v>18</v>
      </c>
      <c r="J4" s="36" t="s">
        <v>25</v>
      </c>
      <c r="K4" s="27" t="s">
        <v>99</v>
      </c>
      <c r="L4" s="39" t="s">
        <v>207</v>
      </c>
      <c r="M4" s="28" t="s">
        <v>101</v>
      </c>
      <c r="N4" s="31" t="b">
        <f aca="false">FALSE()</f>
        <v>0</v>
      </c>
      <c r="O4" s="32"/>
      <c r="P4" s="33"/>
      <c r="Q4" s="34"/>
    </row>
    <row r="5" customFormat="false" ht="23.85" hidden="false" customHeight="false" outlineLevel="0" collapsed="false">
      <c r="A5" s="27" t="n">
        <v>2</v>
      </c>
      <c r="B5" s="27" t="s">
        <v>70</v>
      </c>
      <c r="C5" s="27" t="s">
        <v>94</v>
      </c>
      <c r="D5" s="27" t="s">
        <v>208</v>
      </c>
      <c r="E5" s="28" t="s">
        <v>209</v>
      </c>
      <c r="F5" s="28" t="s">
        <v>205</v>
      </c>
      <c r="G5" s="27" t="s">
        <v>206</v>
      </c>
      <c r="H5" s="27" t="n">
        <v>5</v>
      </c>
      <c r="I5" s="27" t="n">
        <v>49</v>
      </c>
      <c r="J5" s="37" t="s">
        <v>27</v>
      </c>
      <c r="K5" s="27" t="s">
        <v>154</v>
      </c>
      <c r="L5" s="39" t="s">
        <v>207</v>
      </c>
      <c r="M5" s="28" t="s">
        <v>210</v>
      </c>
      <c r="N5" s="31" t="b">
        <f aca="false">FALSE()</f>
        <v>0</v>
      </c>
      <c r="O5" s="32"/>
      <c r="P5" s="33"/>
      <c r="Q5" s="34"/>
    </row>
    <row r="6" customFormat="false" ht="23.85" hidden="false" customHeight="false" outlineLevel="0" collapsed="false">
      <c r="A6" s="27" t="n">
        <v>3</v>
      </c>
      <c r="B6" s="27" t="s">
        <v>72</v>
      </c>
      <c r="C6" s="27" t="s">
        <v>94</v>
      </c>
      <c r="D6" s="27" t="s">
        <v>126</v>
      </c>
      <c r="E6" s="28" t="s">
        <v>211</v>
      </c>
      <c r="F6" s="28" t="s">
        <v>205</v>
      </c>
      <c r="G6" s="27" t="s">
        <v>206</v>
      </c>
      <c r="H6" s="27" t="n">
        <v>5</v>
      </c>
      <c r="I6" s="27" t="n">
        <v>64</v>
      </c>
      <c r="J6" s="37" t="s">
        <v>27</v>
      </c>
      <c r="K6" s="27" t="s">
        <v>154</v>
      </c>
      <c r="L6" s="30" t="s">
        <v>100</v>
      </c>
      <c r="M6" s="28" t="s">
        <v>212</v>
      </c>
      <c r="N6" s="31" t="b">
        <f aca="false">FALSE()</f>
        <v>0</v>
      </c>
      <c r="O6" s="32"/>
      <c r="P6" s="33"/>
      <c r="Q6" s="34"/>
    </row>
    <row r="7" customFormat="false" ht="23.85" hidden="false" customHeight="false" outlineLevel="0" collapsed="false">
      <c r="A7" s="27" t="n">
        <v>4</v>
      </c>
      <c r="B7" s="27" t="s">
        <v>74</v>
      </c>
      <c r="C7" s="27" t="s">
        <v>94</v>
      </c>
      <c r="D7" s="27" t="s">
        <v>213</v>
      </c>
      <c r="E7" s="28" t="s">
        <v>214</v>
      </c>
      <c r="F7" s="28" t="s">
        <v>205</v>
      </c>
      <c r="G7" s="27" t="s">
        <v>206</v>
      </c>
      <c r="H7" s="27" t="n">
        <v>9</v>
      </c>
      <c r="I7" s="27" t="n">
        <v>76</v>
      </c>
      <c r="J7" s="37" t="s">
        <v>27</v>
      </c>
      <c r="K7" s="27" t="s">
        <v>154</v>
      </c>
      <c r="L7" s="30" t="s">
        <v>100</v>
      </c>
      <c r="M7" s="28" t="s">
        <v>215</v>
      </c>
      <c r="N7" s="31" t="b">
        <f aca="false">FALSE()</f>
        <v>0</v>
      </c>
      <c r="O7" s="32"/>
      <c r="P7" s="33"/>
      <c r="Q7" s="34"/>
    </row>
    <row r="8" customFormat="false" ht="23.85" hidden="false" customHeight="false" outlineLevel="0" collapsed="false">
      <c r="A8" s="35" t="n">
        <v>5</v>
      </c>
      <c r="B8" s="35" t="s">
        <v>71</v>
      </c>
      <c r="C8" s="35" t="s">
        <v>94</v>
      </c>
      <c r="D8" s="35" t="s">
        <v>216</v>
      </c>
      <c r="E8" s="6" t="s">
        <v>217</v>
      </c>
      <c r="F8" s="6" t="s">
        <v>218</v>
      </c>
      <c r="G8" s="35" t="s">
        <v>219</v>
      </c>
      <c r="H8" s="35" t="n">
        <v>15</v>
      </c>
      <c r="I8" s="35" t="n">
        <v>56</v>
      </c>
      <c r="J8" s="37" t="s">
        <v>27</v>
      </c>
      <c r="K8" s="35" t="s">
        <v>136</v>
      </c>
      <c r="L8" s="30" t="s">
        <v>100</v>
      </c>
      <c r="M8" s="6" t="s">
        <v>220</v>
      </c>
      <c r="N8" s="31" t="b">
        <f aca="false">FALSE()</f>
        <v>0</v>
      </c>
      <c r="O8" s="32"/>
      <c r="P8" s="33"/>
      <c r="Q8" s="34"/>
    </row>
    <row r="9" customFormat="false" ht="23.85" hidden="false" customHeight="false" outlineLevel="0" collapsed="false">
      <c r="A9" s="35" t="n">
        <v>6</v>
      </c>
      <c r="B9" s="35" t="s">
        <v>72</v>
      </c>
      <c r="C9" s="35" t="s">
        <v>94</v>
      </c>
      <c r="D9" s="35" t="s">
        <v>129</v>
      </c>
      <c r="E9" s="6" t="s">
        <v>221</v>
      </c>
      <c r="F9" s="6" t="s">
        <v>218</v>
      </c>
      <c r="G9" s="35" t="s">
        <v>219</v>
      </c>
      <c r="H9" s="35" t="n">
        <v>10</v>
      </c>
      <c r="I9" s="35" t="n">
        <v>64</v>
      </c>
      <c r="J9" s="37" t="s">
        <v>27</v>
      </c>
      <c r="K9" s="35" t="s">
        <v>136</v>
      </c>
      <c r="L9" s="30" t="s">
        <v>100</v>
      </c>
      <c r="M9" s="6" t="s">
        <v>222</v>
      </c>
      <c r="N9" s="31" t="b">
        <f aca="false">FALSE()</f>
        <v>0</v>
      </c>
      <c r="O9" s="32"/>
      <c r="P9" s="33"/>
      <c r="Q9" s="34"/>
    </row>
    <row r="10" customFormat="false" ht="23.85" hidden="false" customHeight="false" outlineLevel="0" collapsed="false">
      <c r="A10" s="35" t="n">
        <v>7</v>
      </c>
      <c r="B10" s="35" t="s">
        <v>73</v>
      </c>
      <c r="C10" s="35" t="s">
        <v>94</v>
      </c>
      <c r="D10" s="35" t="s">
        <v>223</v>
      </c>
      <c r="E10" s="6" t="s">
        <v>224</v>
      </c>
      <c r="F10" s="6" t="s">
        <v>218</v>
      </c>
      <c r="G10" s="35" t="s">
        <v>219</v>
      </c>
      <c r="H10" s="35" t="n">
        <v>15</v>
      </c>
      <c r="I10" s="35" t="n">
        <v>69</v>
      </c>
      <c r="J10" s="37" t="s">
        <v>27</v>
      </c>
      <c r="K10" s="35" t="s">
        <v>136</v>
      </c>
      <c r="L10" s="30" t="s">
        <v>100</v>
      </c>
      <c r="M10" s="6" t="s">
        <v>225</v>
      </c>
      <c r="N10" s="31" t="b">
        <f aca="false">FALSE()</f>
        <v>0</v>
      </c>
      <c r="O10" s="32"/>
      <c r="P10" s="33"/>
      <c r="Q10" s="34"/>
    </row>
    <row r="11" customFormat="false" ht="23.85" hidden="false" customHeight="false" outlineLevel="0" collapsed="false">
      <c r="A11" s="35" t="n">
        <v>8</v>
      </c>
      <c r="B11" s="35" t="s">
        <v>74</v>
      </c>
      <c r="C11" s="35" t="s">
        <v>94</v>
      </c>
      <c r="D11" s="35" t="s">
        <v>108</v>
      </c>
      <c r="E11" s="6" t="s">
        <v>221</v>
      </c>
      <c r="F11" s="6" t="s">
        <v>218</v>
      </c>
      <c r="G11" s="35" t="s">
        <v>219</v>
      </c>
      <c r="H11" s="35" t="n">
        <v>15</v>
      </c>
      <c r="I11" s="35" t="n">
        <v>76</v>
      </c>
      <c r="J11" s="37" t="s">
        <v>27</v>
      </c>
      <c r="K11" s="35" t="s">
        <v>136</v>
      </c>
      <c r="L11" s="30" t="s">
        <v>100</v>
      </c>
      <c r="M11" s="6" t="s">
        <v>226</v>
      </c>
      <c r="N11" s="31" t="b">
        <f aca="false">FALSE()</f>
        <v>0</v>
      </c>
      <c r="O11" s="32"/>
      <c r="P11" s="33"/>
      <c r="Q11" s="34"/>
    </row>
    <row r="12" customFormat="false" ht="23.85" hidden="false" customHeight="false" outlineLevel="0" collapsed="false">
      <c r="A12" s="35" t="n">
        <v>9</v>
      </c>
      <c r="B12" s="35" t="s">
        <v>76</v>
      </c>
      <c r="C12" s="35" t="s">
        <v>94</v>
      </c>
      <c r="D12" s="35" t="s">
        <v>227</v>
      </c>
      <c r="E12" s="6" t="s">
        <v>228</v>
      </c>
      <c r="F12" s="6" t="s">
        <v>218</v>
      </c>
      <c r="G12" s="35" t="s">
        <v>219</v>
      </c>
      <c r="H12" s="35" t="n">
        <v>8</v>
      </c>
      <c r="I12" s="35" t="n">
        <v>85</v>
      </c>
      <c r="J12" s="37" t="s">
        <v>27</v>
      </c>
      <c r="K12" s="35" t="s">
        <v>99</v>
      </c>
      <c r="L12" s="30" t="s">
        <v>100</v>
      </c>
      <c r="M12" s="6" t="s">
        <v>229</v>
      </c>
      <c r="N12" s="31" t="b">
        <f aca="false">FALSE()</f>
        <v>0</v>
      </c>
      <c r="O12" s="32"/>
      <c r="P12" s="33"/>
      <c r="Q12" s="34"/>
    </row>
    <row r="13" customFormat="false" ht="23.85" hidden="false" customHeight="false" outlineLevel="0" collapsed="false">
      <c r="A13" s="35" t="n">
        <v>10</v>
      </c>
      <c r="B13" s="35" t="s">
        <v>76</v>
      </c>
      <c r="C13" s="35" t="s">
        <v>94</v>
      </c>
      <c r="D13" s="35" t="s">
        <v>132</v>
      </c>
      <c r="E13" s="6" t="s">
        <v>230</v>
      </c>
      <c r="F13" s="6" t="s">
        <v>218</v>
      </c>
      <c r="G13" s="35" t="s">
        <v>219</v>
      </c>
      <c r="H13" s="35" t="n">
        <v>6</v>
      </c>
      <c r="I13" s="35" t="n">
        <v>85</v>
      </c>
      <c r="J13" s="37" t="s">
        <v>27</v>
      </c>
      <c r="K13" s="35" t="s">
        <v>99</v>
      </c>
      <c r="L13" s="39" t="s">
        <v>207</v>
      </c>
      <c r="M13" s="6" t="s">
        <v>231</v>
      </c>
      <c r="N13" s="31" t="b">
        <f aca="false">FALSE()</f>
        <v>0</v>
      </c>
      <c r="O13" s="32"/>
      <c r="P13" s="33"/>
      <c r="Q13" s="34"/>
    </row>
    <row r="14" customFormat="false" ht="23.85" hidden="false" customHeight="false" outlineLevel="0" collapsed="false">
      <c r="A14" s="27" t="n">
        <v>11</v>
      </c>
      <c r="B14" s="27" t="s">
        <v>65</v>
      </c>
      <c r="C14" s="27" t="s">
        <v>94</v>
      </c>
      <c r="D14" s="27" t="s">
        <v>156</v>
      </c>
      <c r="E14" s="28" t="s">
        <v>232</v>
      </c>
      <c r="F14" s="28" t="s">
        <v>233</v>
      </c>
      <c r="G14" s="27" t="s">
        <v>234</v>
      </c>
      <c r="H14" s="27" t="n">
        <v>12</v>
      </c>
      <c r="I14" s="27" t="n">
        <v>16</v>
      </c>
      <c r="J14" s="36" t="s">
        <v>25</v>
      </c>
      <c r="K14" s="27" t="s">
        <v>113</v>
      </c>
      <c r="L14" s="39" t="s">
        <v>207</v>
      </c>
      <c r="M14" s="28" t="s">
        <v>235</v>
      </c>
      <c r="N14" s="31" t="b">
        <f aca="false">FALSE()</f>
        <v>0</v>
      </c>
      <c r="O14" s="32"/>
      <c r="P14" s="33"/>
      <c r="Q14" s="34"/>
    </row>
    <row r="15" customFormat="false" ht="46.25" hidden="false" customHeight="false" outlineLevel="0" collapsed="false">
      <c r="A15" s="27" t="n">
        <v>12</v>
      </c>
      <c r="B15" s="27" t="s">
        <v>71</v>
      </c>
      <c r="C15" s="27" t="s">
        <v>94</v>
      </c>
      <c r="D15" s="27" t="s">
        <v>132</v>
      </c>
      <c r="E15" s="28" t="s">
        <v>236</v>
      </c>
      <c r="F15" s="28" t="s">
        <v>233</v>
      </c>
      <c r="G15" s="27" t="s">
        <v>234</v>
      </c>
      <c r="H15" s="27" t="n">
        <v>10</v>
      </c>
      <c r="I15" s="27" t="n">
        <v>55</v>
      </c>
      <c r="J15" s="37" t="s">
        <v>27</v>
      </c>
      <c r="K15" s="27" t="s">
        <v>99</v>
      </c>
      <c r="L15" s="39" t="s">
        <v>207</v>
      </c>
      <c r="M15" s="28" t="s">
        <v>237</v>
      </c>
      <c r="N15" s="31" t="b">
        <f aca="false">FALSE()</f>
        <v>0</v>
      </c>
      <c r="O15" s="32"/>
      <c r="P15" s="33"/>
      <c r="Q15" s="34"/>
    </row>
    <row r="16" customFormat="false" ht="46.25" hidden="false" customHeight="false" outlineLevel="0" collapsed="false">
      <c r="A16" s="27" t="n">
        <v>13</v>
      </c>
      <c r="B16" s="27" t="s">
        <v>73</v>
      </c>
      <c r="C16" s="27" t="s">
        <v>94</v>
      </c>
      <c r="D16" s="27" t="s">
        <v>178</v>
      </c>
      <c r="E16" s="28" t="s">
        <v>236</v>
      </c>
      <c r="F16" s="28" t="s">
        <v>233</v>
      </c>
      <c r="G16" s="27" t="s">
        <v>234</v>
      </c>
      <c r="H16" s="27" t="n">
        <v>10</v>
      </c>
      <c r="I16" s="27" t="n">
        <v>69</v>
      </c>
      <c r="J16" s="37" t="s">
        <v>27</v>
      </c>
      <c r="K16" s="27" t="s">
        <v>99</v>
      </c>
      <c r="L16" s="39" t="s">
        <v>207</v>
      </c>
      <c r="M16" s="28" t="s">
        <v>238</v>
      </c>
      <c r="N16" s="31" t="b">
        <f aca="false">FALSE()</f>
        <v>0</v>
      </c>
      <c r="O16" s="32"/>
      <c r="P16" s="33"/>
      <c r="Q16" s="34"/>
    </row>
    <row r="17" customFormat="false" ht="23.85" hidden="false" customHeight="false" outlineLevel="0" collapsed="false">
      <c r="A17" s="27" t="n">
        <v>14</v>
      </c>
      <c r="B17" s="27" t="s">
        <v>74</v>
      </c>
      <c r="C17" s="27" t="s">
        <v>94</v>
      </c>
      <c r="D17" s="27" t="s">
        <v>149</v>
      </c>
      <c r="E17" s="28" t="s">
        <v>239</v>
      </c>
      <c r="F17" s="28" t="s">
        <v>233</v>
      </c>
      <c r="G17" s="27" t="s">
        <v>234</v>
      </c>
      <c r="H17" s="27" t="n">
        <v>7</v>
      </c>
      <c r="I17" s="27" t="n">
        <v>76</v>
      </c>
      <c r="J17" s="29" t="s">
        <v>29</v>
      </c>
      <c r="K17" s="27" t="s">
        <v>113</v>
      </c>
      <c r="L17" s="30" t="s">
        <v>100</v>
      </c>
      <c r="M17" s="28" t="s">
        <v>101</v>
      </c>
      <c r="N17" s="31" t="b">
        <f aca="false">FALSE()</f>
        <v>0</v>
      </c>
      <c r="O17" s="32"/>
      <c r="P17" s="33"/>
      <c r="Q17" s="34"/>
    </row>
    <row r="18" customFormat="false" ht="23.85" hidden="false" customHeight="false" outlineLevel="0" collapsed="false">
      <c r="A18" s="27" t="n">
        <v>15</v>
      </c>
      <c r="B18" s="27" t="s">
        <v>75</v>
      </c>
      <c r="C18" s="27" t="s">
        <v>94</v>
      </c>
      <c r="D18" s="27" t="s">
        <v>240</v>
      </c>
      <c r="E18" s="28" t="s">
        <v>241</v>
      </c>
      <c r="F18" s="28" t="s">
        <v>233</v>
      </c>
      <c r="G18" s="27" t="s">
        <v>234</v>
      </c>
      <c r="H18" s="27" t="n">
        <v>5</v>
      </c>
      <c r="I18" s="27" t="n">
        <v>79</v>
      </c>
      <c r="J18" s="29" t="s">
        <v>29</v>
      </c>
      <c r="K18" s="27" t="s">
        <v>99</v>
      </c>
      <c r="L18" s="30" t="s">
        <v>100</v>
      </c>
      <c r="M18" s="28" t="s">
        <v>101</v>
      </c>
      <c r="N18" s="31" t="b">
        <f aca="false">FALSE()</f>
        <v>0</v>
      </c>
      <c r="O18" s="32"/>
      <c r="P18" s="33"/>
      <c r="Q18" s="34"/>
    </row>
    <row r="19" customFormat="false" ht="23.85" hidden="false" customHeight="false" outlineLevel="0" collapsed="false">
      <c r="A19" s="27" t="n">
        <v>16</v>
      </c>
      <c r="B19" s="27" t="s">
        <v>76</v>
      </c>
      <c r="C19" s="27" t="s">
        <v>94</v>
      </c>
      <c r="D19" s="27" t="s">
        <v>216</v>
      </c>
      <c r="E19" s="28" t="s">
        <v>242</v>
      </c>
      <c r="F19" s="28" t="s">
        <v>233</v>
      </c>
      <c r="G19" s="27" t="s">
        <v>234</v>
      </c>
      <c r="H19" s="27" t="n">
        <v>8</v>
      </c>
      <c r="I19" s="27" t="n">
        <v>85</v>
      </c>
      <c r="J19" s="29" t="s">
        <v>29</v>
      </c>
      <c r="K19" s="27" t="s">
        <v>99</v>
      </c>
      <c r="L19" s="30" t="s">
        <v>100</v>
      </c>
      <c r="M19" s="28" t="s">
        <v>101</v>
      </c>
      <c r="N19" s="31" t="b">
        <f aca="false">FALSE()</f>
        <v>0</v>
      </c>
      <c r="O19" s="32"/>
      <c r="P19" s="33"/>
      <c r="Q19" s="34"/>
    </row>
    <row r="20" customFormat="false" ht="23.85" hidden="false" customHeight="false" outlineLevel="0" collapsed="false">
      <c r="A20" s="27" t="n">
        <v>17</v>
      </c>
      <c r="B20" s="27" t="s">
        <v>76</v>
      </c>
      <c r="C20" s="27" t="s">
        <v>94</v>
      </c>
      <c r="D20" s="27" t="s">
        <v>243</v>
      </c>
      <c r="E20" s="28" t="s">
        <v>244</v>
      </c>
      <c r="F20" s="28" t="s">
        <v>233</v>
      </c>
      <c r="G20" s="27" t="s">
        <v>234</v>
      </c>
      <c r="H20" s="27" t="n">
        <v>4</v>
      </c>
      <c r="I20" s="27" t="n">
        <v>85</v>
      </c>
      <c r="J20" s="37" t="s">
        <v>27</v>
      </c>
      <c r="K20" s="27" t="s">
        <v>113</v>
      </c>
      <c r="L20" s="30" t="s">
        <v>100</v>
      </c>
      <c r="M20" s="28" t="s">
        <v>245</v>
      </c>
      <c r="N20" s="31" t="b">
        <f aca="false">FALSE()</f>
        <v>0</v>
      </c>
      <c r="O20" s="32"/>
      <c r="P20" s="33"/>
      <c r="Q20" s="34"/>
    </row>
    <row r="21" customFormat="false" ht="35.05" hidden="false" customHeight="false" outlineLevel="0" collapsed="false">
      <c r="A21" s="35" t="n">
        <v>18</v>
      </c>
      <c r="B21" s="35" t="s">
        <v>64</v>
      </c>
      <c r="C21" s="35" t="s">
        <v>102</v>
      </c>
      <c r="D21" s="35" t="s">
        <v>156</v>
      </c>
      <c r="E21" s="6" t="s">
        <v>246</v>
      </c>
      <c r="F21" s="6" t="s">
        <v>247</v>
      </c>
      <c r="G21" s="35" t="s">
        <v>248</v>
      </c>
      <c r="H21" s="35" t="n">
        <v>10</v>
      </c>
      <c r="I21" s="35" t="n">
        <v>1</v>
      </c>
      <c r="J21" s="36" t="s">
        <v>25</v>
      </c>
      <c r="K21" s="35" t="s">
        <v>136</v>
      </c>
      <c r="L21" s="30" t="s">
        <v>100</v>
      </c>
      <c r="M21" s="6" t="s">
        <v>249</v>
      </c>
      <c r="N21" s="31" t="b">
        <f aca="false">FALSE()</f>
        <v>0</v>
      </c>
      <c r="O21" s="32"/>
      <c r="P21" s="33"/>
      <c r="Q21" s="34"/>
    </row>
    <row r="22" customFormat="false" ht="23.85" hidden="false" customHeight="false" outlineLevel="0" collapsed="false">
      <c r="A22" s="35" t="n">
        <v>19</v>
      </c>
      <c r="B22" s="35" t="s">
        <v>65</v>
      </c>
      <c r="C22" s="35" t="s">
        <v>94</v>
      </c>
      <c r="D22" s="35" t="s">
        <v>171</v>
      </c>
      <c r="E22" s="6" t="s">
        <v>250</v>
      </c>
      <c r="F22" s="6" t="s">
        <v>247</v>
      </c>
      <c r="G22" s="35" t="s">
        <v>248</v>
      </c>
      <c r="H22" s="35" t="n">
        <v>16</v>
      </c>
      <c r="I22" s="35" t="n">
        <v>16</v>
      </c>
      <c r="J22" s="36" t="s">
        <v>25</v>
      </c>
      <c r="K22" s="35" t="s">
        <v>113</v>
      </c>
      <c r="L22" s="39" t="s">
        <v>207</v>
      </c>
      <c r="M22" s="6" t="s">
        <v>251</v>
      </c>
      <c r="N22" s="31" t="b">
        <f aca="false">FALSE()</f>
        <v>0</v>
      </c>
      <c r="O22" s="32"/>
      <c r="P22" s="33"/>
      <c r="Q22" s="34"/>
    </row>
    <row r="23" customFormat="false" ht="23.85" hidden="false" customHeight="false" outlineLevel="0" collapsed="false">
      <c r="A23" s="35" t="n">
        <v>20</v>
      </c>
      <c r="B23" s="35" t="s">
        <v>65</v>
      </c>
      <c r="C23" s="35" t="s">
        <v>94</v>
      </c>
      <c r="D23" s="35" t="s">
        <v>208</v>
      </c>
      <c r="E23" s="6" t="s">
        <v>252</v>
      </c>
      <c r="F23" s="6" t="s">
        <v>247</v>
      </c>
      <c r="G23" s="35" t="s">
        <v>248</v>
      </c>
      <c r="H23" s="35" t="n">
        <v>7</v>
      </c>
      <c r="I23" s="35" t="n">
        <v>16</v>
      </c>
      <c r="J23" s="36" t="s">
        <v>25</v>
      </c>
      <c r="K23" s="35" t="s">
        <v>99</v>
      </c>
      <c r="L23" s="39" t="s">
        <v>207</v>
      </c>
      <c r="M23" s="6" t="s">
        <v>253</v>
      </c>
      <c r="N23" s="31" t="b">
        <f aca="false">FALSE()</f>
        <v>0</v>
      </c>
      <c r="O23" s="32"/>
      <c r="P23" s="33"/>
      <c r="Q23" s="34"/>
    </row>
    <row r="24" customFormat="false" ht="23.85" hidden="false" customHeight="false" outlineLevel="0" collapsed="false">
      <c r="A24" s="35" t="n">
        <v>21</v>
      </c>
      <c r="B24" s="35" t="s">
        <v>66</v>
      </c>
      <c r="C24" s="35" t="s">
        <v>94</v>
      </c>
      <c r="D24" s="35" t="s">
        <v>115</v>
      </c>
      <c r="E24" s="6" t="s">
        <v>254</v>
      </c>
      <c r="F24" s="6" t="s">
        <v>247</v>
      </c>
      <c r="G24" s="35" t="s">
        <v>248</v>
      </c>
      <c r="H24" s="35" t="n">
        <v>15</v>
      </c>
      <c r="I24" s="35" t="n">
        <v>22</v>
      </c>
      <c r="J24" s="36" t="s">
        <v>25</v>
      </c>
      <c r="K24" s="35" t="s">
        <v>136</v>
      </c>
      <c r="L24" s="30" t="s">
        <v>100</v>
      </c>
      <c r="M24" s="6" t="s">
        <v>255</v>
      </c>
      <c r="N24" s="31" t="b">
        <f aca="false">FALSE()</f>
        <v>0</v>
      </c>
      <c r="O24" s="32"/>
      <c r="P24" s="33"/>
      <c r="Q24" s="34"/>
    </row>
    <row r="25" customFormat="false" ht="23.85" hidden="false" customHeight="false" outlineLevel="0" collapsed="false">
      <c r="A25" s="35" t="n">
        <v>22</v>
      </c>
      <c r="B25" s="35" t="s">
        <v>67</v>
      </c>
      <c r="C25" s="35" t="s">
        <v>94</v>
      </c>
      <c r="D25" s="35" t="s">
        <v>256</v>
      </c>
      <c r="E25" s="6" t="s">
        <v>257</v>
      </c>
      <c r="F25" s="6" t="s">
        <v>247</v>
      </c>
      <c r="G25" s="35" t="s">
        <v>248</v>
      </c>
      <c r="H25" s="35" t="n">
        <v>15</v>
      </c>
      <c r="I25" s="35" t="s">
        <v>258</v>
      </c>
      <c r="J25" s="36" t="s">
        <v>25</v>
      </c>
      <c r="K25" s="35" t="s">
        <v>113</v>
      </c>
      <c r="L25" s="39" t="s">
        <v>207</v>
      </c>
      <c r="M25" s="6" t="s">
        <v>259</v>
      </c>
      <c r="N25" s="31" t="b">
        <f aca="false">FALSE()</f>
        <v>0</v>
      </c>
      <c r="O25" s="32"/>
      <c r="P25" s="33"/>
      <c r="Q25" s="34"/>
    </row>
    <row r="26" customFormat="false" ht="23.85" hidden="false" customHeight="false" outlineLevel="0" collapsed="false">
      <c r="A26" s="35" t="n">
        <v>23</v>
      </c>
      <c r="B26" s="35" t="s">
        <v>68</v>
      </c>
      <c r="C26" s="35" t="s">
        <v>94</v>
      </c>
      <c r="D26" s="35" t="s">
        <v>141</v>
      </c>
      <c r="E26" s="6" t="s">
        <v>260</v>
      </c>
      <c r="F26" s="6" t="s">
        <v>247</v>
      </c>
      <c r="G26" s="35" t="s">
        <v>248</v>
      </c>
      <c r="H26" s="35" t="n">
        <v>12</v>
      </c>
      <c r="I26" s="35" t="n">
        <v>41</v>
      </c>
      <c r="J26" s="36" t="s">
        <v>25</v>
      </c>
      <c r="K26" s="35" t="s">
        <v>99</v>
      </c>
      <c r="L26" s="39" t="s">
        <v>207</v>
      </c>
      <c r="M26" s="6" t="s">
        <v>261</v>
      </c>
      <c r="N26" s="31" t="b">
        <f aca="false">FALSE()</f>
        <v>0</v>
      </c>
      <c r="O26" s="32"/>
      <c r="P26" s="33"/>
      <c r="Q26" s="34"/>
    </row>
    <row r="27" customFormat="false" ht="23.85" hidden="false" customHeight="false" outlineLevel="0" collapsed="false">
      <c r="A27" s="35" t="n">
        <v>24</v>
      </c>
      <c r="B27" s="35" t="s">
        <v>70</v>
      </c>
      <c r="C27" s="35" t="s">
        <v>94</v>
      </c>
      <c r="D27" s="35" t="s">
        <v>126</v>
      </c>
      <c r="E27" s="6" t="s">
        <v>262</v>
      </c>
      <c r="F27" s="6" t="s">
        <v>247</v>
      </c>
      <c r="G27" s="35" t="s">
        <v>248</v>
      </c>
      <c r="H27" s="35" t="n">
        <v>15</v>
      </c>
      <c r="I27" s="35" t="s">
        <v>263</v>
      </c>
      <c r="J27" s="37" t="s">
        <v>27</v>
      </c>
      <c r="K27" s="35" t="s">
        <v>136</v>
      </c>
      <c r="L27" s="30" t="s">
        <v>100</v>
      </c>
      <c r="M27" s="6" t="s">
        <v>264</v>
      </c>
      <c r="N27" s="31" t="b">
        <f aca="false">FALSE()</f>
        <v>0</v>
      </c>
      <c r="O27" s="32"/>
      <c r="P27" s="33"/>
      <c r="Q27" s="34"/>
    </row>
    <row r="28" customFormat="false" ht="23.85" hidden="false" customHeight="false" outlineLevel="0" collapsed="false">
      <c r="A28" s="35" t="n">
        <v>25</v>
      </c>
      <c r="B28" s="35" t="s">
        <v>72</v>
      </c>
      <c r="C28" s="35" t="s">
        <v>94</v>
      </c>
      <c r="D28" s="35" t="s">
        <v>178</v>
      </c>
      <c r="E28" s="6" t="s">
        <v>265</v>
      </c>
      <c r="F28" s="6" t="s">
        <v>247</v>
      </c>
      <c r="G28" s="35" t="s">
        <v>248</v>
      </c>
      <c r="H28" s="35" t="n">
        <v>10</v>
      </c>
      <c r="I28" s="35" t="n">
        <v>64</v>
      </c>
      <c r="J28" s="37" t="s">
        <v>27</v>
      </c>
      <c r="K28" s="35" t="s">
        <v>99</v>
      </c>
      <c r="L28" s="30" t="s">
        <v>100</v>
      </c>
      <c r="M28" s="6" t="s">
        <v>266</v>
      </c>
      <c r="N28" s="31" t="b">
        <f aca="false">FALSE()</f>
        <v>0</v>
      </c>
      <c r="O28" s="32"/>
      <c r="P28" s="33"/>
      <c r="Q28" s="34"/>
    </row>
    <row r="29" customFormat="false" ht="23.85" hidden="false" customHeight="false" outlineLevel="0" collapsed="false">
      <c r="A29" s="35" t="n">
        <v>26</v>
      </c>
      <c r="B29" s="35" t="s">
        <v>75</v>
      </c>
      <c r="C29" s="35" t="s">
        <v>94</v>
      </c>
      <c r="D29" s="35" t="s">
        <v>132</v>
      </c>
      <c r="E29" s="6" t="s">
        <v>267</v>
      </c>
      <c r="F29" s="6" t="s">
        <v>247</v>
      </c>
      <c r="G29" s="35" t="s">
        <v>248</v>
      </c>
      <c r="H29" s="35" t="n">
        <v>17</v>
      </c>
      <c r="I29" s="35" t="n">
        <v>79</v>
      </c>
      <c r="J29" s="37" t="s">
        <v>27</v>
      </c>
      <c r="K29" s="35" t="s">
        <v>99</v>
      </c>
      <c r="L29" s="30" t="s">
        <v>100</v>
      </c>
      <c r="M29" s="6" t="s">
        <v>268</v>
      </c>
      <c r="N29" s="31" t="b">
        <f aca="false">FALSE()</f>
        <v>0</v>
      </c>
      <c r="O29" s="32"/>
      <c r="P29" s="33"/>
      <c r="Q29" s="34"/>
    </row>
    <row r="30" customFormat="false" ht="23.85" hidden="false" customHeight="false" outlineLevel="0" collapsed="false">
      <c r="A30" s="35" t="n">
        <v>27</v>
      </c>
      <c r="B30" s="35" t="s">
        <v>76</v>
      </c>
      <c r="C30" s="35" t="s">
        <v>94</v>
      </c>
      <c r="D30" s="35" t="s">
        <v>240</v>
      </c>
      <c r="E30" s="6" t="s">
        <v>269</v>
      </c>
      <c r="F30" s="6" t="s">
        <v>247</v>
      </c>
      <c r="G30" s="35" t="s">
        <v>248</v>
      </c>
      <c r="H30" s="35" t="n">
        <v>3</v>
      </c>
      <c r="I30" s="35" t="n">
        <v>85</v>
      </c>
      <c r="J30" s="37" t="s">
        <v>27</v>
      </c>
      <c r="K30" s="35" t="s">
        <v>99</v>
      </c>
      <c r="L30" s="39" t="s">
        <v>207</v>
      </c>
      <c r="M30" s="6" t="s">
        <v>270</v>
      </c>
      <c r="N30" s="31" t="b">
        <f aca="false">FALSE()</f>
        <v>0</v>
      </c>
      <c r="O30" s="32"/>
      <c r="P30" s="33"/>
      <c r="Q30" s="34"/>
    </row>
    <row r="31" customFormat="false" ht="23.85" hidden="false" customHeight="false" outlineLevel="0" collapsed="false">
      <c r="A31" s="27" t="n">
        <v>28</v>
      </c>
      <c r="B31" s="27" t="s">
        <v>65</v>
      </c>
      <c r="C31" s="27" t="s">
        <v>102</v>
      </c>
      <c r="D31" s="27" t="s">
        <v>190</v>
      </c>
      <c r="E31" s="28" t="s">
        <v>271</v>
      </c>
      <c r="F31" s="28" t="s">
        <v>272</v>
      </c>
      <c r="G31" s="27" t="s">
        <v>273</v>
      </c>
      <c r="H31" s="27" t="n">
        <v>15</v>
      </c>
      <c r="I31" s="27" t="s">
        <v>274</v>
      </c>
      <c r="J31" s="36" t="s">
        <v>25</v>
      </c>
      <c r="K31" s="27" t="s">
        <v>136</v>
      </c>
      <c r="L31" s="39" t="s">
        <v>207</v>
      </c>
      <c r="M31" s="28" t="s">
        <v>101</v>
      </c>
      <c r="N31" s="31" t="b">
        <f aca="false">FALSE()</f>
        <v>0</v>
      </c>
      <c r="O31" s="32"/>
      <c r="P31" s="33"/>
      <c r="Q31" s="34"/>
    </row>
    <row r="32" customFormat="false" ht="23.85" hidden="false" customHeight="false" outlineLevel="0" collapsed="false">
      <c r="A32" s="27" t="n">
        <v>29</v>
      </c>
      <c r="B32" s="27" t="s">
        <v>70</v>
      </c>
      <c r="C32" s="27" t="s">
        <v>94</v>
      </c>
      <c r="D32" s="27" t="s">
        <v>115</v>
      </c>
      <c r="E32" s="28" t="s">
        <v>275</v>
      </c>
      <c r="F32" s="28" t="s">
        <v>272</v>
      </c>
      <c r="G32" s="27" t="s">
        <v>273</v>
      </c>
      <c r="H32" s="27" t="n">
        <v>10</v>
      </c>
      <c r="I32" s="27" t="n">
        <v>49</v>
      </c>
      <c r="J32" s="37" t="s">
        <v>27</v>
      </c>
      <c r="K32" s="27" t="s">
        <v>99</v>
      </c>
      <c r="L32" s="39" t="s">
        <v>207</v>
      </c>
      <c r="M32" s="28" t="s">
        <v>276</v>
      </c>
      <c r="N32" s="31" t="b">
        <f aca="false">FALSE()</f>
        <v>0</v>
      </c>
      <c r="O32" s="32"/>
      <c r="P32" s="33"/>
      <c r="Q32" s="34"/>
    </row>
    <row r="33" customFormat="false" ht="23.85" hidden="false" customHeight="false" outlineLevel="0" collapsed="false">
      <c r="A33" s="27" t="n">
        <v>30</v>
      </c>
      <c r="B33" s="27" t="s">
        <v>75</v>
      </c>
      <c r="C33" s="27" t="s">
        <v>94</v>
      </c>
      <c r="D33" s="27" t="s">
        <v>216</v>
      </c>
      <c r="E33" s="28" t="s">
        <v>277</v>
      </c>
      <c r="F33" s="28" t="s">
        <v>272</v>
      </c>
      <c r="G33" s="27" t="s">
        <v>273</v>
      </c>
      <c r="H33" s="27" t="n">
        <v>13</v>
      </c>
      <c r="I33" s="27" t="n">
        <v>79</v>
      </c>
      <c r="J33" s="29" t="s">
        <v>29</v>
      </c>
      <c r="K33" s="27" t="s">
        <v>99</v>
      </c>
      <c r="L33" s="39" t="s">
        <v>207</v>
      </c>
      <c r="M33" s="28" t="s">
        <v>101</v>
      </c>
      <c r="N33" s="31" t="b">
        <f aca="false">FALSE()</f>
        <v>0</v>
      </c>
      <c r="O33" s="32"/>
      <c r="P33" s="33"/>
      <c r="Q33" s="34"/>
    </row>
    <row r="34" customFormat="false" ht="68.65" hidden="false" customHeight="false" outlineLevel="0" collapsed="false">
      <c r="A34" s="35" t="n">
        <v>31</v>
      </c>
      <c r="B34" s="35" t="s">
        <v>65</v>
      </c>
      <c r="C34" s="35" t="s">
        <v>102</v>
      </c>
      <c r="D34" s="35" t="s">
        <v>208</v>
      </c>
      <c r="E34" s="6" t="s">
        <v>278</v>
      </c>
      <c r="F34" s="6" t="s">
        <v>279</v>
      </c>
      <c r="G34" s="35" t="s">
        <v>280</v>
      </c>
      <c r="H34" s="35" t="n">
        <v>10</v>
      </c>
      <c r="I34" s="35" t="n">
        <v>8</v>
      </c>
      <c r="J34" s="36" t="s">
        <v>25</v>
      </c>
      <c r="K34" s="35" t="s">
        <v>113</v>
      </c>
      <c r="L34" s="39" t="s">
        <v>207</v>
      </c>
      <c r="M34" s="6" t="s">
        <v>281</v>
      </c>
      <c r="N34" s="31" t="b">
        <f aca="false">FALSE()</f>
        <v>0</v>
      </c>
      <c r="O34" s="32"/>
      <c r="P34" s="33"/>
      <c r="Q34" s="34"/>
    </row>
    <row r="35" customFormat="false" ht="46.25" hidden="false" customHeight="false" outlineLevel="0" collapsed="false">
      <c r="A35" s="35" t="n">
        <v>32</v>
      </c>
      <c r="B35" s="35" t="s">
        <v>66</v>
      </c>
      <c r="C35" s="35" t="s">
        <v>94</v>
      </c>
      <c r="D35" s="35" t="s">
        <v>171</v>
      </c>
      <c r="E35" s="6" t="s">
        <v>282</v>
      </c>
      <c r="F35" s="6" t="s">
        <v>279</v>
      </c>
      <c r="G35" s="35" t="s">
        <v>280</v>
      </c>
      <c r="H35" s="35" t="n">
        <v>10</v>
      </c>
      <c r="I35" s="35" t="n">
        <v>21</v>
      </c>
      <c r="J35" s="36" t="s">
        <v>25</v>
      </c>
      <c r="K35" s="35" t="s">
        <v>113</v>
      </c>
      <c r="L35" s="39" t="s">
        <v>207</v>
      </c>
      <c r="M35" s="6" t="s">
        <v>283</v>
      </c>
      <c r="N35" s="31" t="b">
        <f aca="false">FALSE()</f>
        <v>0</v>
      </c>
      <c r="O35" s="32"/>
      <c r="P35" s="33"/>
      <c r="Q35" s="34"/>
    </row>
    <row r="36" customFormat="false" ht="46.25" hidden="false" customHeight="false" outlineLevel="0" collapsed="false">
      <c r="A36" s="35" t="n">
        <v>33</v>
      </c>
      <c r="B36" s="35" t="s">
        <v>68</v>
      </c>
      <c r="C36" s="35" t="s">
        <v>94</v>
      </c>
      <c r="D36" s="35" t="s">
        <v>284</v>
      </c>
      <c r="E36" s="6" t="s">
        <v>285</v>
      </c>
      <c r="F36" s="6" t="s">
        <v>279</v>
      </c>
      <c r="G36" s="35" t="s">
        <v>280</v>
      </c>
      <c r="H36" s="35" t="n">
        <v>15</v>
      </c>
      <c r="I36" s="35" t="n">
        <v>39</v>
      </c>
      <c r="J36" s="36" t="s">
        <v>25</v>
      </c>
      <c r="K36" s="35" t="s">
        <v>113</v>
      </c>
      <c r="L36" s="39" t="s">
        <v>207</v>
      </c>
      <c r="M36" s="6" t="s">
        <v>286</v>
      </c>
      <c r="N36" s="31" t="b">
        <f aca="false">FALSE()</f>
        <v>0</v>
      </c>
      <c r="O36" s="32"/>
      <c r="P36" s="33"/>
      <c r="Q36" s="34"/>
    </row>
    <row r="37" customFormat="false" ht="46.25" hidden="false" customHeight="false" outlineLevel="0" collapsed="false">
      <c r="A37" s="35" t="n">
        <v>34</v>
      </c>
      <c r="B37" s="35" t="s">
        <v>68</v>
      </c>
      <c r="C37" s="35" t="s">
        <v>94</v>
      </c>
      <c r="D37" s="35" t="s">
        <v>287</v>
      </c>
      <c r="E37" s="6" t="s">
        <v>288</v>
      </c>
      <c r="F37" s="6" t="s">
        <v>279</v>
      </c>
      <c r="G37" s="35" t="s">
        <v>280</v>
      </c>
      <c r="H37" s="35" t="n">
        <v>5</v>
      </c>
      <c r="I37" s="35" t="n">
        <v>39</v>
      </c>
      <c r="J37" s="36" t="s">
        <v>25</v>
      </c>
      <c r="K37" s="35" t="s">
        <v>154</v>
      </c>
      <c r="L37" s="39" t="s">
        <v>207</v>
      </c>
      <c r="M37" s="6" t="s">
        <v>289</v>
      </c>
      <c r="N37" s="31" t="b">
        <f aca="false">FALSE()</f>
        <v>0</v>
      </c>
      <c r="O37" s="32"/>
      <c r="P37" s="33"/>
      <c r="Q37" s="34"/>
    </row>
    <row r="38" customFormat="false" ht="46.25" hidden="false" customHeight="false" outlineLevel="0" collapsed="false">
      <c r="A38" s="35" t="n">
        <v>35</v>
      </c>
      <c r="B38" s="35" t="s">
        <v>68</v>
      </c>
      <c r="C38" s="35" t="s">
        <v>94</v>
      </c>
      <c r="D38" s="35" t="s">
        <v>290</v>
      </c>
      <c r="E38" s="6" t="s">
        <v>291</v>
      </c>
      <c r="F38" s="6" t="s">
        <v>279</v>
      </c>
      <c r="G38" s="35" t="s">
        <v>280</v>
      </c>
      <c r="H38" s="35" t="n">
        <v>15</v>
      </c>
      <c r="I38" s="35" t="n">
        <v>39</v>
      </c>
      <c r="J38" s="36" t="s">
        <v>25</v>
      </c>
      <c r="K38" s="35" t="s">
        <v>113</v>
      </c>
      <c r="L38" s="39" t="s">
        <v>207</v>
      </c>
      <c r="M38" s="6" t="s">
        <v>292</v>
      </c>
      <c r="N38" s="31" t="b">
        <f aca="false">FALSE()</f>
        <v>0</v>
      </c>
      <c r="O38" s="32"/>
      <c r="P38" s="33"/>
      <c r="Q38" s="34"/>
    </row>
    <row r="39" customFormat="false" ht="46.25" hidden="false" customHeight="false" outlineLevel="0" collapsed="false">
      <c r="A39" s="35" t="n">
        <v>36</v>
      </c>
      <c r="B39" s="35" t="s">
        <v>70</v>
      </c>
      <c r="C39" s="35" t="s">
        <v>94</v>
      </c>
      <c r="D39" s="35" t="s">
        <v>156</v>
      </c>
      <c r="E39" s="6" t="s">
        <v>293</v>
      </c>
      <c r="F39" s="6" t="s">
        <v>279</v>
      </c>
      <c r="G39" s="35" t="s">
        <v>280</v>
      </c>
      <c r="H39" s="35" t="n">
        <v>10</v>
      </c>
      <c r="I39" s="35" t="n">
        <v>49</v>
      </c>
      <c r="J39" s="37" t="s">
        <v>27</v>
      </c>
      <c r="K39" s="35" t="s">
        <v>113</v>
      </c>
      <c r="L39" s="39" t="s">
        <v>207</v>
      </c>
      <c r="M39" s="6" t="s">
        <v>294</v>
      </c>
      <c r="N39" s="31" t="b">
        <f aca="false">FALSE()</f>
        <v>0</v>
      </c>
      <c r="O39" s="32"/>
      <c r="P39" s="33"/>
      <c r="Q39" s="34"/>
    </row>
    <row r="40" customFormat="false" ht="46.25" hidden="false" customHeight="false" outlineLevel="0" collapsed="false">
      <c r="A40" s="35" t="n">
        <v>37</v>
      </c>
      <c r="B40" s="35" t="s">
        <v>72</v>
      </c>
      <c r="C40" s="35" t="s">
        <v>94</v>
      </c>
      <c r="D40" s="35" t="s">
        <v>138</v>
      </c>
      <c r="E40" s="6" t="s">
        <v>293</v>
      </c>
      <c r="F40" s="6" t="s">
        <v>279</v>
      </c>
      <c r="G40" s="35" t="s">
        <v>280</v>
      </c>
      <c r="H40" s="35" t="n">
        <v>10</v>
      </c>
      <c r="I40" s="35" t="n">
        <v>64</v>
      </c>
      <c r="J40" s="37" t="s">
        <v>27</v>
      </c>
      <c r="K40" s="35" t="s">
        <v>113</v>
      </c>
      <c r="L40" s="39" t="s">
        <v>207</v>
      </c>
      <c r="M40" s="6" t="s">
        <v>295</v>
      </c>
      <c r="N40" s="31" t="b">
        <f aca="false">FALSE()</f>
        <v>0</v>
      </c>
      <c r="O40" s="32"/>
      <c r="P40" s="33"/>
      <c r="Q40" s="34"/>
    </row>
    <row r="41" customFormat="false" ht="23.85" hidden="false" customHeight="false" outlineLevel="0" collapsed="false">
      <c r="A41" s="27" t="n">
        <v>38</v>
      </c>
      <c r="B41" s="27" t="s">
        <v>64</v>
      </c>
      <c r="C41" s="27" t="s">
        <v>102</v>
      </c>
      <c r="D41" s="27" t="s">
        <v>171</v>
      </c>
      <c r="E41" s="28" t="s">
        <v>296</v>
      </c>
      <c r="F41" s="28" t="s">
        <v>297</v>
      </c>
      <c r="G41" s="27" t="s">
        <v>298</v>
      </c>
      <c r="H41" s="27" t="n">
        <v>15</v>
      </c>
      <c r="I41" s="27" t="n">
        <v>1</v>
      </c>
      <c r="J41" s="36" t="s">
        <v>25</v>
      </c>
      <c r="K41" s="27" t="s">
        <v>113</v>
      </c>
      <c r="L41" s="39" t="s">
        <v>207</v>
      </c>
      <c r="M41" s="28" t="s">
        <v>101</v>
      </c>
      <c r="N41" s="31" t="b">
        <f aca="false">FALSE()</f>
        <v>0</v>
      </c>
      <c r="O41" s="32"/>
      <c r="P41" s="33"/>
      <c r="Q41" s="34"/>
    </row>
    <row r="42" customFormat="false" ht="23.85" hidden="false" customHeight="false" outlineLevel="0" collapsed="false">
      <c r="A42" s="27" t="n">
        <v>39</v>
      </c>
      <c r="B42" s="27" t="s">
        <v>65</v>
      </c>
      <c r="C42" s="27" t="s">
        <v>102</v>
      </c>
      <c r="D42" s="27" t="s">
        <v>299</v>
      </c>
      <c r="E42" s="28" t="s">
        <v>300</v>
      </c>
      <c r="F42" s="28" t="s">
        <v>297</v>
      </c>
      <c r="G42" s="27" t="s">
        <v>298</v>
      </c>
      <c r="H42" s="27" t="n">
        <v>15</v>
      </c>
      <c r="I42" s="27" t="n">
        <v>10</v>
      </c>
      <c r="J42" s="36" t="s">
        <v>25</v>
      </c>
      <c r="K42" s="27" t="s">
        <v>99</v>
      </c>
      <c r="L42" s="39" t="s">
        <v>207</v>
      </c>
      <c r="M42" s="28" t="s">
        <v>301</v>
      </c>
      <c r="N42" s="31" t="b">
        <f aca="false">FALSE()</f>
        <v>0</v>
      </c>
      <c r="O42" s="32"/>
      <c r="P42" s="33"/>
      <c r="Q42" s="34"/>
    </row>
    <row r="43" customFormat="false" ht="23.85" hidden="false" customHeight="false" outlineLevel="0" collapsed="false">
      <c r="A43" s="27" t="n">
        <v>40</v>
      </c>
      <c r="B43" s="27" t="s">
        <v>65</v>
      </c>
      <c r="C43" s="27" t="s">
        <v>102</v>
      </c>
      <c r="D43" s="27" t="s">
        <v>302</v>
      </c>
      <c r="E43" s="28" t="s">
        <v>303</v>
      </c>
      <c r="F43" s="28" t="s">
        <v>297</v>
      </c>
      <c r="G43" s="27" t="s">
        <v>298</v>
      </c>
      <c r="H43" s="27" t="n">
        <v>15</v>
      </c>
      <c r="I43" s="27" t="s">
        <v>304</v>
      </c>
      <c r="J43" s="36" t="s">
        <v>25</v>
      </c>
      <c r="K43" s="27" t="s">
        <v>99</v>
      </c>
      <c r="L43" s="39" t="s">
        <v>207</v>
      </c>
      <c r="M43" s="28" t="s">
        <v>101</v>
      </c>
      <c r="N43" s="31" t="b">
        <f aca="false">FALSE()</f>
        <v>0</v>
      </c>
      <c r="O43" s="32"/>
      <c r="P43" s="33"/>
      <c r="Q43" s="34"/>
    </row>
    <row r="44" customFormat="false" ht="23.85" hidden="false" customHeight="false" outlineLevel="0" collapsed="false">
      <c r="A44" s="27" t="n">
        <v>41</v>
      </c>
      <c r="B44" s="27" t="s">
        <v>65</v>
      </c>
      <c r="C44" s="27" t="s">
        <v>94</v>
      </c>
      <c r="D44" s="27" t="s">
        <v>216</v>
      </c>
      <c r="E44" s="28" t="s">
        <v>305</v>
      </c>
      <c r="F44" s="28" t="s">
        <v>297</v>
      </c>
      <c r="G44" s="27" t="s">
        <v>298</v>
      </c>
      <c r="H44" s="27" t="n">
        <v>12</v>
      </c>
      <c r="I44" s="27" t="n">
        <v>17</v>
      </c>
      <c r="J44" s="36" t="s">
        <v>25</v>
      </c>
      <c r="K44" s="27" t="s">
        <v>99</v>
      </c>
      <c r="L44" s="39" t="s">
        <v>207</v>
      </c>
      <c r="M44" s="28" t="s">
        <v>101</v>
      </c>
      <c r="N44" s="31" t="b">
        <f aca="false">FALSE()</f>
        <v>0</v>
      </c>
      <c r="O44" s="32"/>
      <c r="P44" s="33"/>
      <c r="Q44" s="34"/>
    </row>
    <row r="45" customFormat="false" ht="23.85" hidden="false" customHeight="false" outlineLevel="0" collapsed="false">
      <c r="A45" s="27" t="n">
        <v>42</v>
      </c>
      <c r="B45" s="27" t="s">
        <v>66</v>
      </c>
      <c r="C45" s="27" t="s">
        <v>94</v>
      </c>
      <c r="D45" s="27" t="s">
        <v>208</v>
      </c>
      <c r="E45" s="28" t="s">
        <v>306</v>
      </c>
      <c r="F45" s="28" t="s">
        <v>297</v>
      </c>
      <c r="G45" s="27" t="s">
        <v>298</v>
      </c>
      <c r="H45" s="27" t="n">
        <v>10</v>
      </c>
      <c r="I45" s="27" t="n">
        <v>21</v>
      </c>
      <c r="J45" s="36" t="s">
        <v>25</v>
      </c>
      <c r="K45" s="27" t="s">
        <v>99</v>
      </c>
      <c r="L45" s="39" t="s">
        <v>207</v>
      </c>
      <c r="M45" s="28" t="s">
        <v>307</v>
      </c>
      <c r="N45" s="31" t="b">
        <f aca="false">FALSE()</f>
        <v>0</v>
      </c>
      <c r="O45" s="32"/>
      <c r="P45" s="33"/>
      <c r="Q45" s="34"/>
    </row>
    <row r="46" customFormat="false" ht="23.85" hidden="false" customHeight="false" outlineLevel="0" collapsed="false">
      <c r="A46" s="27" t="n">
        <v>43</v>
      </c>
      <c r="B46" s="27" t="s">
        <v>69</v>
      </c>
      <c r="C46" s="27" t="s">
        <v>94</v>
      </c>
      <c r="D46" s="27" t="s">
        <v>115</v>
      </c>
      <c r="E46" s="28" t="s">
        <v>308</v>
      </c>
      <c r="F46" s="28" t="s">
        <v>297</v>
      </c>
      <c r="G46" s="27" t="s">
        <v>298</v>
      </c>
      <c r="H46" s="27" t="n">
        <v>10</v>
      </c>
      <c r="I46" s="27" t="n">
        <v>42</v>
      </c>
      <c r="J46" s="37" t="s">
        <v>27</v>
      </c>
      <c r="K46" s="27" t="s">
        <v>99</v>
      </c>
      <c r="L46" s="39" t="s">
        <v>207</v>
      </c>
      <c r="M46" s="28" t="s">
        <v>309</v>
      </c>
      <c r="N46" s="31" t="b">
        <f aca="false">FALSE()</f>
        <v>0</v>
      </c>
      <c r="O46" s="32"/>
      <c r="P46" s="33"/>
      <c r="Q46" s="34"/>
    </row>
    <row r="47" customFormat="false" ht="23.85" hidden="false" customHeight="false" outlineLevel="0" collapsed="false">
      <c r="A47" s="27" t="n">
        <v>44</v>
      </c>
      <c r="B47" s="27" t="s">
        <v>69</v>
      </c>
      <c r="C47" s="27" t="s">
        <v>94</v>
      </c>
      <c r="D47" s="27" t="s">
        <v>126</v>
      </c>
      <c r="E47" s="28" t="s">
        <v>310</v>
      </c>
      <c r="F47" s="28" t="s">
        <v>297</v>
      </c>
      <c r="G47" s="27" t="s">
        <v>298</v>
      </c>
      <c r="H47" s="27" t="n">
        <v>10</v>
      </c>
      <c r="I47" s="27" t="n">
        <v>42</v>
      </c>
      <c r="J47" s="29" t="s">
        <v>29</v>
      </c>
      <c r="K47" s="27" t="s">
        <v>113</v>
      </c>
      <c r="L47" s="39" t="s">
        <v>207</v>
      </c>
      <c r="M47" s="28" t="s">
        <v>101</v>
      </c>
      <c r="N47" s="31" t="b">
        <f aca="false">FALSE()</f>
        <v>0</v>
      </c>
      <c r="O47" s="32"/>
      <c r="P47" s="33"/>
      <c r="Q47" s="34"/>
    </row>
    <row r="48" customFormat="false" ht="23.85" hidden="false" customHeight="false" outlineLevel="0" collapsed="false">
      <c r="A48" s="27" t="n">
        <v>45</v>
      </c>
      <c r="B48" s="27" t="s">
        <v>70</v>
      </c>
      <c r="C48" s="27" t="s">
        <v>94</v>
      </c>
      <c r="D48" s="27" t="s">
        <v>129</v>
      </c>
      <c r="E48" s="28" t="s">
        <v>311</v>
      </c>
      <c r="F48" s="28" t="s">
        <v>297</v>
      </c>
      <c r="G48" s="27" t="s">
        <v>298</v>
      </c>
      <c r="H48" s="27" t="n">
        <v>5</v>
      </c>
      <c r="I48" s="27" t="n">
        <v>50</v>
      </c>
      <c r="J48" s="37" t="s">
        <v>27</v>
      </c>
      <c r="K48" s="27" t="s">
        <v>99</v>
      </c>
      <c r="L48" s="39" t="s">
        <v>207</v>
      </c>
      <c r="M48" s="28" t="s">
        <v>312</v>
      </c>
      <c r="N48" s="31" t="b">
        <f aca="false">FALSE()</f>
        <v>0</v>
      </c>
      <c r="O48" s="32"/>
      <c r="P48" s="33"/>
      <c r="Q48" s="34"/>
    </row>
    <row r="49" customFormat="false" ht="23.85" hidden="false" customHeight="false" outlineLevel="0" collapsed="false">
      <c r="A49" s="27" t="n">
        <v>46</v>
      </c>
      <c r="B49" s="27" t="s">
        <v>74</v>
      </c>
      <c r="C49" s="27" t="s">
        <v>94</v>
      </c>
      <c r="D49" s="27" t="s">
        <v>141</v>
      </c>
      <c r="E49" s="28" t="s">
        <v>313</v>
      </c>
      <c r="F49" s="28" t="s">
        <v>297</v>
      </c>
      <c r="G49" s="27" t="s">
        <v>298</v>
      </c>
      <c r="H49" s="27" t="n">
        <v>9</v>
      </c>
      <c r="I49" s="27" t="n">
        <v>77</v>
      </c>
      <c r="J49" s="37" t="s">
        <v>27</v>
      </c>
      <c r="K49" s="27" t="s">
        <v>99</v>
      </c>
      <c r="L49" s="39" t="s">
        <v>207</v>
      </c>
      <c r="M49" s="28" t="s">
        <v>314</v>
      </c>
      <c r="N49" s="31" t="b">
        <f aca="false">FALSE()</f>
        <v>0</v>
      </c>
      <c r="O49" s="32"/>
      <c r="P49" s="33"/>
      <c r="Q49" s="34"/>
    </row>
    <row r="50" customFormat="false" ht="35.05" hidden="false" customHeight="false" outlineLevel="0" collapsed="false">
      <c r="A50" s="35" t="n">
        <v>47</v>
      </c>
      <c r="B50" s="35" t="s">
        <v>64</v>
      </c>
      <c r="C50" s="35" t="s">
        <v>102</v>
      </c>
      <c r="D50" s="35" t="s">
        <v>208</v>
      </c>
      <c r="E50" s="6" t="s">
        <v>315</v>
      </c>
      <c r="F50" s="6" t="s">
        <v>316</v>
      </c>
      <c r="G50" s="35" t="s">
        <v>317</v>
      </c>
      <c r="H50" s="35" t="n">
        <v>10</v>
      </c>
      <c r="I50" s="35" t="n">
        <v>2</v>
      </c>
      <c r="J50" s="36" t="s">
        <v>25</v>
      </c>
      <c r="K50" s="35" t="s">
        <v>99</v>
      </c>
      <c r="L50" s="39" t="s">
        <v>207</v>
      </c>
      <c r="M50" s="6" t="s">
        <v>318</v>
      </c>
      <c r="N50" s="31" t="b">
        <f aca="false">FALSE()</f>
        <v>0</v>
      </c>
      <c r="O50" s="32"/>
      <c r="P50" s="33"/>
      <c r="Q50" s="34"/>
    </row>
    <row r="51" customFormat="false" ht="23.85" hidden="false" customHeight="false" outlineLevel="0" collapsed="false">
      <c r="A51" s="35" t="n">
        <v>48</v>
      </c>
      <c r="B51" s="35" t="s">
        <v>66</v>
      </c>
      <c r="C51" s="35" t="s">
        <v>94</v>
      </c>
      <c r="D51" s="35" t="s">
        <v>319</v>
      </c>
      <c r="E51" s="6" t="s">
        <v>320</v>
      </c>
      <c r="F51" s="6" t="s">
        <v>316</v>
      </c>
      <c r="G51" s="35" t="s">
        <v>317</v>
      </c>
      <c r="H51" s="35" t="n">
        <v>5</v>
      </c>
      <c r="I51" s="35" t="n">
        <v>21</v>
      </c>
      <c r="J51" s="36" t="s">
        <v>25</v>
      </c>
      <c r="K51" s="35" t="s">
        <v>99</v>
      </c>
      <c r="L51" s="39" t="s">
        <v>207</v>
      </c>
      <c r="M51" s="6" t="s">
        <v>321</v>
      </c>
      <c r="N51" s="31" t="b">
        <f aca="false">FALSE()</f>
        <v>0</v>
      </c>
      <c r="O51" s="32"/>
      <c r="P51" s="33"/>
      <c r="Q51" s="34"/>
    </row>
    <row r="52" customFormat="false" ht="23.85" hidden="false" customHeight="false" outlineLevel="0" collapsed="false">
      <c r="A52" s="35" t="n">
        <v>49</v>
      </c>
      <c r="B52" s="35" t="s">
        <v>68</v>
      </c>
      <c r="C52" s="35" t="s">
        <v>94</v>
      </c>
      <c r="D52" s="35" t="s">
        <v>149</v>
      </c>
      <c r="E52" s="6" t="s">
        <v>322</v>
      </c>
      <c r="F52" s="6" t="s">
        <v>316</v>
      </c>
      <c r="G52" s="35" t="s">
        <v>317</v>
      </c>
      <c r="H52" s="35" t="n">
        <v>8</v>
      </c>
      <c r="I52" s="35" t="n">
        <v>40</v>
      </c>
      <c r="J52" s="36" t="s">
        <v>25</v>
      </c>
      <c r="K52" s="35" t="s">
        <v>136</v>
      </c>
      <c r="L52" s="39" t="s">
        <v>207</v>
      </c>
      <c r="M52" s="6" t="s">
        <v>323</v>
      </c>
      <c r="N52" s="31" t="b">
        <f aca="false">FALSE()</f>
        <v>0</v>
      </c>
      <c r="O52" s="32"/>
      <c r="P52" s="33"/>
      <c r="Q52" s="34"/>
    </row>
    <row r="53" customFormat="false" ht="23.85" hidden="false" customHeight="false" outlineLevel="0" collapsed="false">
      <c r="A53" s="35" t="n">
        <v>50</v>
      </c>
      <c r="B53" s="35" t="s">
        <v>70</v>
      </c>
      <c r="C53" s="35" t="s">
        <v>94</v>
      </c>
      <c r="D53" s="35" t="s">
        <v>138</v>
      </c>
      <c r="E53" s="6" t="s">
        <v>320</v>
      </c>
      <c r="F53" s="6" t="s">
        <v>316</v>
      </c>
      <c r="G53" s="35" t="s">
        <v>317</v>
      </c>
      <c r="H53" s="35" t="n">
        <v>5</v>
      </c>
      <c r="I53" s="35" t="n">
        <v>50</v>
      </c>
      <c r="J53" s="37" t="s">
        <v>27</v>
      </c>
      <c r="K53" s="35" t="s">
        <v>99</v>
      </c>
      <c r="L53" s="39" t="s">
        <v>207</v>
      </c>
      <c r="M53" s="6" t="s">
        <v>324</v>
      </c>
      <c r="N53" s="31" t="b">
        <f aca="false">FALSE()</f>
        <v>0</v>
      </c>
      <c r="O53" s="32"/>
      <c r="P53" s="33"/>
      <c r="Q53" s="34"/>
    </row>
    <row r="54" customFormat="false" ht="23.85" hidden="false" customHeight="false" outlineLevel="0" collapsed="false">
      <c r="A54" s="35" t="n">
        <v>51</v>
      </c>
      <c r="B54" s="35" t="s">
        <v>70</v>
      </c>
      <c r="C54" s="35" t="s">
        <v>94</v>
      </c>
      <c r="D54" s="35" t="s">
        <v>319</v>
      </c>
      <c r="E54" s="6" t="s">
        <v>325</v>
      </c>
      <c r="F54" s="6" t="s">
        <v>316</v>
      </c>
      <c r="G54" s="35" t="s">
        <v>317</v>
      </c>
      <c r="H54" s="35" t="n">
        <v>5</v>
      </c>
      <c r="I54" s="35" t="n">
        <v>49</v>
      </c>
      <c r="J54" s="37" t="s">
        <v>27</v>
      </c>
      <c r="K54" s="35" t="s">
        <v>99</v>
      </c>
      <c r="L54" s="39" t="s">
        <v>207</v>
      </c>
      <c r="M54" s="6" t="s">
        <v>326</v>
      </c>
      <c r="N54" s="31" t="b">
        <f aca="false">FALSE()</f>
        <v>0</v>
      </c>
      <c r="O54" s="32"/>
      <c r="P54" s="33"/>
      <c r="Q54" s="34"/>
    </row>
    <row r="55" customFormat="false" ht="23.85" hidden="false" customHeight="false" outlineLevel="0" collapsed="false">
      <c r="A55" s="35" t="n">
        <v>52</v>
      </c>
      <c r="B55" s="35" t="s">
        <v>72</v>
      </c>
      <c r="C55" s="35" t="s">
        <v>94</v>
      </c>
      <c r="D55" s="35" t="s">
        <v>118</v>
      </c>
      <c r="E55" s="6" t="s">
        <v>325</v>
      </c>
      <c r="F55" s="6" t="s">
        <v>316</v>
      </c>
      <c r="G55" s="35" t="s">
        <v>317</v>
      </c>
      <c r="H55" s="35" t="n">
        <v>5</v>
      </c>
      <c r="I55" s="35" t="n">
        <v>64</v>
      </c>
      <c r="J55" s="37" t="s">
        <v>27</v>
      </c>
      <c r="K55" s="35" t="s">
        <v>99</v>
      </c>
      <c r="L55" s="39" t="s">
        <v>207</v>
      </c>
      <c r="M55" s="6" t="s">
        <v>327</v>
      </c>
      <c r="N55" s="31" t="b">
        <f aca="false">FALSE()</f>
        <v>0</v>
      </c>
      <c r="O55" s="32"/>
      <c r="P55" s="33"/>
      <c r="Q55" s="34"/>
    </row>
    <row r="56" customFormat="false" ht="23.85" hidden="false" customHeight="false" outlineLevel="0" collapsed="false">
      <c r="A56" s="35" t="n">
        <v>53</v>
      </c>
      <c r="B56" s="35" t="s">
        <v>73</v>
      </c>
      <c r="C56" s="35" t="s">
        <v>94</v>
      </c>
      <c r="D56" s="35" t="s">
        <v>95</v>
      </c>
      <c r="E56" s="6" t="s">
        <v>328</v>
      </c>
      <c r="F56" s="6" t="s">
        <v>316</v>
      </c>
      <c r="G56" s="35" t="s">
        <v>317</v>
      </c>
      <c r="H56" s="35" t="n">
        <v>10</v>
      </c>
      <c r="I56" s="35" t="n">
        <v>69</v>
      </c>
      <c r="J56" s="29" t="s">
        <v>29</v>
      </c>
      <c r="K56" s="35" t="s">
        <v>99</v>
      </c>
      <c r="L56" s="30" t="s">
        <v>100</v>
      </c>
      <c r="M56" s="6" t="s">
        <v>101</v>
      </c>
      <c r="N56" s="31" t="b">
        <f aca="false">FALSE()</f>
        <v>0</v>
      </c>
      <c r="O56" s="32"/>
      <c r="P56" s="33"/>
      <c r="Q56" s="34"/>
    </row>
    <row r="57" customFormat="false" ht="23.85" hidden="false" customHeight="false" outlineLevel="0" collapsed="false">
      <c r="A57" s="35" t="n">
        <v>54</v>
      </c>
      <c r="B57" s="35" t="s">
        <v>74</v>
      </c>
      <c r="C57" s="35" t="s">
        <v>94</v>
      </c>
      <c r="D57" s="35" t="s">
        <v>329</v>
      </c>
      <c r="E57" s="6" t="s">
        <v>320</v>
      </c>
      <c r="F57" s="6" t="s">
        <v>316</v>
      </c>
      <c r="G57" s="35" t="s">
        <v>317</v>
      </c>
      <c r="H57" s="35" t="n">
        <v>4</v>
      </c>
      <c r="I57" s="35" t="n">
        <v>77</v>
      </c>
      <c r="J57" s="37" t="s">
        <v>27</v>
      </c>
      <c r="K57" s="35" t="s">
        <v>99</v>
      </c>
      <c r="L57" s="39" t="s">
        <v>207</v>
      </c>
      <c r="M57" s="6" t="s">
        <v>330</v>
      </c>
      <c r="N57" s="31" t="b">
        <f aca="false">FALSE()</f>
        <v>0</v>
      </c>
      <c r="O57" s="32"/>
      <c r="P57" s="33"/>
      <c r="Q57" s="34"/>
    </row>
    <row r="58" customFormat="false" ht="23.85" hidden="false" customHeight="false" outlineLevel="0" collapsed="false">
      <c r="A58" s="35" t="n">
        <v>55</v>
      </c>
      <c r="B58" s="35" t="s">
        <v>76</v>
      </c>
      <c r="C58" s="35" t="s">
        <v>94</v>
      </c>
      <c r="D58" s="35" t="s">
        <v>331</v>
      </c>
      <c r="E58" s="6" t="s">
        <v>332</v>
      </c>
      <c r="F58" s="6" t="s">
        <v>316</v>
      </c>
      <c r="G58" s="35" t="s">
        <v>317</v>
      </c>
      <c r="H58" s="35" t="n">
        <v>7</v>
      </c>
      <c r="I58" s="35" t="n">
        <v>85</v>
      </c>
      <c r="J58" s="37" t="s">
        <v>27</v>
      </c>
      <c r="K58" s="35" t="s">
        <v>154</v>
      </c>
      <c r="L58" s="39" t="s">
        <v>207</v>
      </c>
      <c r="M58" s="6" t="s">
        <v>333</v>
      </c>
      <c r="N58" s="31" t="b">
        <f aca="false">FALSE()</f>
        <v>0</v>
      </c>
      <c r="O58" s="32"/>
      <c r="P58" s="33"/>
      <c r="Q58" s="34"/>
    </row>
    <row r="59" customFormat="false" ht="23.85" hidden="false" customHeight="false" outlineLevel="0" collapsed="false">
      <c r="A59" s="27" t="n">
        <v>56</v>
      </c>
      <c r="B59" s="27" t="s">
        <v>64</v>
      </c>
      <c r="C59" s="27" t="s">
        <v>102</v>
      </c>
      <c r="D59" s="27" t="s">
        <v>216</v>
      </c>
      <c r="E59" s="28" t="s">
        <v>334</v>
      </c>
      <c r="F59" s="28" t="s">
        <v>335</v>
      </c>
      <c r="G59" s="27" t="s">
        <v>336</v>
      </c>
      <c r="H59" s="27" t="n">
        <v>15</v>
      </c>
      <c r="I59" s="27" t="n">
        <v>4</v>
      </c>
      <c r="J59" s="36" t="s">
        <v>25</v>
      </c>
      <c r="K59" s="27" t="s">
        <v>113</v>
      </c>
      <c r="L59" s="39" t="s">
        <v>207</v>
      </c>
      <c r="M59" s="28" t="s">
        <v>337</v>
      </c>
      <c r="N59" s="31" t="b">
        <f aca="false">FALSE()</f>
        <v>0</v>
      </c>
      <c r="O59" s="32"/>
      <c r="P59" s="33"/>
      <c r="Q59" s="34"/>
    </row>
    <row r="60" customFormat="false" ht="23.85" hidden="false" customHeight="false" outlineLevel="0" collapsed="false">
      <c r="A60" s="27" t="n">
        <v>57</v>
      </c>
      <c r="B60" s="27" t="s">
        <v>66</v>
      </c>
      <c r="C60" s="27" t="s">
        <v>94</v>
      </c>
      <c r="D60" s="27" t="s">
        <v>129</v>
      </c>
      <c r="E60" s="28" t="s">
        <v>334</v>
      </c>
      <c r="F60" s="28" t="s">
        <v>335</v>
      </c>
      <c r="G60" s="27" t="s">
        <v>336</v>
      </c>
      <c r="H60" s="27" t="n">
        <v>10</v>
      </c>
      <c r="I60" s="27" t="n">
        <v>22</v>
      </c>
      <c r="J60" s="36" t="s">
        <v>25</v>
      </c>
      <c r="K60" s="27" t="s">
        <v>113</v>
      </c>
      <c r="L60" s="39" t="s">
        <v>207</v>
      </c>
      <c r="M60" s="28" t="s">
        <v>338</v>
      </c>
      <c r="N60" s="31" t="b">
        <f aca="false">FALSE()</f>
        <v>0</v>
      </c>
      <c r="O60" s="32"/>
      <c r="P60" s="33"/>
      <c r="Q60" s="34"/>
    </row>
    <row r="61" customFormat="false" ht="23.85" hidden="false" customHeight="false" outlineLevel="0" collapsed="false">
      <c r="A61" s="27" t="n">
        <v>58</v>
      </c>
      <c r="B61" s="27" t="s">
        <v>66</v>
      </c>
      <c r="C61" s="27" t="s">
        <v>94</v>
      </c>
      <c r="D61" s="27" t="s">
        <v>126</v>
      </c>
      <c r="E61" s="28" t="s">
        <v>339</v>
      </c>
      <c r="F61" s="28" t="s">
        <v>335</v>
      </c>
      <c r="G61" s="27" t="s">
        <v>336</v>
      </c>
      <c r="H61" s="27" t="n">
        <v>10</v>
      </c>
      <c r="I61" s="27" t="n">
        <v>22</v>
      </c>
      <c r="J61" s="36" t="s">
        <v>25</v>
      </c>
      <c r="K61" s="27" t="s">
        <v>136</v>
      </c>
      <c r="L61" s="30" t="s">
        <v>100</v>
      </c>
      <c r="M61" s="28" t="s">
        <v>340</v>
      </c>
      <c r="N61" s="31" t="b">
        <f aca="false">FALSE()</f>
        <v>0</v>
      </c>
      <c r="O61" s="32"/>
      <c r="P61" s="33"/>
      <c r="Q61" s="34"/>
    </row>
    <row r="62" customFormat="false" ht="23.85" hidden="false" customHeight="false" outlineLevel="0" collapsed="false">
      <c r="A62" s="27" t="n">
        <v>59</v>
      </c>
      <c r="B62" s="27" t="s">
        <v>67</v>
      </c>
      <c r="C62" s="27" t="s">
        <v>94</v>
      </c>
      <c r="D62" s="27" t="s">
        <v>299</v>
      </c>
      <c r="E62" s="28" t="s">
        <v>341</v>
      </c>
      <c r="F62" s="28" t="s">
        <v>335</v>
      </c>
      <c r="G62" s="27" t="s">
        <v>336</v>
      </c>
      <c r="H62" s="27" t="n">
        <v>15</v>
      </c>
      <c r="I62" s="27" t="n">
        <v>29</v>
      </c>
      <c r="J62" s="36" t="s">
        <v>25</v>
      </c>
      <c r="K62" s="27" t="s">
        <v>113</v>
      </c>
      <c r="L62" s="39" t="s">
        <v>207</v>
      </c>
      <c r="M62" s="28" t="s">
        <v>342</v>
      </c>
      <c r="N62" s="31" t="b">
        <f aca="false">FALSE()</f>
        <v>0</v>
      </c>
      <c r="O62" s="32"/>
      <c r="P62" s="33"/>
      <c r="Q62" s="34"/>
    </row>
    <row r="63" customFormat="false" ht="23.85" hidden="false" customHeight="false" outlineLevel="0" collapsed="false">
      <c r="A63" s="27" t="n">
        <v>60</v>
      </c>
      <c r="B63" s="27" t="s">
        <v>73</v>
      </c>
      <c r="C63" s="27" t="s">
        <v>94</v>
      </c>
      <c r="D63" s="27" t="s">
        <v>319</v>
      </c>
      <c r="E63" s="28" t="s">
        <v>343</v>
      </c>
      <c r="F63" s="28" t="s">
        <v>335</v>
      </c>
      <c r="G63" s="27" t="s">
        <v>336</v>
      </c>
      <c r="H63" s="27" t="n">
        <v>13</v>
      </c>
      <c r="I63" s="27" t="n">
        <v>68</v>
      </c>
      <c r="J63" s="37" t="s">
        <v>27</v>
      </c>
      <c r="K63" s="27" t="s">
        <v>99</v>
      </c>
      <c r="L63" s="38" t="s">
        <v>124</v>
      </c>
      <c r="M63" s="28" t="s">
        <v>344</v>
      </c>
      <c r="N63" s="31" t="b">
        <f aca="false">FALSE()</f>
        <v>0</v>
      </c>
      <c r="O63" s="32"/>
      <c r="P63" s="33"/>
      <c r="Q63" s="34"/>
    </row>
    <row r="64" customFormat="false" ht="23.85" hidden="false" customHeight="false" outlineLevel="0" collapsed="false">
      <c r="A64" s="35" t="n">
        <v>61</v>
      </c>
      <c r="B64" s="35" t="s">
        <v>65</v>
      </c>
      <c r="C64" s="35" t="s">
        <v>102</v>
      </c>
      <c r="D64" s="35" t="s">
        <v>345</v>
      </c>
      <c r="E64" s="6" t="s">
        <v>346</v>
      </c>
      <c r="F64" s="6" t="s">
        <v>347</v>
      </c>
      <c r="G64" s="35" t="s">
        <v>348</v>
      </c>
      <c r="H64" s="35" t="n">
        <v>15</v>
      </c>
      <c r="I64" s="35" t="s">
        <v>349</v>
      </c>
      <c r="J64" s="36" t="s">
        <v>25</v>
      </c>
      <c r="K64" s="35" t="s">
        <v>136</v>
      </c>
      <c r="L64" s="30" t="s">
        <v>100</v>
      </c>
      <c r="M64" s="6" t="s">
        <v>350</v>
      </c>
      <c r="N64" s="31" t="b">
        <f aca="false">FALSE()</f>
        <v>0</v>
      </c>
      <c r="O64" s="32"/>
      <c r="P64" s="33"/>
      <c r="Q64" s="34"/>
    </row>
    <row r="65" customFormat="false" ht="23.85" hidden="false" customHeight="false" outlineLevel="0" collapsed="false">
      <c r="A65" s="35" t="n">
        <v>62</v>
      </c>
      <c r="B65" s="35" t="s">
        <v>69</v>
      </c>
      <c r="C65" s="35" t="s">
        <v>94</v>
      </c>
      <c r="D65" s="35" t="s">
        <v>129</v>
      </c>
      <c r="E65" s="6" t="s">
        <v>351</v>
      </c>
      <c r="F65" s="6" t="s">
        <v>347</v>
      </c>
      <c r="G65" s="35" t="s">
        <v>348</v>
      </c>
      <c r="H65" s="35" t="n">
        <v>15</v>
      </c>
      <c r="I65" s="35" t="s">
        <v>352</v>
      </c>
      <c r="J65" s="37" t="s">
        <v>27</v>
      </c>
      <c r="K65" s="35" t="s">
        <v>99</v>
      </c>
      <c r="L65" s="38" t="s">
        <v>124</v>
      </c>
      <c r="M65" s="6" t="s">
        <v>353</v>
      </c>
      <c r="N65" s="31" t="b">
        <f aca="false">FALSE()</f>
        <v>0</v>
      </c>
      <c r="O65" s="32"/>
      <c r="P65" s="33"/>
      <c r="Q65" s="34"/>
    </row>
    <row r="66" customFormat="false" ht="23.85" hidden="false" customHeight="false" outlineLevel="0" collapsed="false">
      <c r="A66" s="35" t="n">
        <v>63</v>
      </c>
      <c r="B66" s="35" t="s">
        <v>76</v>
      </c>
      <c r="C66" s="35" t="s">
        <v>94</v>
      </c>
      <c r="D66" s="35" t="s">
        <v>354</v>
      </c>
      <c r="E66" s="6" t="s">
        <v>355</v>
      </c>
      <c r="F66" s="6" t="s">
        <v>347</v>
      </c>
      <c r="G66" s="35" t="s">
        <v>348</v>
      </c>
      <c r="H66" s="35" t="n">
        <v>7</v>
      </c>
      <c r="I66" s="35" t="n">
        <v>85</v>
      </c>
      <c r="J66" s="37" t="s">
        <v>27</v>
      </c>
      <c r="K66" s="35" t="s">
        <v>99</v>
      </c>
      <c r="L66" s="30" t="s">
        <v>100</v>
      </c>
      <c r="M66" s="6" t="s">
        <v>356</v>
      </c>
      <c r="N66" s="31" t="b">
        <f aca="false">FALSE()</f>
        <v>0</v>
      </c>
      <c r="O66" s="32"/>
      <c r="P66" s="33"/>
      <c r="Q66" s="34"/>
    </row>
  </sheetData>
  <autoFilter ref="A3:Q66"/>
  <conditionalFormatting sqref="A4:Q66">
    <cfRule type="expression" priority="2" aboveAverage="0" equalAverage="0" bottom="0" percent="0" rank="0" text="" dxfId="10">
      <formula>$N4=1</formula>
    </cfRule>
  </conditionalFormatting>
  <conditionalFormatting sqref="O4:O66">
    <cfRule type="cellIs" priority="3" operator="equal" aboveAverage="0" equalAverage="0" bottom="0" percent="0" rank="0" text="" dxfId="11">
      <formula>"Weak"</formula>
    </cfRule>
    <cfRule type="cellIs" priority="4" operator="equal" aboveAverage="0" equalAverage="0" bottom="0" percent="0" rank="0" text="" dxfId="12">
      <formula>"Strong"</formula>
    </cfRule>
  </conditionalFormatting>
  <dataValidations count="2">
    <dataValidation allowBlank="true" errorStyle="stop" operator="between" showDropDown="false" showErrorMessage="false" showInputMessage="false" sqref="N4:N66" type="list">
      <formula1>"TRUE,FALSE"</formula1>
      <formula2>0</formula2>
    </dataValidation>
    <dataValidation allowBlank="true" errorStyle="stop" operator="between" showDropDown="false" showErrorMessage="false" showInputMessage="false" sqref="O4:O66" type="list">
      <formula1>"Weak,OK,Strong"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5" min="5" style="0" width="58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30"/>
    <col collapsed="false" customWidth="true" hidden="false" outlineLevel="0" max="14" min="14" style="0" width="7"/>
    <col collapsed="false" customWidth="true" hidden="false" outlineLevel="0" max="16" min="15" style="0" width="12"/>
    <col collapsed="false" customWidth="true" hidden="false" outlineLevel="0" max="17" min="17" style="0" width="32"/>
  </cols>
  <sheetData>
    <row r="1" customFormat="false" ht="17.35" hidden="false" customHeight="false" outlineLevel="0" collapsed="false">
      <c r="A1" s="26" t="s">
        <v>357</v>
      </c>
    </row>
    <row r="2" customFormat="false" ht="15" hidden="false" customHeight="false" outlineLevel="0" collapsed="false">
      <c r="A2" s="2" t="s">
        <v>358</v>
      </c>
    </row>
    <row r="3" customFormat="false" ht="30" hidden="false" customHeight="true" outlineLevel="0" collapsed="false">
      <c r="A3" s="14" t="s">
        <v>81</v>
      </c>
      <c r="B3" s="14" t="s">
        <v>63</v>
      </c>
      <c r="C3" s="14" t="s">
        <v>33</v>
      </c>
      <c r="D3" s="14" t="s">
        <v>82</v>
      </c>
      <c r="E3" s="14" t="s">
        <v>83</v>
      </c>
      <c r="F3" s="14" t="s">
        <v>84</v>
      </c>
      <c r="G3" s="14" t="s">
        <v>85</v>
      </c>
      <c r="H3" s="14" t="s">
        <v>86</v>
      </c>
      <c r="I3" s="14" t="s">
        <v>87</v>
      </c>
      <c r="J3" s="14" t="s">
        <v>88</v>
      </c>
      <c r="K3" s="14" t="s">
        <v>31</v>
      </c>
      <c r="L3" s="14" t="s">
        <v>89</v>
      </c>
      <c r="M3" s="14" t="s">
        <v>90</v>
      </c>
      <c r="N3" s="14" t="s">
        <v>49</v>
      </c>
      <c r="O3" s="14" t="s">
        <v>91</v>
      </c>
      <c r="P3" s="14" t="s">
        <v>92</v>
      </c>
      <c r="Q3" s="14" t="s">
        <v>93</v>
      </c>
    </row>
    <row r="4" customFormat="false" ht="23.85" hidden="false" customHeight="false" outlineLevel="0" collapsed="false">
      <c r="A4" s="27" t="n">
        <v>1</v>
      </c>
      <c r="B4" s="27" t="s">
        <v>70</v>
      </c>
      <c r="C4" s="27" t="s">
        <v>94</v>
      </c>
      <c r="D4" s="27" t="s">
        <v>178</v>
      </c>
      <c r="E4" s="28" t="s">
        <v>359</v>
      </c>
      <c r="F4" s="28" t="s">
        <v>360</v>
      </c>
      <c r="G4" s="27" t="s">
        <v>361</v>
      </c>
      <c r="H4" s="27" t="n">
        <v>10</v>
      </c>
      <c r="I4" s="27" t="n">
        <v>50</v>
      </c>
      <c r="J4" s="37" t="s">
        <v>27</v>
      </c>
      <c r="K4" s="27" t="s">
        <v>154</v>
      </c>
      <c r="L4" s="39" t="s">
        <v>207</v>
      </c>
      <c r="M4" s="28" t="s">
        <v>362</v>
      </c>
      <c r="N4" s="31" t="b">
        <f aca="false">FALSE()</f>
        <v>0</v>
      </c>
      <c r="O4" s="32"/>
      <c r="P4" s="33"/>
      <c r="Q4" s="34"/>
    </row>
    <row r="5" customFormat="false" ht="23.85" hidden="false" customHeight="false" outlineLevel="0" collapsed="false">
      <c r="A5" s="27" t="n">
        <v>2</v>
      </c>
      <c r="B5" s="27" t="s">
        <v>71</v>
      </c>
      <c r="C5" s="27" t="s">
        <v>94</v>
      </c>
      <c r="D5" s="27" t="s">
        <v>178</v>
      </c>
      <c r="E5" s="28" t="s">
        <v>363</v>
      </c>
      <c r="F5" s="28" t="s">
        <v>360</v>
      </c>
      <c r="G5" s="27" t="s">
        <v>361</v>
      </c>
      <c r="H5" s="27" t="n">
        <v>5</v>
      </c>
      <c r="I5" s="27" t="n">
        <v>55</v>
      </c>
      <c r="J5" s="37" t="s">
        <v>27</v>
      </c>
      <c r="K5" s="27" t="s">
        <v>99</v>
      </c>
      <c r="L5" s="39" t="s">
        <v>207</v>
      </c>
      <c r="M5" s="28" t="s">
        <v>364</v>
      </c>
      <c r="N5" s="31" t="b">
        <f aca="false">FALSE()</f>
        <v>0</v>
      </c>
      <c r="O5" s="32"/>
      <c r="P5" s="33"/>
      <c r="Q5" s="34"/>
    </row>
    <row r="6" customFormat="false" ht="23.85" hidden="false" customHeight="false" outlineLevel="0" collapsed="false">
      <c r="A6" s="27" t="n">
        <v>3</v>
      </c>
      <c r="B6" s="27" t="s">
        <v>73</v>
      </c>
      <c r="C6" s="27" t="s">
        <v>94</v>
      </c>
      <c r="D6" s="27" t="s">
        <v>115</v>
      </c>
      <c r="E6" s="28" t="s">
        <v>365</v>
      </c>
      <c r="F6" s="28" t="s">
        <v>360</v>
      </c>
      <c r="G6" s="27" t="s">
        <v>361</v>
      </c>
      <c r="H6" s="27" t="n">
        <v>6</v>
      </c>
      <c r="I6" s="27" t="n">
        <v>68</v>
      </c>
      <c r="J6" s="37" t="s">
        <v>27</v>
      </c>
      <c r="K6" s="27" t="s">
        <v>99</v>
      </c>
      <c r="L6" s="39" t="s">
        <v>207</v>
      </c>
      <c r="M6" s="28" t="s">
        <v>366</v>
      </c>
      <c r="N6" s="31" t="b">
        <f aca="false">FALSE()</f>
        <v>0</v>
      </c>
      <c r="O6" s="32"/>
      <c r="P6" s="33"/>
      <c r="Q6" s="34"/>
    </row>
    <row r="7" customFormat="false" ht="15" hidden="false" customHeight="false" outlineLevel="0" collapsed="false">
      <c r="A7" s="27" t="n">
        <v>4</v>
      </c>
      <c r="B7" s="27" t="s">
        <v>73</v>
      </c>
      <c r="C7" s="27" t="s">
        <v>94</v>
      </c>
      <c r="D7" s="27" t="s">
        <v>367</v>
      </c>
      <c r="E7" s="28" t="s">
        <v>368</v>
      </c>
      <c r="F7" s="28" t="s">
        <v>360</v>
      </c>
      <c r="G7" s="27" t="s">
        <v>361</v>
      </c>
      <c r="H7" s="27" t="n">
        <v>4</v>
      </c>
      <c r="I7" s="27" t="n">
        <v>68</v>
      </c>
      <c r="J7" s="37" t="s">
        <v>27</v>
      </c>
      <c r="K7" s="27" t="s">
        <v>99</v>
      </c>
      <c r="L7" s="30" t="s">
        <v>100</v>
      </c>
      <c r="M7" s="28" t="s">
        <v>369</v>
      </c>
      <c r="N7" s="31" t="b">
        <f aca="false">FALSE()</f>
        <v>0</v>
      </c>
      <c r="O7" s="32"/>
      <c r="P7" s="33"/>
      <c r="Q7" s="34"/>
    </row>
    <row r="8" customFormat="false" ht="15" hidden="false" customHeight="false" outlineLevel="0" collapsed="false">
      <c r="A8" s="27" t="n">
        <v>5</v>
      </c>
      <c r="B8" s="27" t="s">
        <v>74</v>
      </c>
      <c r="C8" s="27" t="s">
        <v>94</v>
      </c>
      <c r="D8" s="27" t="s">
        <v>156</v>
      </c>
      <c r="E8" s="28" t="s">
        <v>370</v>
      </c>
      <c r="F8" s="28" t="s">
        <v>360</v>
      </c>
      <c r="G8" s="27" t="s">
        <v>361</v>
      </c>
      <c r="H8" s="27" t="n">
        <v>6</v>
      </c>
      <c r="I8" s="27" t="n">
        <v>74</v>
      </c>
      <c r="J8" s="37" t="s">
        <v>27</v>
      </c>
      <c r="K8" s="27" t="s">
        <v>99</v>
      </c>
      <c r="L8" s="39" t="s">
        <v>207</v>
      </c>
      <c r="M8" s="28" t="s">
        <v>371</v>
      </c>
      <c r="N8" s="31" t="b">
        <f aca="false">FALSE()</f>
        <v>0</v>
      </c>
      <c r="O8" s="32"/>
      <c r="P8" s="33"/>
      <c r="Q8" s="34"/>
    </row>
    <row r="9" customFormat="false" ht="23.85" hidden="false" customHeight="false" outlineLevel="0" collapsed="false">
      <c r="A9" s="27" t="n">
        <v>6</v>
      </c>
      <c r="B9" s="27" t="s">
        <v>75</v>
      </c>
      <c r="C9" s="27" t="s">
        <v>94</v>
      </c>
      <c r="D9" s="27" t="s">
        <v>284</v>
      </c>
      <c r="E9" s="28" t="s">
        <v>372</v>
      </c>
      <c r="F9" s="28" t="s">
        <v>360</v>
      </c>
      <c r="G9" s="27" t="s">
        <v>361</v>
      </c>
      <c r="H9" s="27" t="n">
        <v>10</v>
      </c>
      <c r="I9" s="27" t="n">
        <v>79</v>
      </c>
      <c r="J9" s="37" t="s">
        <v>27</v>
      </c>
      <c r="K9" s="27" t="s">
        <v>154</v>
      </c>
      <c r="L9" s="39" t="s">
        <v>207</v>
      </c>
      <c r="M9" s="28" t="s">
        <v>373</v>
      </c>
      <c r="N9" s="31" t="b">
        <f aca="false">FALSE()</f>
        <v>0</v>
      </c>
      <c r="O9" s="32"/>
      <c r="P9" s="33"/>
      <c r="Q9" s="34"/>
    </row>
    <row r="10" customFormat="false" ht="15" hidden="false" customHeight="false" outlineLevel="0" collapsed="false">
      <c r="A10" s="27" t="n">
        <v>7</v>
      </c>
      <c r="B10" s="27" t="s">
        <v>75</v>
      </c>
      <c r="C10" s="27" t="s">
        <v>94</v>
      </c>
      <c r="D10" s="27" t="s">
        <v>290</v>
      </c>
      <c r="E10" s="28" t="s">
        <v>374</v>
      </c>
      <c r="F10" s="28" t="s">
        <v>360</v>
      </c>
      <c r="G10" s="27" t="s">
        <v>361</v>
      </c>
      <c r="H10" s="27" t="n">
        <v>5</v>
      </c>
      <c r="I10" s="27" t="n">
        <v>79</v>
      </c>
      <c r="J10" s="37" t="s">
        <v>27</v>
      </c>
      <c r="K10" s="27" t="s">
        <v>99</v>
      </c>
      <c r="L10" s="39" t="s">
        <v>207</v>
      </c>
      <c r="M10" s="28" t="s">
        <v>375</v>
      </c>
      <c r="N10" s="31" t="b">
        <f aca="false">FALSE()</f>
        <v>0</v>
      </c>
      <c r="O10" s="32"/>
      <c r="P10" s="33"/>
      <c r="Q10" s="34"/>
    </row>
    <row r="11" customFormat="false" ht="15" hidden="false" customHeight="false" outlineLevel="0" collapsed="false">
      <c r="A11" s="27" t="n">
        <v>8</v>
      </c>
      <c r="B11" s="27" t="s">
        <v>76</v>
      </c>
      <c r="C11" s="27" t="s">
        <v>94</v>
      </c>
      <c r="D11" s="27" t="s">
        <v>376</v>
      </c>
      <c r="E11" s="28" t="s">
        <v>377</v>
      </c>
      <c r="F11" s="28" t="s">
        <v>360</v>
      </c>
      <c r="G11" s="27" t="s">
        <v>361</v>
      </c>
      <c r="H11" s="27" t="n">
        <v>5</v>
      </c>
      <c r="I11" s="27" t="n">
        <v>86</v>
      </c>
      <c r="J11" s="37" t="s">
        <v>27</v>
      </c>
      <c r="K11" s="27" t="s">
        <v>99</v>
      </c>
      <c r="L11" s="39" t="s">
        <v>207</v>
      </c>
      <c r="M11" s="28" t="s">
        <v>378</v>
      </c>
      <c r="N11" s="31" t="b">
        <f aca="false">FALSE()</f>
        <v>0</v>
      </c>
      <c r="O11" s="32"/>
      <c r="P11" s="33"/>
      <c r="Q11" s="34"/>
    </row>
    <row r="12" customFormat="false" ht="23.85" hidden="false" customHeight="false" outlineLevel="0" collapsed="false">
      <c r="A12" s="35" t="n">
        <v>9</v>
      </c>
      <c r="B12" s="35" t="s">
        <v>64</v>
      </c>
      <c r="C12" s="35" t="s">
        <v>102</v>
      </c>
      <c r="D12" s="35" t="s">
        <v>126</v>
      </c>
      <c r="E12" s="6" t="s">
        <v>379</v>
      </c>
      <c r="F12" s="6" t="s">
        <v>380</v>
      </c>
      <c r="G12" s="35" t="s">
        <v>381</v>
      </c>
      <c r="H12" s="35" t="n">
        <v>15</v>
      </c>
      <c r="I12" s="35" t="n">
        <v>2</v>
      </c>
      <c r="J12" s="36" t="s">
        <v>25</v>
      </c>
      <c r="K12" s="35" t="s">
        <v>113</v>
      </c>
      <c r="L12" s="39" t="s">
        <v>207</v>
      </c>
      <c r="M12" s="6" t="s">
        <v>382</v>
      </c>
      <c r="N12" s="31" t="b">
        <f aca="false">FALSE()</f>
        <v>0</v>
      </c>
      <c r="O12" s="32"/>
      <c r="P12" s="33"/>
      <c r="Q12" s="34"/>
    </row>
    <row r="13" customFormat="false" ht="23.85" hidden="false" customHeight="false" outlineLevel="0" collapsed="false">
      <c r="A13" s="35" t="n">
        <v>10</v>
      </c>
      <c r="B13" s="35" t="s">
        <v>72</v>
      </c>
      <c r="C13" s="35" t="s">
        <v>94</v>
      </c>
      <c r="D13" s="35" t="s">
        <v>216</v>
      </c>
      <c r="E13" s="6" t="s">
        <v>383</v>
      </c>
      <c r="F13" s="6" t="s">
        <v>380</v>
      </c>
      <c r="G13" s="35" t="s">
        <v>381</v>
      </c>
      <c r="H13" s="35" t="n">
        <v>10</v>
      </c>
      <c r="I13" s="35" t="n">
        <v>65</v>
      </c>
      <c r="J13" s="37" t="s">
        <v>27</v>
      </c>
      <c r="K13" s="35" t="s">
        <v>113</v>
      </c>
      <c r="L13" s="39" t="s">
        <v>207</v>
      </c>
      <c r="M13" s="6" t="s">
        <v>384</v>
      </c>
      <c r="N13" s="31" t="b">
        <f aca="false">FALSE()</f>
        <v>0</v>
      </c>
      <c r="O13" s="32"/>
      <c r="P13" s="33"/>
      <c r="Q13" s="34"/>
    </row>
    <row r="14" customFormat="false" ht="68.65" hidden="false" customHeight="false" outlineLevel="0" collapsed="false">
      <c r="A14" s="27" t="n">
        <v>11</v>
      </c>
      <c r="B14" s="27" t="s">
        <v>65</v>
      </c>
      <c r="C14" s="27" t="s">
        <v>102</v>
      </c>
      <c r="D14" s="27" t="s">
        <v>385</v>
      </c>
      <c r="E14" s="28" t="s">
        <v>386</v>
      </c>
      <c r="F14" s="28" t="s">
        <v>387</v>
      </c>
      <c r="G14" s="27" t="s">
        <v>388</v>
      </c>
      <c r="H14" s="27" t="n">
        <v>10</v>
      </c>
      <c r="I14" s="27" t="n">
        <v>12</v>
      </c>
      <c r="J14" s="36" t="s">
        <v>25</v>
      </c>
      <c r="K14" s="27" t="s">
        <v>154</v>
      </c>
      <c r="L14" s="39" t="s">
        <v>207</v>
      </c>
      <c r="M14" s="28" t="s">
        <v>389</v>
      </c>
      <c r="N14" s="31" t="b">
        <f aca="false">FALSE()</f>
        <v>0</v>
      </c>
      <c r="O14" s="32"/>
      <c r="P14" s="33"/>
      <c r="Q14" s="34"/>
    </row>
    <row r="15" customFormat="false" ht="46.25" hidden="false" customHeight="false" outlineLevel="0" collapsed="false">
      <c r="A15" s="27" t="n">
        <v>12</v>
      </c>
      <c r="B15" s="27" t="s">
        <v>65</v>
      </c>
      <c r="C15" s="27" t="s">
        <v>94</v>
      </c>
      <c r="D15" s="27" t="s">
        <v>126</v>
      </c>
      <c r="E15" s="28" t="s">
        <v>390</v>
      </c>
      <c r="F15" s="28" t="s">
        <v>387</v>
      </c>
      <c r="G15" s="27" t="s">
        <v>388</v>
      </c>
      <c r="H15" s="27" t="n">
        <v>15</v>
      </c>
      <c r="I15" s="27" t="n">
        <v>16</v>
      </c>
      <c r="J15" s="36" t="s">
        <v>25</v>
      </c>
      <c r="K15" s="27" t="s">
        <v>154</v>
      </c>
      <c r="L15" s="39" t="s">
        <v>207</v>
      </c>
      <c r="M15" s="28" t="s">
        <v>391</v>
      </c>
      <c r="N15" s="31" t="b">
        <f aca="false">FALSE()</f>
        <v>0</v>
      </c>
      <c r="O15" s="32"/>
      <c r="P15" s="33"/>
      <c r="Q15" s="34"/>
    </row>
    <row r="16" customFormat="false" ht="23.85" hidden="false" customHeight="false" outlineLevel="0" collapsed="false">
      <c r="A16" s="27" t="n">
        <v>13</v>
      </c>
      <c r="B16" s="27" t="s">
        <v>67</v>
      </c>
      <c r="C16" s="27" t="s">
        <v>94</v>
      </c>
      <c r="D16" s="27" t="s">
        <v>199</v>
      </c>
      <c r="E16" s="28" t="s">
        <v>392</v>
      </c>
      <c r="F16" s="28" t="s">
        <v>387</v>
      </c>
      <c r="G16" s="27" t="s">
        <v>388</v>
      </c>
      <c r="H16" s="27" t="n">
        <v>15</v>
      </c>
      <c r="I16" s="27" t="n">
        <v>29</v>
      </c>
      <c r="J16" s="36" t="s">
        <v>25</v>
      </c>
      <c r="K16" s="27" t="s">
        <v>154</v>
      </c>
      <c r="L16" s="39" t="s">
        <v>207</v>
      </c>
      <c r="M16" s="28" t="s">
        <v>393</v>
      </c>
      <c r="N16" s="31" t="b">
        <f aca="false">FALSE()</f>
        <v>0</v>
      </c>
      <c r="O16" s="32"/>
      <c r="P16" s="33"/>
      <c r="Q16" s="34"/>
    </row>
    <row r="17" customFormat="false" ht="46.25" hidden="false" customHeight="false" outlineLevel="0" collapsed="false">
      <c r="A17" s="27" t="n">
        <v>14</v>
      </c>
      <c r="B17" s="27" t="s">
        <v>68</v>
      </c>
      <c r="C17" s="27" t="s">
        <v>94</v>
      </c>
      <c r="D17" s="27" t="s">
        <v>394</v>
      </c>
      <c r="E17" s="28" t="s">
        <v>395</v>
      </c>
      <c r="F17" s="28" t="s">
        <v>387</v>
      </c>
      <c r="G17" s="27" t="s">
        <v>388</v>
      </c>
      <c r="H17" s="27" t="n">
        <v>15</v>
      </c>
      <c r="I17" s="27" t="n">
        <v>40</v>
      </c>
      <c r="J17" s="36" t="s">
        <v>25</v>
      </c>
      <c r="K17" s="27" t="s">
        <v>154</v>
      </c>
      <c r="L17" s="39" t="s">
        <v>207</v>
      </c>
      <c r="M17" s="28" t="s">
        <v>396</v>
      </c>
      <c r="N17" s="31" t="b">
        <f aca="false">FALSE()</f>
        <v>0</v>
      </c>
      <c r="O17" s="32"/>
      <c r="P17" s="33"/>
      <c r="Q17" s="34"/>
    </row>
    <row r="18" customFormat="false" ht="46.25" hidden="false" customHeight="false" outlineLevel="0" collapsed="false">
      <c r="A18" s="27" t="n">
        <v>15</v>
      </c>
      <c r="B18" s="27" t="s">
        <v>68</v>
      </c>
      <c r="C18" s="27" t="s">
        <v>94</v>
      </c>
      <c r="D18" s="27" t="s">
        <v>397</v>
      </c>
      <c r="E18" s="28" t="s">
        <v>398</v>
      </c>
      <c r="F18" s="28" t="s">
        <v>387</v>
      </c>
      <c r="G18" s="27" t="s">
        <v>388</v>
      </c>
      <c r="H18" s="27" t="n">
        <v>20</v>
      </c>
      <c r="I18" s="27" t="n">
        <v>40</v>
      </c>
      <c r="J18" s="36" t="s">
        <v>25</v>
      </c>
      <c r="K18" s="27" t="s">
        <v>154</v>
      </c>
      <c r="L18" s="39" t="s">
        <v>207</v>
      </c>
      <c r="M18" s="28" t="s">
        <v>399</v>
      </c>
      <c r="N18" s="31" t="b">
        <f aca="false">FALSE()</f>
        <v>0</v>
      </c>
      <c r="O18" s="32"/>
      <c r="P18" s="33"/>
      <c r="Q18" s="34"/>
    </row>
    <row r="19" customFormat="false" ht="46.25" hidden="false" customHeight="false" outlineLevel="0" collapsed="false">
      <c r="A19" s="27" t="n">
        <v>16</v>
      </c>
      <c r="B19" s="27" t="s">
        <v>69</v>
      </c>
      <c r="C19" s="27" t="s">
        <v>94</v>
      </c>
      <c r="D19" s="27" t="s">
        <v>216</v>
      </c>
      <c r="E19" s="28" t="s">
        <v>400</v>
      </c>
      <c r="F19" s="28" t="s">
        <v>387</v>
      </c>
      <c r="G19" s="27" t="s">
        <v>388</v>
      </c>
      <c r="H19" s="27" t="n">
        <v>16</v>
      </c>
      <c r="I19" s="27" t="n">
        <v>44</v>
      </c>
      <c r="J19" s="37" t="s">
        <v>27</v>
      </c>
      <c r="K19" s="27" t="s">
        <v>154</v>
      </c>
      <c r="L19" s="39" t="s">
        <v>207</v>
      </c>
      <c r="M19" s="28" t="s">
        <v>401</v>
      </c>
      <c r="N19" s="31" t="b">
        <f aca="false">FALSE()</f>
        <v>0</v>
      </c>
      <c r="O19" s="32"/>
      <c r="P19" s="33"/>
      <c r="Q19" s="34"/>
    </row>
    <row r="20" customFormat="false" ht="23.85" hidden="false" customHeight="false" outlineLevel="0" collapsed="false">
      <c r="A20" s="27" t="n">
        <v>17</v>
      </c>
      <c r="B20" s="27" t="s">
        <v>71</v>
      </c>
      <c r="C20" s="27" t="s">
        <v>94</v>
      </c>
      <c r="D20" s="27" t="s">
        <v>95</v>
      </c>
      <c r="E20" s="28" t="s">
        <v>402</v>
      </c>
      <c r="F20" s="28" t="s">
        <v>387</v>
      </c>
      <c r="G20" s="27" t="s">
        <v>388</v>
      </c>
      <c r="H20" s="27" t="n">
        <v>15</v>
      </c>
      <c r="I20" s="27" t="n">
        <v>55</v>
      </c>
      <c r="J20" s="37" t="s">
        <v>27</v>
      </c>
      <c r="K20" s="27" t="s">
        <v>154</v>
      </c>
      <c r="L20" s="30" t="s">
        <v>100</v>
      </c>
      <c r="M20" s="28" t="s">
        <v>403</v>
      </c>
      <c r="N20" s="31" t="b">
        <f aca="false">FALSE()</f>
        <v>0</v>
      </c>
      <c r="O20" s="32"/>
      <c r="P20" s="33"/>
      <c r="Q20" s="34"/>
    </row>
    <row r="21" customFormat="false" ht="23.85" hidden="false" customHeight="false" outlineLevel="0" collapsed="false">
      <c r="A21" s="27" t="n">
        <v>18</v>
      </c>
      <c r="B21" s="27" t="s">
        <v>73</v>
      </c>
      <c r="C21" s="27" t="s">
        <v>94</v>
      </c>
      <c r="D21" s="27" t="s">
        <v>129</v>
      </c>
      <c r="E21" s="28" t="s">
        <v>402</v>
      </c>
      <c r="F21" s="28" t="s">
        <v>387</v>
      </c>
      <c r="G21" s="27" t="s">
        <v>388</v>
      </c>
      <c r="H21" s="27" t="n">
        <v>15</v>
      </c>
      <c r="I21" s="27" t="n">
        <v>68</v>
      </c>
      <c r="J21" s="37" t="s">
        <v>27</v>
      </c>
      <c r="K21" s="27" t="s">
        <v>154</v>
      </c>
      <c r="L21" s="30" t="s">
        <v>100</v>
      </c>
      <c r="M21" s="28" t="s">
        <v>404</v>
      </c>
      <c r="N21" s="31" t="b">
        <f aca="false">FALSE()</f>
        <v>0</v>
      </c>
      <c r="O21" s="32"/>
      <c r="P21" s="33"/>
      <c r="Q21" s="34"/>
    </row>
    <row r="22" customFormat="false" ht="46.25" hidden="false" customHeight="false" outlineLevel="0" collapsed="false">
      <c r="A22" s="27" t="n">
        <v>19</v>
      </c>
      <c r="B22" s="27" t="s">
        <v>74</v>
      </c>
      <c r="C22" s="27" t="s">
        <v>94</v>
      </c>
      <c r="D22" s="27" t="s">
        <v>405</v>
      </c>
      <c r="E22" s="28" t="s">
        <v>406</v>
      </c>
      <c r="F22" s="28" t="s">
        <v>387</v>
      </c>
      <c r="G22" s="27" t="s">
        <v>388</v>
      </c>
      <c r="H22" s="27" t="n">
        <v>6</v>
      </c>
      <c r="I22" s="27" t="n">
        <v>74</v>
      </c>
      <c r="J22" s="37" t="s">
        <v>27</v>
      </c>
      <c r="K22" s="27" t="s">
        <v>154</v>
      </c>
      <c r="L22" s="30" t="s">
        <v>100</v>
      </c>
      <c r="M22" s="28" t="s">
        <v>407</v>
      </c>
      <c r="N22" s="31" t="b">
        <f aca="false">FALSE()</f>
        <v>0</v>
      </c>
      <c r="O22" s="32"/>
      <c r="P22" s="33"/>
      <c r="Q22" s="34"/>
    </row>
    <row r="23" customFormat="false" ht="46.25" hidden="false" customHeight="false" outlineLevel="0" collapsed="false">
      <c r="A23" s="27" t="n">
        <v>20</v>
      </c>
      <c r="B23" s="27" t="s">
        <v>75</v>
      </c>
      <c r="C23" s="27" t="s">
        <v>94</v>
      </c>
      <c r="D23" s="27" t="s">
        <v>408</v>
      </c>
      <c r="E23" s="28" t="s">
        <v>409</v>
      </c>
      <c r="F23" s="28" t="s">
        <v>387</v>
      </c>
      <c r="G23" s="27" t="s">
        <v>388</v>
      </c>
      <c r="H23" s="27" t="n">
        <v>9</v>
      </c>
      <c r="I23" s="27" t="n">
        <v>80</v>
      </c>
      <c r="J23" s="37" t="s">
        <v>27</v>
      </c>
      <c r="K23" s="27" t="s">
        <v>154</v>
      </c>
      <c r="L23" s="30" t="s">
        <v>100</v>
      </c>
      <c r="M23" s="28" t="s">
        <v>410</v>
      </c>
      <c r="N23" s="31" t="b">
        <f aca="false">FALSE()</f>
        <v>0</v>
      </c>
      <c r="O23" s="32"/>
      <c r="P23" s="33"/>
      <c r="Q23" s="34"/>
    </row>
    <row r="24" customFormat="false" ht="46.25" hidden="false" customHeight="false" outlineLevel="0" collapsed="false">
      <c r="A24" s="27" t="n">
        <v>21</v>
      </c>
      <c r="B24" s="27" t="s">
        <v>76</v>
      </c>
      <c r="C24" s="27" t="s">
        <v>94</v>
      </c>
      <c r="D24" s="27" t="s">
        <v>108</v>
      </c>
      <c r="E24" s="28" t="s">
        <v>411</v>
      </c>
      <c r="F24" s="28" t="s">
        <v>387</v>
      </c>
      <c r="G24" s="27" t="s">
        <v>388</v>
      </c>
      <c r="H24" s="27" t="n">
        <v>10</v>
      </c>
      <c r="I24" s="27" t="n">
        <v>86</v>
      </c>
      <c r="J24" s="37" t="s">
        <v>27</v>
      </c>
      <c r="K24" s="27" t="s">
        <v>154</v>
      </c>
      <c r="L24" s="30" t="s">
        <v>100</v>
      </c>
      <c r="M24" s="28" t="s">
        <v>412</v>
      </c>
      <c r="N24" s="31" t="b">
        <f aca="false">FALSE()</f>
        <v>0</v>
      </c>
      <c r="O24" s="32"/>
      <c r="P24" s="33"/>
      <c r="Q24" s="34"/>
    </row>
    <row r="25" customFormat="false" ht="35.05" hidden="false" customHeight="false" outlineLevel="0" collapsed="false">
      <c r="A25" s="35" t="n">
        <v>22</v>
      </c>
      <c r="B25" s="35" t="s">
        <v>65</v>
      </c>
      <c r="C25" s="35" t="s">
        <v>94</v>
      </c>
      <c r="D25" s="35" t="s">
        <v>115</v>
      </c>
      <c r="E25" s="6" t="s">
        <v>413</v>
      </c>
      <c r="F25" s="6" t="s">
        <v>414</v>
      </c>
      <c r="G25" s="35" t="s">
        <v>415</v>
      </c>
      <c r="H25" s="35" t="n">
        <v>20</v>
      </c>
      <c r="I25" s="35" t="n">
        <v>16</v>
      </c>
      <c r="J25" s="36" t="s">
        <v>25</v>
      </c>
      <c r="K25" s="35" t="s">
        <v>113</v>
      </c>
      <c r="L25" s="39" t="s">
        <v>207</v>
      </c>
      <c r="M25" s="6" t="s">
        <v>416</v>
      </c>
      <c r="N25" s="31" t="b">
        <f aca="false">FALSE()</f>
        <v>0</v>
      </c>
      <c r="O25" s="32"/>
      <c r="P25" s="33"/>
      <c r="Q25" s="34"/>
    </row>
    <row r="26" customFormat="false" ht="35.05" hidden="false" customHeight="false" outlineLevel="0" collapsed="false">
      <c r="A26" s="35" t="n">
        <v>23</v>
      </c>
      <c r="B26" s="35" t="s">
        <v>66</v>
      </c>
      <c r="C26" s="35" t="s">
        <v>94</v>
      </c>
      <c r="D26" s="35" t="s">
        <v>132</v>
      </c>
      <c r="E26" s="6" t="s">
        <v>417</v>
      </c>
      <c r="F26" s="6" t="s">
        <v>414</v>
      </c>
      <c r="G26" s="35" t="s">
        <v>415</v>
      </c>
      <c r="H26" s="35" t="n">
        <v>15</v>
      </c>
      <c r="I26" s="35" t="n">
        <v>23</v>
      </c>
      <c r="J26" s="36" t="s">
        <v>25</v>
      </c>
      <c r="K26" s="35" t="s">
        <v>113</v>
      </c>
      <c r="L26" s="39" t="s">
        <v>207</v>
      </c>
      <c r="M26" s="6" t="s">
        <v>418</v>
      </c>
      <c r="N26" s="31" t="b">
        <f aca="false">FALSE()</f>
        <v>0</v>
      </c>
      <c r="O26" s="32"/>
      <c r="P26" s="33"/>
      <c r="Q26" s="34"/>
    </row>
    <row r="27" customFormat="false" ht="35.05" hidden="false" customHeight="false" outlineLevel="0" collapsed="false">
      <c r="A27" s="35" t="n">
        <v>24</v>
      </c>
      <c r="B27" s="35" t="s">
        <v>68</v>
      </c>
      <c r="C27" s="35" t="s">
        <v>94</v>
      </c>
      <c r="D27" s="35" t="s">
        <v>203</v>
      </c>
      <c r="E27" s="6" t="s">
        <v>419</v>
      </c>
      <c r="F27" s="6" t="s">
        <v>414</v>
      </c>
      <c r="G27" s="35" t="s">
        <v>415</v>
      </c>
      <c r="H27" s="35" t="n">
        <v>20</v>
      </c>
      <c r="I27" s="35" t="n">
        <v>39</v>
      </c>
      <c r="J27" s="36" t="s">
        <v>25</v>
      </c>
      <c r="K27" s="35" t="s">
        <v>113</v>
      </c>
      <c r="L27" s="39" t="s">
        <v>207</v>
      </c>
      <c r="M27" s="6" t="s">
        <v>420</v>
      </c>
      <c r="N27" s="31" t="b">
        <f aca="false">FALSE()</f>
        <v>0</v>
      </c>
      <c r="O27" s="32"/>
      <c r="P27" s="33"/>
      <c r="Q27" s="34"/>
    </row>
    <row r="28" customFormat="false" ht="35.05" hidden="false" customHeight="false" outlineLevel="0" collapsed="false">
      <c r="A28" s="35" t="n">
        <v>25</v>
      </c>
      <c r="B28" s="35" t="s">
        <v>70</v>
      </c>
      <c r="C28" s="35" t="s">
        <v>94</v>
      </c>
      <c r="D28" s="35" t="s">
        <v>216</v>
      </c>
      <c r="E28" s="6" t="s">
        <v>421</v>
      </c>
      <c r="F28" s="6" t="s">
        <v>414</v>
      </c>
      <c r="G28" s="35" t="s">
        <v>415</v>
      </c>
      <c r="H28" s="35" t="n">
        <v>15</v>
      </c>
      <c r="I28" s="35" t="n">
        <v>51</v>
      </c>
      <c r="J28" s="37" t="s">
        <v>27</v>
      </c>
      <c r="K28" s="35" t="s">
        <v>113</v>
      </c>
      <c r="L28" s="39" t="s">
        <v>207</v>
      </c>
      <c r="M28" s="6" t="s">
        <v>422</v>
      </c>
      <c r="N28" s="31" t="b">
        <f aca="false">FALSE()</f>
        <v>0</v>
      </c>
      <c r="O28" s="32"/>
      <c r="P28" s="33"/>
      <c r="Q28" s="34"/>
    </row>
    <row r="29" customFormat="false" ht="35.05" hidden="false" customHeight="false" outlineLevel="0" collapsed="false">
      <c r="A29" s="35" t="n">
        <v>26</v>
      </c>
      <c r="B29" s="35" t="s">
        <v>72</v>
      </c>
      <c r="C29" s="35" t="s">
        <v>94</v>
      </c>
      <c r="D29" s="35" t="s">
        <v>240</v>
      </c>
      <c r="E29" s="6" t="s">
        <v>423</v>
      </c>
      <c r="F29" s="6" t="s">
        <v>414</v>
      </c>
      <c r="G29" s="35" t="s">
        <v>415</v>
      </c>
      <c r="H29" s="35" t="n">
        <v>15</v>
      </c>
      <c r="I29" s="35" t="n">
        <v>65</v>
      </c>
      <c r="J29" s="37" t="s">
        <v>27</v>
      </c>
      <c r="K29" s="35" t="s">
        <v>113</v>
      </c>
      <c r="L29" s="30" t="s">
        <v>100</v>
      </c>
      <c r="M29" s="6" t="s">
        <v>424</v>
      </c>
      <c r="N29" s="31" t="b">
        <f aca="false">FALSE()</f>
        <v>0</v>
      </c>
      <c r="O29" s="32"/>
      <c r="P29" s="33"/>
      <c r="Q29" s="34"/>
    </row>
    <row r="30" customFormat="false" ht="35.05" hidden="false" customHeight="false" outlineLevel="0" collapsed="false">
      <c r="A30" s="35" t="n">
        <v>27</v>
      </c>
      <c r="B30" s="35" t="s">
        <v>74</v>
      </c>
      <c r="C30" s="35" t="s">
        <v>94</v>
      </c>
      <c r="D30" s="35" t="s">
        <v>171</v>
      </c>
      <c r="E30" s="6" t="s">
        <v>425</v>
      </c>
      <c r="F30" s="6" t="s">
        <v>414</v>
      </c>
      <c r="G30" s="35" t="s">
        <v>415</v>
      </c>
      <c r="H30" s="35" t="n">
        <v>9</v>
      </c>
      <c r="I30" s="35" t="n">
        <v>74</v>
      </c>
      <c r="J30" s="37" t="s">
        <v>27</v>
      </c>
      <c r="K30" s="35" t="s">
        <v>113</v>
      </c>
      <c r="L30" s="39" t="s">
        <v>207</v>
      </c>
      <c r="M30" s="6" t="s">
        <v>426</v>
      </c>
      <c r="N30" s="31" t="b">
        <f aca="false">FALSE()</f>
        <v>0</v>
      </c>
      <c r="O30" s="32"/>
      <c r="P30" s="33"/>
      <c r="Q30" s="34"/>
    </row>
    <row r="31" customFormat="false" ht="35.05" hidden="false" customHeight="false" outlineLevel="0" collapsed="false">
      <c r="A31" s="35" t="n">
        <v>28</v>
      </c>
      <c r="B31" s="35" t="s">
        <v>76</v>
      </c>
      <c r="C31" s="35" t="s">
        <v>94</v>
      </c>
      <c r="D31" s="35" t="s">
        <v>290</v>
      </c>
      <c r="E31" s="6" t="s">
        <v>427</v>
      </c>
      <c r="F31" s="6" t="s">
        <v>414</v>
      </c>
      <c r="G31" s="35" t="s">
        <v>415</v>
      </c>
      <c r="H31" s="35" t="n">
        <v>15</v>
      </c>
      <c r="I31" s="35" t="n">
        <v>86</v>
      </c>
      <c r="J31" s="37" t="s">
        <v>27</v>
      </c>
      <c r="K31" s="35" t="s">
        <v>113</v>
      </c>
      <c r="L31" s="30" t="s">
        <v>100</v>
      </c>
      <c r="M31" s="6" t="s">
        <v>428</v>
      </c>
      <c r="N31" s="31" t="b">
        <f aca="false">FALSE()</f>
        <v>0</v>
      </c>
      <c r="O31" s="32"/>
      <c r="P31" s="33"/>
      <c r="Q31" s="34"/>
    </row>
    <row r="32" customFormat="false" ht="23.85" hidden="false" customHeight="false" outlineLevel="0" collapsed="false">
      <c r="A32" s="35" t="n">
        <v>29</v>
      </c>
      <c r="B32" s="35" t="s">
        <v>76</v>
      </c>
      <c r="C32" s="35" t="s">
        <v>94</v>
      </c>
      <c r="D32" s="35" t="s">
        <v>287</v>
      </c>
      <c r="E32" s="6" t="s">
        <v>429</v>
      </c>
      <c r="F32" s="6" t="s">
        <v>414</v>
      </c>
      <c r="G32" s="35" t="s">
        <v>415</v>
      </c>
      <c r="H32" s="35" t="n">
        <v>6</v>
      </c>
      <c r="I32" s="35" t="n">
        <v>86</v>
      </c>
      <c r="J32" s="29" t="s">
        <v>29</v>
      </c>
      <c r="K32" s="35" t="s">
        <v>99</v>
      </c>
      <c r="L32" s="39" t="s">
        <v>207</v>
      </c>
      <c r="M32" s="6" t="s">
        <v>101</v>
      </c>
      <c r="N32" s="31" t="b">
        <f aca="false">FALSE()</f>
        <v>0</v>
      </c>
      <c r="O32" s="32"/>
      <c r="P32" s="33"/>
      <c r="Q32" s="34"/>
    </row>
    <row r="33" customFormat="false" ht="35.05" hidden="false" customHeight="false" outlineLevel="0" collapsed="false">
      <c r="A33" s="27" t="n">
        <v>30</v>
      </c>
      <c r="B33" s="27" t="s">
        <v>64</v>
      </c>
      <c r="C33" s="27" t="s">
        <v>102</v>
      </c>
      <c r="D33" s="27" t="s">
        <v>129</v>
      </c>
      <c r="E33" s="28" t="s">
        <v>430</v>
      </c>
      <c r="F33" s="28" t="s">
        <v>431</v>
      </c>
      <c r="G33" s="27" t="s">
        <v>432</v>
      </c>
      <c r="H33" s="27" t="n">
        <v>10</v>
      </c>
      <c r="I33" s="27" t="n">
        <v>3</v>
      </c>
      <c r="J33" s="36" t="s">
        <v>25</v>
      </c>
      <c r="K33" s="27" t="s">
        <v>99</v>
      </c>
      <c r="L33" s="39" t="s">
        <v>207</v>
      </c>
      <c r="M33" s="28" t="s">
        <v>433</v>
      </c>
      <c r="N33" s="31" t="b">
        <f aca="false">FALSE()</f>
        <v>0</v>
      </c>
      <c r="O33" s="32"/>
      <c r="P33" s="33"/>
      <c r="Q33" s="34"/>
    </row>
    <row r="34" customFormat="false" ht="23.85" hidden="false" customHeight="false" outlineLevel="0" collapsed="false">
      <c r="A34" s="27" t="n">
        <v>31</v>
      </c>
      <c r="B34" s="27" t="s">
        <v>70</v>
      </c>
      <c r="C34" s="27" t="s">
        <v>94</v>
      </c>
      <c r="D34" s="27" t="s">
        <v>95</v>
      </c>
      <c r="E34" s="28" t="s">
        <v>434</v>
      </c>
      <c r="F34" s="28" t="s">
        <v>431</v>
      </c>
      <c r="G34" s="27" t="s">
        <v>432</v>
      </c>
      <c r="H34" s="27" t="n">
        <v>15</v>
      </c>
      <c r="I34" s="27" t="n">
        <v>51</v>
      </c>
      <c r="J34" s="37" t="s">
        <v>27</v>
      </c>
      <c r="K34" s="27" t="s">
        <v>99</v>
      </c>
      <c r="L34" s="39" t="s">
        <v>207</v>
      </c>
      <c r="M34" s="28" t="s">
        <v>435</v>
      </c>
      <c r="N34" s="31" t="b">
        <f aca="false">FALSE()</f>
        <v>0</v>
      </c>
      <c r="O34" s="32"/>
      <c r="P34" s="33"/>
      <c r="Q34" s="34"/>
    </row>
    <row r="35" customFormat="false" ht="23.85" hidden="false" customHeight="false" outlineLevel="0" collapsed="false">
      <c r="A35" s="27" t="n">
        <v>32</v>
      </c>
      <c r="B35" s="27" t="s">
        <v>72</v>
      </c>
      <c r="C35" s="27" t="s">
        <v>94</v>
      </c>
      <c r="D35" s="27" t="s">
        <v>95</v>
      </c>
      <c r="E35" s="28" t="s">
        <v>436</v>
      </c>
      <c r="F35" s="28" t="s">
        <v>431</v>
      </c>
      <c r="G35" s="27" t="s">
        <v>432</v>
      </c>
      <c r="H35" s="27" t="n">
        <v>10</v>
      </c>
      <c r="I35" s="27" t="n">
        <v>64</v>
      </c>
      <c r="J35" s="37" t="s">
        <v>27</v>
      </c>
      <c r="K35" s="27" t="s">
        <v>99</v>
      </c>
      <c r="L35" s="39" t="s">
        <v>207</v>
      </c>
      <c r="M35" s="28" t="s">
        <v>437</v>
      </c>
      <c r="N35" s="31" t="b">
        <f aca="false">FALSE()</f>
        <v>0</v>
      </c>
      <c r="O35" s="32"/>
      <c r="P35" s="33"/>
      <c r="Q35" s="34"/>
    </row>
    <row r="36" customFormat="false" ht="23.85" hidden="false" customHeight="false" outlineLevel="0" collapsed="false">
      <c r="A36" s="27" t="n">
        <v>33</v>
      </c>
      <c r="B36" s="27" t="s">
        <v>75</v>
      </c>
      <c r="C36" s="27" t="s">
        <v>94</v>
      </c>
      <c r="D36" s="27" t="s">
        <v>397</v>
      </c>
      <c r="E36" s="28" t="s">
        <v>438</v>
      </c>
      <c r="F36" s="28" t="s">
        <v>431</v>
      </c>
      <c r="G36" s="27" t="s">
        <v>432</v>
      </c>
      <c r="H36" s="27" t="n">
        <v>6</v>
      </c>
      <c r="I36" s="27" t="n">
        <v>80</v>
      </c>
      <c r="J36" s="37" t="s">
        <v>27</v>
      </c>
      <c r="K36" s="27" t="s">
        <v>99</v>
      </c>
      <c r="L36" s="39" t="s">
        <v>207</v>
      </c>
      <c r="M36" s="28" t="s">
        <v>439</v>
      </c>
      <c r="N36" s="31" t="b">
        <f aca="false">FALSE()</f>
        <v>0</v>
      </c>
      <c r="O36" s="32"/>
      <c r="P36" s="33"/>
      <c r="Q36" s="34"/>
    </row>
    <row r="37" customFormat="false" ht="23.85" hidden="false" customHeight="false" outlineLevel="0" collapsed="false">
      <c r="A37" s="27" t="n">
        <v>34</v>
      </c>
      <c r="B37" s="27" t="s">
        <v>75</v>
      </c>
      <c r="C37" s="27" t="s">
        <v>94</v>
      </c>
      <c r="D37" s="27" t="s">
        <v>376</v>
      </c>
      <c r="E37" s="28" t="s">
        <v>440</v>
      </c>
      <c r="F37" s="28" t="s">
        <v>431</v>
      </c>
      <c r="G37" s="27" t="s">
        <v>432</v>
      </c>
      <c r="H37" s="27" t="n">
        <v>13</v>
      </c>
      <c r="I37" s="27" t="n">
        <v>80</v>
      </c>
      <c r="J37" s="29" t="s">
        <v>29</v>
      </c>
      <c r="K37" s="27" t="s">
        <v>154</v>
      </c>
      <c r="L37" s="39" t="s">
        <v>207</v>
      </c>
      <c r="M37" s="28" t="s">
        <v>101</v>
      </c>
      <c r="N37" s="31" t="b">
        <f aca="false">FALSE()</f>
        <v>0</v>
      </c>
      <c r="O37" s="32"/>
      <c r="P37" s="33"/>
      <c r="Q37" s="34"/>
    </row>
    <row r="38" customFormat="false" ht="23.85" hidden="false" customHeight="false" outlineLevel="0" collapsed="false">
      <c r="A38" s="27" t="n">
        <v>35</v>
      </c>
      <c r="B38" s="27" t="s">
        <v>76</v>
      </c>
      <c r="C38" s="27" t="s">
        <v>94</v>
      </c>
      <c r="D38" s="27" t="s">
        <v>441</v>
      </c>
      <c r="E38" s="28" t="s">
        <v>442</v>
      </c>
      <c r="F38" s="28" t="s">
        <v>431</v>
      </c>
      <c r="G38" s="27" t="s">
        <v>432</v>
      </c>
      <c r="H38" s="27" t="n">
        <v>5</v>
      </c>
      <c r="I38" s="27" t="n">
        <v>86</v>
      </c>
      <c r="J38" s="29" t="s">
        <v>29</v>
      </c>
      <c r="K38" s="27" t="s">
        <v>99</v>
      </c>
      <c r="L38" s="39" t="s">
        <v>207</v>
      </c>
      <c r="M38" s="28" t="s">
        <v>101</v>
      </c>
      <c r="N38" s="31" t="b">
        <f aca="false">FALSE()</f>
        <v>0</v>
      </c>
      <c r="O38" s="32"/>
      <c r="P38" s="33"/>
      <c r="Q38" s="34"/>
    </row>
    <row r="39" customFormat="false" ht="46.25" hidden="false" customHeight="false" outlineLevel="0" collapsed="false">
      <c r="A39" s="35" t="n">
        <v>36</v>
      </c>
      <c r="B39" s="35" t="s">
        <v>64</v>
      </c>
      <c r="C39" s="35" t="s">
        <v>102</v>
      </c>
      <c r="D39" s="35" t="s">
        <v>115</v>
      </c>
      <c r="E39" s="6" t="s">
        <v>443</v>
      </c>
      <c r="F39" s="6" t="s">
        <v>444</v>
      </c>
      <c r="G39" s="35" t="s">
        <v>445</v>
      </c>
      <c r="H39" s="35" t="n">
        <v>10</v>
      </c>
      <c r="I39" s="35" t="n">
        <v>2</v>
      </c>
      <c r="J39" s="36" t="s">
        <v>25</v>
      </c>
      <c r="K39" s="35" t="s">
        <v>154</v>
      </c>
      <c r="L39" s="39" t="s">
        <v>207</v>
      </c>
      <c r="M39" s="6" t="s">
        <v>446</v>
      </c>
      <c r="N39" s="31" t="b">
        <f aca="false">FALSE()</f>
        <v>0</v>
      </c>
      <c r="O39" s="32"/>
      <c r="P39" s="33"/>
      <c r="Q39" s="34"/>
    </row>
    <row r="40" customFormat="false" ht="23.85" hidden="false" customHeight="false" outlineLevel="0" collapsed="false">
      <c r="A40" s="35" t="n">
        <v>37</v>
      </c>
      <c r="B40" s="35" t="s">
        <v>65</v>
      </c>
      <c r="C40" s="35" t="s">
        <v>102</v>
      </c>
      <c r="D40" s="35" t="s">
        <v>447</v>
      </c>
      <c r="E40" s="6" t="s">
        <v>448</v>
      </c>
      <c r="F40" s="6" t="s">
        <v>444</v>
      </c>
      <c r="G40" s="35" t="s">
        <v>445</v>
      </c>
      <c r="H40" s="35" t="n">
        <v>15</v>
      </c>
      <c r="I40" s="35" t="s">
        <v>449</v>
      </c>
      <c r="J40" s="36" t="s">
        <v>25</v>
      </c>
      <c r="K40" s="35" t="s">
        <v>154</v>
      </c>
      <c r="L40" s="39" t="s">
        <v>207</v>
      </c>
      <c r="M40" s="6" t="s">
        <v>450</v>
      </c>
      <c r="N40" s="31" t="b">
        <f aca="false">FALSE()</f>
        <v>0</v>
      </c>
      <c r="O40" s="32"/>
      <c r="P40" s="33"/>
      <c r="Q40" s="34"/>
    </row>
    <row r="41" customFormat="false" ht="35.05" hidden="false" customHeight="false" outlineLevel="0" collapsed="false">
      <c r="A41" s="35" t="n">
        <v>38</v>
      </c>
      <c r="B41" s="35" t="s">
        <v>65</v>
      </c>
      <c r="C41" s="35" t="s">
        <v>94</v>
      </c>
      <c r="D41" s="35" t="s">
        <v>178</v>
      </c>
      <c r="E41" s="6" t="s">
        <v>451</v>
      </c>
      <c r="F41" s="6" t="s">
        <v>444</v>
      </c>
      <c r="G41" s="35" t="s">
        <v>445</v>
      </c>
      <c r="H41" s="35" t="n">
        <v>25</v>
      </c>
      <c r="I41" s="35" t="n">
        <v>17</v>
      </c>
      <c r="J41" s="36" t="s">
        <v>25</v>
      </c>
      <c r="K41" s="35" t="s">
        <v>154</v>
      </c>
      <c r="L41" s="39" t="s">
        <v>207</v>
      </c>
      <c r="M41" s="6" t="s">
        <v>452</v>
      </c>
      <c r="N41" s="31" t="b">
        <f aca="false">FALSE()</f>
        <v>0</v>
      </c>
      <c r="O41" s="32"/>
      <c r="P41" s="33"/>
      <c r="Q41" s="34"/>
    </row>
    <row r="42" customFormat="false" ht="35.05" hidden="false" customHeight="false" outlineLevel="0" collapsed="false">
      <c r="A42" s="35" t="n">
        <v>39</v>
      </c>
      <c r="B42" s="35" t="s">
        <v>66</v>
      </c>
      <c r="C42" s="35" t="s">
        <v>94</v>
      </c>
      <c r="D42" s="35" t="s">
        <v>178</v>
      </c>
      <c r="E42" s="6" t="s">
        <v>453</v>
      </c>
      <c r="F42" s="6" t="s">
        <v>444</v>
      </c>
      <c r="G42" s="35" t="s">
        <v>445</v>
      </c>
      <c r="H42" s="35" t="n">
        <v>10</v>
      </c>
      <c r="I42" s="35" t="n">
        <v>22</v>
      </c>
      <c r="J42" s="36" t="s">
        <v>25</v>
      </c>
      <c r="K42" s="35" t="s">
        <v>154</v>
      </c>
      <c r="L42" s="39" t="s">
        <v>207</v>
      </c>
      <c r="M42" s="6" t="s">
        <v>454</v>
      </c>
      <c r="N42" s="31" t="b">
        <f aca="false">FALSE()</f>
        <v>0</v>
      </c>
      <c r="O42" s="32"/>
      <c r="P42" s="33"/>
      <c r="Q42" s="34"/>
    </row>
    <row r="43" customFormat="false" ht="23.85" hidden="false" customHeight="false" outlineLevel="0" collapsed="false">
      <c r="A43" s="35" t="n">
        <v>40</v>
      </c>
      <c r="B43" s="35" t="s">
        <v>67</v>
      </c>
      <c r="C43" s="35" t="s">
        <v>94</v>
      </c>
      <c r="D43" s="35" t="s">
        <v>302</v>
      </c>
      <c r="E43" s="6" t="s">
        <v>455</v>
      </c>
      <c r="F43" s="6" t="s">
        <v>444</v>
      </c>
      <c r="G43" s="35" t="s">
        <v>445</v>
      </c>
      <c r="H43" s="35" t="n">
        <v>15</v>
      </c>
      <c r="I43" s="35" t="n">
        <v>30</v>
      </c>
      <c r="J43" s="36" t="s">
        <v>25</v>
      </c>
      <c r="K43" s="35" t="s">
        <v>154</v>
      </c>
      <c r="L43" s="39" t="s">
        <v>207</v>
      </c>
      <c r="M43" s="6" t="s">
        <v>101</v>
      </c>
      <c r="N43" s="31" t="b">
        <f aca="false">FALSE()</f>
        <v>0</v>
      </c>
      <c r="O43" s="32"/>
      <c r="P43" s="33"/>
      <c r="Q43" s="34"/>
    </row>
    <row r="44" customFormat="false" ht="23.85" hidden="false" customHeight="false" outlineLevel="0" collapsed="false">
      <c r="A44" s="35" t="n">
        <v>41</v>
      </c>
      <c r="B44" s="35" t="s">
        <v>69</v>
      </c>
      <c r="C44" s="35" t="s">
        <v>94</v>
      </c>
      <c r="D44" s="35" t="s">
        <v>132</v>
      </c>
      <c r="E44" s="6" t="s">
        <v>456</v>
      </c>
      <c r="F44" s="6" t="s">
        <v>444</v>
      </c>
      <c r="G44" s="35" t="s">
        <v>445</v>
      </c>
      <c r="H44" s="35" t="n">
        <v>19</v>
      </c>
      <c r="I44" s="35" t="n">
        <v>43</v>
      </c>
      <c r="J44" s="37" t="s">
        <v>27</v>
      </c>
      <c r="K44" s="35" t="s">
        <v>154</v>
      </c>
      <c r="L44" s="38" t="s">
        <v>124</v>
      </c>
      <c r="M44" s="6" t="s">
        <v>457</v>
      </c>
      <c r="N44" s="31" t="b">
        <f aca="false">FALSE()</f>
        <v>0</v>
      </c>
      <c r="O44" s="32"/>
      <c r="P44" s="33"/>
      <c r="Q44" s="34"/>
    </row>
    <row r="45" customFormat="false" ht="23.85" hidden="false" customHeight="false" outlineLevel="0" collapsed="false">
      <c r="A45" s="35" t="n">
        <v>42</v>
      </c>
      <c r="B45" s="35" t="s">
        <v>70</v>
      </c>
      <c r="C45" s="35" t="s">
        <v>94</v>
      </c>
      <c r="D45" s="35" t="s">
        <v>227</v>
      </c>
      <c r="E45" s="6" t="s">
        <v>458</v>
      </c>
      <c r="F45" s="6" t="s">
        <v>444</v>
      </c>
      <c r="G45" s="35" t="s">
        <v>445</v>
      </c>
      <c r="H45" s="35" t="n">
        <v>5</v>
      </c>
      <c r="I45" s="35" t="n">
        <v>51</v>
      </c>
      <c r="J45" s="37" t="s">
        <v>27</v>
      </c>
      <c r="K45" s="35" t="s">
        <v>154</v>
      </c>
      <c r="L45" s="39" t="s">
        <v>207</v>
      </c>
      <c r="M45" s="6" t="s">
        <v>459</v>
      </c>
      <c r="N45" s="31" t="b">
        <f aca="false">FALSE()</f>
        <v>0</v>
      </c>
      <c r="O45" s="32"/>
      <c r="P45" s="33"/>
      <c r="Q45" s="34"/>
    </row>
    <row r="46" customFormat="false" ht="35.05" hidden="false" customHeight="false" outlineLevel="0" collapsed="false">
      <c r="A46" s="35" t="n">
        <v>43</v>
      </c>
      <c r="B46" s="35" t="s">
        <v>70</v>
      </c>
      <c r="C46" s="35" t="s">
        <v>94</v>
      </c>
      <c r="D46" s="35" t="s">
        <v>132</v>
      </c>
      <c r="E46" s="6" t="s">
        <v>453</v>
      </c>
      <c r="F46" s="6" t="s">
        <v>444</v>
      </c>
      <c r="G46" s="35" t="s">
        <v>445</v>
      </c>
      <c r="H46" s="35" t="n">
        <v>10</v>
      </c>
      <c r="I46" s="35" t="n">
        <v>51</v>
      </c>
      <c r="J46" s="37" t="s">
        <v>27</v>
      </c>
      <c r="K46" s="35" t="s">
        <v>154</v>
      </c>
      <c r="L46" s="39" t="s">
        <v>207</v>
      </c>
      <c r="M46" s="6" t="s">
        <v>460</v>
      </c>
      <c r="N46" s="31" t="b">
        <f aca="false">FALSE()</f>
        <v>0</v>
      </c>
      <c r="O46" s="32"/>
      <c r="P46" s="33"/>
      <c r="Q46" s="34"/>
    </row>
    <row r="47" customFormat="false" ht="23.85" hidden="false" customHeight="false" outlineLevel="0" collapsed="false">
      <c r="A47" s="35" t="n">
        <v>44</v>
      </c>
      <c r="B47" s="35" t="s">
        <v>72</v>
      </c>
      <c r="C47" s="35" t="s">
        <v>94</v>
      </c>
      <c r="D47" s="35" t="s">
        <v>132</v>
      </c>
      <c r="E47" s="6" t="s">
        <v>461</v>
      </c>
      <c r="F47" s="6" t="s">
        <v>444</v>
      </c>
      <c r="G47" s="35" t="s">
        <v>445</v>
      </c>
      <c r="H47" s="35" t="n">
        <v>5</v>
      </c>
      <c r="I47" s="35" t="n">
        <v>65</v>
      </c>
      <c r="J47" s="37" t="s">
        <v>27</v>
      </c>
      <c r="K47" s="35" t="s">
        <v>154</v>
      </c>
      <c r="L47" s="30" t="s">
        <v>100</v>
      </c>
      <c r="M47" s="6" t="s">
        <v>462</v>
      </c>
      <c r="N47" s="31" t="b">
        <f aca="false">FALSE()</f>
        <v>0</v>
      </c>
      <c r="O47" s="32"/>
      <c r="P47" s="33"/>
      <c r="Q47" s="34"/>
    </row>
    <row r="48" customFormat="false" ht="35.05" hidden="false" customHeight="false" outlineLevel="0" collapsed="false">
      <c r="A48" s="35" t="n">
        <v>45</v>
      </c>
      <c r="B48" s="35" t="s">
        <v>72</v>
      </c>
      <c r="C48" s="35" t="s">
        <v>94</v>
      </c>
      <c r="D48" s="35" t="s">
        <v>243</v>
      </c>
      <c r="E48" s="6" t="s">
        <v>463</v>
      </c>
      <c r="F48" s="6" t="s">
        <v>444</v>
      </c>
      <c r="G48" s="35" t="s">
        <v>445</v>
      </c>
      <c r="H48" s="35" t="n">
        <v>5</v>
      </c>
      <c r="I48" s="35" t="n">
        <v>65</v>
      </c>
      <c r="J48" s="37" t="s">
        <v>27</v>
      </c>
      <c r="K48" s="35" t="s">
        <v>154</v>
      </c>
      <c r="L48" s="30" t="s">
        <v>100</v>
      </c>
      <c r="M48" s="6" t="s">
        <v>464</v>
      </c>
      <c r="N48" s="31" t="b">
        <f aca="false">FALSE()</f>
        <v>0</v>
      </c>
      <c r="O48" s="32"/>
      <c r="P48" s="33"/>
      <c r="Q48" s="34"/>
    </row>
    <row r="49" customFormat="false" ht="35.05" hidden="false" customHeight="false" outlineLevel="0" collapsed="false">
      <c r="A49" s="35" t="n">
        <v>46</v>
      </c>
      <c r="B49" s="35" t="s">
        <v>75</v>
      </c>
      <c r="C49" s="35" t="s">
        <v>94</v>
      </c>
      <c r="D49" s="35" t="s">
        <v>175</v>
      </c>
      <c r="E49" s="6" t="s">
        <v>465</v>
      </c>
      <c r="F49" s="6" t="s">
        <v>444</v>
      </c>
      <c r="G49" s="35" t="s">
        <v>445</v>
      </c>
      <c r="H49" s="35" t="n">
        <v>12</v>
      </c>
      <c r="I49" s="35" t="n">
        <v>80</v>
      </c>
      <c r="J49" s="37" t="s">
        <v>27</v>
      </c>
      <c r="K49" s="35" t="s">
        <v>154</v>
      </c>
      <c r="L49" s="30" t="s">
        <v>100</v>
      </c>
      <c r="M49" s="6" t="s">
        <v>466</v>
      </c>
      <c r="N49" s="31" t="b">
        <f aca="false">FALSE()</f>
        <v>0</v>
      </c>
      <c r="O49" s="32"/>
      <c r="P49" s="33"/>
      <c r="Q49" s="34"/>
    </row>
    <row r="50" customFormat="false" ht="23.85" hidden="false" customHeight="false" outlineLevel="0" collapsed="false">
      <c r="A50" s="35" t="n">
        <v>47</v>
      </c>
      <c r="B50" s="35" t="s">
        <v>76</v>
      </c>
      <c r="C50" s="35" t="s">
        <v>94</v>
      </c>
      <c r="D50" s="35" t="s">
        <v>394</v>
      </c>
      <c r="E50" s="6" t="s">
        <v>467</v>
      </c>
      <c r="F50" s="6" t="s">
        <v>444</v>
      </c>
      <c r="G50" s="35" t="s">
        <v>445</v>
      </c>
      <c r="H50" s="35" t="n">
        <v>10</v>
      </c>
      <c r="I50" s="35" t="n">
        <v>86</v>
      </c>
      <c r="J50" s="37" t="s">
        <v>27</v>
      </c>
      <c r="K50" s="35" t="s">
        <v>154</v>
      </c>
      <c r="L50" s="30" t="s">
        <v>100</v>
      </c>
      <c r="M50" s="6" t="s">
        <v>468</v>
      </c>
      <c r="N50" s="31" t="b">
        <f aca="false">FALSE()</f>
        <v>0</v>
      </c>
      <c r="O50" s="32"/>
      <c r="P50" s="33"/>
      <c r="Q50" s="34"/>
    </row>
    <row r="51" customFormat="false" ht="23.85" hidden="false" customHeight="false" outlineLevel="0" collapsed="false">
      <c r="A51" s="35" t="n">
        <v>48</v>
      </c>
      <c r="B51" s="35" t="s">
        <v>76</v>
      </c>
      <c r="C51" s="35" t="s">
        <v>94</v>
      </c>
      <c r="D51" s="35" t="s">
        <v>469</v>
      </c>
      <c r="E51" s="6" t="s">
        <v>470</v>
      </c>
      <c r="F51" s="6" t="s">
        <v>444</v>
      </c>
      <c r="G51" s="35" t="s">
        <v>445</v>
      </c>
      <c r="H51" s="35" t="n">
        <v>4</v>
      </c>
      <c r="I51" s="35" t="n">
        <v>86</v>
      </c>
      <c r="J51" s="29" t="s">
        <v>29</v>
      </c>
      <c r="K51" s="35" t="s">
        <v>99</v>
      </c>
      <c r="L51" s="38" t="s">
        <v>124</v>
      </c>
      <c r="M51" s="6" t="s">
        <v>101</v>
      </c>
      <c r="N51" s="31" t="b">
        <f aca="false">FALSE()</f>
        <v>0</v>
      </c>
      <c r="O51" s="32"/>
      <c r="P51" s="33"/>
      <c r="Q51" s="34"/>
    </row>
    <row r="52" customFormat="false" ht="23.85" hidden="false" customHeight="false" outlineLevel="0" collapsed="false">
      <c r="A52" s="27" t="n">
        <v>49</v>
      </c>
      <c r="B52" s="27" t="s">
        <v>65</v>
      </c>
      <c r="C52" s="27" t="s">
        <v>102</v>
      </c>
      <c r="D52" s="27" t="s">
        <v>471</v>
      </c>
      <c r="E52" s="28" t="s">
        <v>472</v>
      </c>
      <c r="F52" s="28" t="s">
        <v>473</v>
      </c>
      <c r="G52" s="27" t="s">
        <v>474</v>
      </c>
      <c r="H52" s="27" t="n">
        <v>10</v>
      </c>
      <c r="I52" s="27" t="n">
        <v>14</v>
      </c>
      <c r="J52" s="36" t="s">
        <v>25</v>
      </c>
      <c r="K52" s="27" t="s">
        <v>99</v>
      </c>
      <c r="L52" s="39" t="s">
        <v>207</v>
      </c>
      <c r="M52" s="28" t="s">
        <v>101</v>
      </c>
      <c r="N52" s="31" t="b">
        <f aca="false">FALSE()</f>
        <v>0</v>
      </c>
      <c r="O52" s="32"/>
      <c r="P52" s="33"/>
      <c r="Q52" s="34"/>
    </row>
    <row r="53" customFormat="false" ht="35.05" hidden="false" customHeight="false" outlineLevel="0" collapsed="false">
      <c r="A53" s="35" t="n">
        <v>50</v>
      </c>
      <c r="B53" s="35" t="s">
        <v>65</v>
      </c>
      <c r="C53" s="35" t="s">
        <v>102</v>
      </c>
      <c r="D53" s="35" t="s">
        <v>475</v>
      </c>
      <c r="E53" s="6" t="s">
        <v>476</v>
      </c>
      <c r="F53" s="6" t="s">
        <v>477</v>
      </c>
      <c r="G53" s="35" t="s">
        <v>478</v>
      </c>
      <c r="H53" s="35" t="n">
        <v>15</v>
      </c>
      <c r="I53" s="35" t="n">
        <v>12</v>
      </c>
      <c r="J53" s="36" t="s">
        <v>25</v>
      </c>
      <c r="K53" s="35" t="s">
        <v>154</v>
      </c>
      <c r="L53" s="39" t="s">
        <v>207</v>
      </c>
      <c r="M53" s="6" t="s">
        <v>479</v>
      </c>
      <c r="N53" s="31" t="b">
        <f aca="false">FALSE()</f>
        <v>0</v>
      </c>
      <c r="O53" s="32"/>
      <c r="P53" s="33"/>
      <c r="Q53" s="34"/>
    </row>
    <row r="54" customFormat="false" ht="15" hidden="false" customHeight="false" outlineLevel="0" collapsed="false">
      <c r="A54" s="35" t="n">
        <v>51</v>
      </c>
      <c r="B54" s="35" t="s">
        <v>65</v>
      </c>
      <c r="C54" s="35" t="s">
        <v>94</v>
      </c>
      <c r="D54" s="35" t="s">
        <v>95</v>
      </c>
      <c r="E54" s="6" t="s">
        <v>480</v>
      </c>
      <c r="F54" s="6" t="s">
        <v>477</v>
      </c>
      <c r="G54" s="35" t="s">
        <v>478</v>
      </c>
      <c r="H54" s="35" t="n">
        <v>5</v>
      </c>
      <c r="I54" s="35" t="n">
        <v>17</v>
      </c>
      <c r="J54" s="36" t="s">
        <v>25</v>
      </c>
      <c r="K54" s="35" t="s">
        <v>99</v>
      </c>
      <c r="L54" s="39" t="s">
        <v>207</v>
      </c>
      <c r="M54" s="6" t="s">
        <v>101</v>
      </c>
      <c r="N54" s="31" t="b">
        <f aca="false">FALSE()</f>
        <v>0</v>
      </c>
      <c r="O54" s="32"/>
      <c r="P54" s="33"/>
      <c r="Q54" s="34"/>
    </row>
    <row r="55" customFormat="false" ht="23.85" hidden="false" customHeight="false" outlineLevel="0" collapsed="false">
      <c r="A55" s="35" t="n">
        <v>52</v>
      </c>
      <c r="B55" s="35" t="s">
        <v>65</v>
      </c>
      <c r="C55" s="35" t="s">
        <v>94</v>
      </c>
      <c r="D55" s="35" t="s">
        <v>223</v>
      </c>
      <c r="E55" s="6" t="s">
        <v>481</v>
      </c>
      <c r="F55" s="6" t="s">
        <v>477</v>
      </c>
      <c r="G55" s="35" t="s">
        <v>478</v>
      </c>
      <c r="H55" s="35" t="n">
        <v>5</v>
      </c>
      <c r="I55" s="35" t="n">
        <v>17</v>
      </c>
      <c r="J55" s="36" t="s">
        <v>25</v>
      </c>
      <c r="K55" s="35" t="s">
        <v>154</v>
      </c>
      <c r="L55" s="39" t="s">
        <v>207</v>
      </c>
      <c r="M55" s="6" t="s">
        <v>482</v>
      </c>
      <c r="N55" s="31" t="b">
        <f aca="false">FALSE()</f>
        <v>0</v>
      </c>
      <c r="O55" s="32"/>
      <c r="P55" s="33"/>
      <c r="Q55" s="34"/>
    </row>
    <row r="56" customFormat="false" ht="23.85" hidden="false" customHeight="false" outlineLevel="0" collapsed="false">
      <c r="A56" s="35" t="n">
        <v>53</v>
      </c>
      <c r="B56" s="35" t="s">
        <v>66</v>
      </c>
      <c r="C56" s="35" t="s">
        <v>94</v>
      </c>
      <c r="D56" s="35" t="s">
        <v>95</v>
      </c>
      <c r="E56" s="6" t="s">
        <v>483</v>
      </c>
      <c r="F56" s="6" t="s">
        <v>477</v>
      </c>
      <c r="G56" s="35" t="s">
        <v>478</v>
      </c>
      <c r="H56" s="35" t="n">
        <v>10</v>
      </c>
      <c r="I56" s="35" t="n">
        <v>22</v>
      </c>
      <c r="J56" s="36" t="s">
        <v>25</v>
      </c>
      <c r="K56" s="35" t="s">
        <v>99</v>
      </c>
      <c r="L56" s="30" t="s">
        <v>100</v>
      </c>
      <c r="M56" s="6" t="s">
        <v>484</v>
      </c>
      <c r="N56" s="31" t="b">
        <f aca="false">FALSE()</f>
        <v>0</v>
      </c>
      <c r="O56" s="32"/>
      <c r="P56" s="33"/>
      <c r="Q56" s="34"/>
    </row>
    <row r="57" customFormat="false" ht="23.85" hidden="false" customHeight="false" outlineLevel="0" collapsed="false">
      <c r="A57" s="35" t="n">
        <v>54</v>
      </c>
      <c r="B57" s="35" t="s">
        <v>67</v>
      </c>
      <c r="C57" s="35" t="s">
        <v>94</v>
      </c>
      <c r="D57" s="35" t="s">
        <v>345</v>
      </c>
      <c r="E57" s="6" t="s">
        <v>485</v>
      </c>
      <c r="F57" s="6" t="s">
        <v>477</v>
      </c>
      <c r="G57" s="35" t="s">
        <v>478</v>
      </c>
      <c r="H57" s="35" t="n">
        <v>15</v>
      </c>
      <c r="I57" s="35" t="n">
        <v>30</v>
      </c>
      <c r="J57" s="36" t="s">
        <v>25</v>
      </c>
      <c r="K57" s="35" t="s">
        <v>113</v>
      </c>
      <c r="L57" s="39" t="s">
        <v>207</v>
      </c>
      <c r="M57" s="6" t="s">
        <v>101</v>
      </c>
      <c r="N57" s="31" t="b">
        <f aca="false">FALSE()</f>
        <v>0</v>
      </c>
      <c r="O57" s="32"/>
      <c r="P57" s="33"/>
      <c r="Q57" s="34"/>
    </row>
    <row r="58" customFormat="false" ht="23.85" hidden="false" customHeight="false" outlineLevel="0" collapsed="false">
      <c r="A58" s="35" t="n">
        <v>55</v>
      </c>
      <c r="B58" s="35" t="s">
        <v>69</v>
      </c>
      <c r="C58" s="35" t="s">
        <v>94</v>
      </c>
      <c r="D58" s="35" t="s">
        <v>95</v>
      </c>
      <c r="E58" s="6" t="s">
        <v>486</v>
      </c>
      <c r="F58" s="6" t="s">
        <v>477</v>
      </c>
      <c r="G58" s="35" t="s">
        <v>478</v>
      </c>
      <c r="H58" s="35" t="n">
        <v>19</v>
      </c>
      <c r="I58" s="35" t="n">
        <v>43</v>
      </c>
      <c r="J58" s="37" t="s">
        <v>27</v>
      </c>
      <c r="K58" s="35" t="s">
        <v>154</v>
      </c>
      <c r="L58" s="39" t="s">
        <v>207</v>
      </c>
      <c r="M58" s="6" t="s">
        <v>487</v>
      </c>
      <c r="N58" s="31" t="b">
        <f aca="false">FALSE()</f>
        <v>0</v>
      </c>
      <c r="O58" s="32"/>
      <c r="P58" s="33"/>
      <c r="Q58" s="34"/>
    </row>
    <row r="59" customFormat="false" ht="15" hidden="false" customHeight="false" outlineLevel="0" collapsed="false">
      <c r="A59" s="35" t="n">
        <v>56</v>
      </c>
      <c r="B59" s="35" t="s">
        <v>70</v>
      </c>
      <c r="C59" s="35" t="s">
        <v>94</v>
      </c>
      <c r="D59" s="35" t="s">
        <v>223</v>
      </c>
      <c r="E59" s="6" t="s">
        <v>488</v>
      </c>
      <c r="F59" s="6" t="s">
        <v>477</v>
      </c>
      <c r="G59" s="35" t="s">
        <v>478</v>
      </c>
      <c r="H59" s="35" t="n">
        <v>5</v>
      </c>
      <c r="I59" s="35" t="n">
        <v>51</v>
      </c>
      <c r="J59" s="37" t="s">
        <v>27</v>
      </c>
      <c r="K59" s="35" t="s">
        <v>99</v>
      </c>
      <c r="L59" s="30" t="s">
        <v>100</v>
      </c>
      <c r="M59" s="6" t="s">
        <v>489</v>
      </c>
      <c r="N59" s="31" t="b">
        <f aca="false">FALSE()</f>
        <v>0</v>
      </c>
      <c r="O59" s="32"/>
      <c r="P59" s="33"/>
      <c r="Q59" s="34"/>
    </row>
    <row r="60" customFormat="false" ht="15" hidden="false" customHeight="false" outlineLevel="0" collapsed="false">
      <c r="A60" s="35" t="n">
        <v>57</v>
      </c>
      <c r="B60" s="35" t="s">
        <v>72</v>
      </c>
      <c r="C60" s="35" t="s">
        <v>94</v>
      </c>
      <c r="D60" s="35" t="s">
        <v>223</v>
      </c>
      <c r="E60" s="6" t="s">
        <v>488</v>
      </c>
      <c r="F60" s="6" t="s">
        <v>477</v>
      </c>
      <c r="G60" s="35" t="s">
        <v>478</v>
      </c>
      <c r="H60" s="35" t="n">
        <v>5</v>
      </c>
      <c r="I60" s="35" t="n">
        <v>64</v>
      </c>
      <c r="J60" s="37" t="s">
        <v>27</v>
      </c>
      <c r="K60" s="35" t="s">
        <v>99</v>
      </c>
      <c r="L60" s="30" t="s">
        <v>100</v>
      </c>
      <c r="M60" s="6" t="s">
        <v>490</v>
      </c>
      <c r="N60" s="31" t="b">
        <f aca="false">FALSE()</f>
        <v>0</v>
      </c>
      <c r="O60" s="32"/>
      <c r="P60" s="33"/>
      <c r="Q60" s="34"/>
    </row>
    <row r="61" customFormat="false" ht="23.85" hidden="false" customHeight="false" outlineLevel="0" collapsed="false">
      <c r="A61" s="35" t="n">
        <v>58</v>
      </c>
      <c r="B61" s="35" t="s">
        <v>74</v>
      </c>
      <c r="C61" s="35" t="s">
        <v>94</v>
      </c>
      <c r="D61" s="35" t="s">
        <v>138</v>
      </c>
      <c r="E61" s="6" t="s">
        <v>491</v>
      </c>
      <c r="F61" s="6" t="s">
        <v>477</v>
      </c>
      <c r="G61" s="35" t="s">
        <v>478</v>
      </c>
      <c r="H61" s="35" t="n">
        <v>7</v>
      </c>
      <c r="I61" s="35" t="n">
        <v>74</v>
      </c>
      <c r="J61" s="37" t="s">
        <v>27</v>
      </c>
      <c r="K61" s="35" t="s">
        <v>154</v>
      </c>
      <c r="L61" s="39" t="s">
        <v>207</v>
      </c>
      <c r="M61" s="6" t="s">
        <v>492</v>
      </c>
      <c r="N61" s="31" t="b">
        <f aca="false">FALSE()</f>
        <v>0</v>
      </c>
      <c r="O61" s="32"/>
      <c r="P61" s="33"/>
      <c r="Q61" s="34"/>
    </row>
    <row r="62" customFormat="false" ht="23.85" hidden="false" customHeight="false" outlineLevel="0" collapsed="false">
      <c r="A62" s="35" t="n">
        <v>59</v>
      </c>
      <c r="B62" s="35" t="s">
        <v>76</v>
      </c>
      <c r="C62" s="35" t="s">
        <v>94</v>
      </c>
      <c r="D62" s="35" t="s">
        <v>397</v>
      </c>
      <c r="E62" s="6" t="s">
        <v>493</v>
      </c>
      <c r="F62" s="6" t="s">
        <v>477</v>
      </c>
      <c r="G62" s="35" t="s">
        <v>478</v>
      </c>
      <c r="H62" s="35" t="n">
        <v>20</v>
      </c>
      <c r="I62" s="35" t="n">
        <v>86</v>
      </c>
      <c r="J62" s="37" t="s">
        <v>27</v>
      </c>
      <c r="K62" s="35" t="s">
        <v>154</v>
      </c>
      <c r="L62" s="30" t="s">
        <v>100</v>
      </c>
      <c r="M62" s="6" t="s">
        <v>494</v>
      </c>
      <c r="N62" s="31" t="b">
        <f aca="false">FALSE()</f>
        <v>0</v>
      </c>
      <c r="O62" s="32"/>
      <c r="P62" s="33"/>
      <c r="Q62" s="34"/>
    </row>
    <row r="63" customFormat="false" ht="35.05" hidden="false" customHeight="false" outlineLevel="0" collapsed="false">
      <c r="A63" s="27" t="n">
        <v>60</v>
      </c>
      <c r="B63" s="27" t="s">
        <v>64</v>
      </c>
      <c r="C63" s="27" t="s">
        <v>102</v>
      </c>
      <c r="D63" s="27" t="s">
        <v>178</v>
      </c>
      <c r="E63" s="28" t="s">
        <v>495</v>
      </c>
      <c r="F63" s="28" t="s">
        <v>496</v>
      </c>
      <c r="G63" s="27" t="s">
        <v>497</v>
      </c>
      <c r="H63" s="27" t="n">
        <v>10</v>
      </c>
      <c r="I63" s="27" t="n">
        <v>3</v>
      </c>
      <c r="J63" s="36" t="s">
        <v>25</v>
      </c>
      <c r="K63" s="27" t="s">
        <v>136</v>
      </c>
      <c r="L63" s="39" t="s">
        <v>207</v>
      </c>
      <c r="M63" s="28" t="s">
        <v>498</v>
      </c>
      <c r="N63" s="31" t="b">
        <f aca="false">FALSE()</f>
        <v>0</v>
      </c>
      <c r="O63" s="32"/>
      <c r="P63" s="33"/>
      <c r="Q63" s="34"/>
    </row>
    <row r="64" customFormat="false" ht="23.85" hidden="false" customHeight="false" outlineLevel="0" collapsed="false">
      <c r="A64" s="27" t="n">
        <v>61</v>
      </c>
      <c r="B64" s="27" t="s">
        <v>64</v>
      </c>
      <c r="C64" s="27" t="s">
        <v>102</v>
      </c>
      <c r="D64" s="27" t="s">
        <v>95</v>
      </c>
      <c r="E64" s="28" t="s">
        <v>499</v>
      </c>
      <c r="F64" s="28" t="s">
        <v>496</v>
      </c>
      <c r="G64" s="27" t="s">
        <v>497</v>
      </c>
      <c r="H64" s="27" t="n">
        <v>15</v>
      </c>
      <c r="I64" s="27" t="n">
        <v>3</v>
      </c>
      <c r="J64" s="36" t="s">
        <v>25</v>
      </c>
      <c r="K64" s="27" t="s">
        <v>113</v>
      </c>
      <c r="L64" s="39" t="s">
        <v>207</v>
      </c>
      <c r="M64" s="28" t="s">
        <v>101</v>
      </c>
      <c r="N64" s="31" t="b">
        <f aca="false">FALSE()</f>
        <v>0</v>
      </c>
      <c r="O64" s="32"/>
      <c r="P64" s="33"/>
      <c r="Q64" s="34"/>
    </row>
    <row r="65" customFormat="false" ht="23.85" hidden="false" customHeight="false" outlineLevel="0" collapsed="false">
      <c r="A65" s="27" t="n">
        <v>62</v>
      </c>
      <c r="B65" s="27" t="s">
        <v>65</v>
      </c>
      <c r="C65" s="27" t="s">
        <v>102</v>
      </c>
      <c r="D65" s="27" t="s">
        <v>500</v>
      </c>
      <c r="E65" s="28" t="s">
        <v>501</v>
      </c>
      <c r="F65" s="28" t="s">
        <v>496</v>
      </c>
      <c r="G65" s="27" t="s">
        <v>497</v>
      </c>
      <c r="H65" s="27" t="n">
        <v>10</v>
      </c>
      <c r="I65" s="27" t="n">
        <v>13</v>
      </c>
      <c r="J65" s="36" t="s">
        <v>25</v>
      </c>
      <c r="K65" s="27" t="s">
        <v>136</v>
      </c>
      <c r="L65" s="39" t="s">
        <v>207</v>
      </c>
      <c r="M65" s="28" t="s">
        <v>101</v>
      </c>
      <c r="N65" s="31" t="b">
        <f aca="false">FALSE()</f>
        <v>0</v>
      </c>
      <c r="O65" s="32"/>
      <c r="P65" s="33"/>
      <c r="Q65" s="34"/>
    </row>
    <row r="66" customFormat="false" ht="23.85" hidden="false" customHeight="false" outlineLevel="0" collapsed="false">
      <c r="A66" s="27" t="n">
        <v>63</v>
      </c>
      <c r="B66" s="27" t="s">
        <v>65</v>
      </c>
      <c r="C66" s="27" t="s">
        <v>102</v>
      </c>
      <c r="D66" s="27" t="s">
        <v>502</v>
      </c>
      <c r="E66" s="28" t="s">
        <v>503</v>
      </c>
      <c r="F66" s="28" t="s">
        <v>496</v>
      </c>
      <c r="G66" s="27" t="s">
        <v>497</v>
      </c>
      <c r="H66" s="27" t="n">
        <v>10</v>
      </c>
      <c r="I66" s="27" t="n">
        <v>13</v>
      </c>
      <c r="J66" s="36" t="s">
        <v>25</v>
      </c>
      <c r="K66" s="27" t="s">
        <v>99</v>
      </c>
      <c r="L66" s="39" t="s">
        <v>207</v>
      </c>
      <c r="M66" s="28" t="s">
        <v>504</v>
      </c>
      <c r="N66" s="31" t="b">
        <f aca="false">FALSE()</f>
        <v>0</v>
      </c>
      <c r="O66" s="32"/>
      <c r="P66" s="33"/>
      <c r="Q66" s="34"/>
    </row>
    <row r="67" customFormat="false" ht="23.85" hidden="false" customHeight="false" outlineLevel="0" collapsed="false">
      <c r="A67" s="27" t="n">
        <v>64</v>
      </c>
      <c r="B67" s="27" t="s">
        <v>66</v>
      </c>
      <c r="C67" s="27" t="s">
        <v>94</v>
      </c>
      <c r="D67" s="27" t="s">
        <v>223</v>
      </c>
      <c r="E67" s="28" t="s">
        <v>505</v>
      </c>
      <c r="F67" s="28" t="s">
        <v>496</v>
      </c>
      <c r="G67" s="27" t="s">
        <v>497</v>
      </c>
      <c r="H67" s="27" t="n">
        <v>10</v>
      </c>
      <c r="I67" s="27" t="n">
        <v>22</v>
      </c>
      <c r="J67" s="36" t="s">
        <v>25</v>
      </c>
      <c r="K67" s="27" t="s">
        <v>99</v>
      </c>
      <c r="L67" s="39" t="s">
        <v>207</v>
      </c>
      <c r="M67" s="28" t="s">
        <v>101</v>
      </c>
      <c r="N67" s="31" t="b">
        <f aca="false">FALSE()</f>
        <v>0</v>
      </c>
      <c r="O67" s="32"/>
      <c r="P67" s="33"/>
      <c r="Q67" s="34"/>
    </row>
    <row r="68" customFormat="false" ht="23.85" hidden="false" customHeight="false" outlineLevel="0" collapsed="false">
      <c r="A68" s="27" t="n">
        <v>65</v>
      </c>
      <c r="B68" s="27" t="s">
        <v>68</v>
      </c>
      <c r="C68" s="27" t="s">
        <v>94</v>
      </c>
      <c r="D68" s="27" t="s">
        <v>408</v>
      </c>
      <c r="E68" s="28" t="s">
        <v>506</v>
      </c>
      <c r="F68" s="28" t="s">
        <v>496</v>
      </c>
      <c r="G68" s="27" t="s">
        <v>497</v>
      </c>
      <c r="H68" s="27" t="n">
        <v>5</v>
      </c>
      <c r="I68" s="27" t="n">
        <v>40</v>
      </c>
      <c r="J68" s="36" t="s">
        <v>25</v>
      </c>
      <c r="K68" s="27" t="s">
        <v>99</v>
      </c>
      <c r="L68" s="39" t="s">
        <v>207</v>
      </c>
      <c r="M68" s="28" t="s">
        <v>507</v>
      </c>
      <c r="N68" s="31" t="b">
        <f aca="false">FALSE()</f>
        <v>0</v>
      </c>
      <c r="O68" s="32"/>
      <c r="P68" s="33"/>
      <c r="Q68" s="34"/>
    </row>
    <row r="69" customFormat="false" ht="23.85" hidden="false" customHeight="false" outlineLevel="0" collapsed="false">
      <c r="A69" s="27" t="n">
        <v>66</v>
      </c>
      <c r="B69" s="27" t="s">
        <v>68</v>
      </c>
      <c r="C69" s="27" t="s">
        <v>94</v>
      </c>
      <c r="D69" s="27" t="s">
        <v>175</v>
      </c>
      <c r="E69" s="28" t="s">
        <v>508</v>
      </c>
      <c r="F69" s="28" t="s">
        <v>496</v>
      </c>
      <c r="G69" s="27" t="s">
        <v>497</v>
      </c>
      <c r="H69" s="27" t="n">
        <v>10</v>
      </c>
      <c r="I69" s="27" t="n">
        <v>40</v>
      </c>
      <c r="J69" s="36" t="s">
        <v>25</v>
      </c>
      <c r="K69" s="27" t="s">
        <v>99</v>
      </c>
      <c r="L69" s="39" t="s">
        <v>207</v>
      </c>
      <c r="M69" s="28" t="s">
        <v>509</v>
      </c>
      <c r="N69" s="31" t="b">
        <f aca="false">FALSE()</f>
        <v>0</v>
      </c>
      <c r="O69" s="32"/>
      <c r="P69" s="33"/>
      <c r="Q69" s="34"/>
    </row>
    <row r="70" customFormat="false" ht="23.85" hidden="false" customHeight="false" outlineLevel="0" collapsed="false">
      <c r="A70" s="27" t="n">
        <v>67</v>
      </c>
      <c r="B70" s="27" t="s">
        <v>69</v>
      </c>
      <c r="C70" s="27" t="s">
        <v>94</v>
      </c>
      <c r="D70" s="27" t="s">
        <v>178</v>
      </c>
      <c r="E70" s="28" t="s">
        <v>510</v>
      </c>
      <c r="F70" s="28" t="s">
        <v>496</v>
      </c>
      <c r="G70" s="27" t="s">
        <v>497</v>
      </c>
      <c r="H70" s="27" t="n">
        <v>8</v>
      </c>
      <c r="I70" s="27" t="n">
        <v>43</v>
      </c>
      <c r="J70" s="37" t="s">
        <v>27</v>
      </c>
      <c r="K70" s="27" t="s">
        <v>136</v>
      </c>
      <c r="L70" s="39" t="s">
        <v>207</v>
      </c>
      <c r="M70" s="28" t="s">
        <v>511</v>
      </c>
      <c r="N70" s="31" t="b">
        <f aca="false">FALSE()</f>
        <v>0</v>
      </c>
      <c r="O70" s="32"/>
      <c r="P70" s="33"/>
      <c r="Q70" s="34"/>
    </row>
    <row r="71" customFormat="false" ht="23.85" hidden="false" customHeight="false" outlineLevel="0" collapsed="false">
      <c r="A71" s="27" t="n">
        <v>68</v>
      </c>
      <c r="B71" s="27" t="s">
        <v>69</v>
      </c>
      <c r="C71" s="27" t="s">
        <v>94</v>
      </c>
      <c r="D71" s="27" t="s">
        <v>223</v>
      </c>
      <c r="E71" s="28" t="s">
        <v>512</v>
      </c>
      <c r="F71" s="28" t="s">
        <v>496</v>
      </c>
      <c r="G71" s="27" t="s">
        <v>497</v>
      </c>
      <c r="H71" s="27" t="n">
        <v>8</v>
      </c>
      <c r="I71" s="27" t="n">
        <v>43</v>
      </c>
      <c r="J71" s="29" t="s">
        <v>29</v>
      </c>
      <c r="K71" s="27" t="s">
        <v>99</v>
      </c>
      <c r="L71" s="39" t="s">
        <v>207</v>
      </c>
      <c r="M71" s="28" t="s">
        <v>101</v>
      </c>
      <c r="N71" s="31" t="b">
        <f aca="false">FALSE()</f>
        <v>0</v>
      </c>
      <c r="O71" s="32"/>
      <c r="P71" s="33"/>
      <c r="Q71" s="34"/>
    </row>
    <row r="72" customFormat="false" ht="23.85" hidden="false" customHeight="false" outlineLevel="0" collapsed="false">
      <c r="A72" s="27" t="n">
        <v>69</v>
      </c>
      <c r="B72" s="27" t="s">
        <v>70</v>
      </c>
      <c r="C72" s="27" t="s">
        <v>94</v>
      </c>
      <c r="D72" s="27" t="s">
        <v>240</v>
      </c>
      <c r="E72" s="28" t="s">
        <v>513</v>
      </c>
      <c r="F72" s="28" t="s">
        <v>496</v>
      </c>
      <c r="G72" s="27" t="s">
        <v>497</v>
      </c>
      <c r="H72" s="27" t="n">
        <v>5</v>
      </c>
      <c r="I72" s="27" t="n">
        <v>51</v>
      </c>
      <c r="J72" s="37" t="s">
        <v>27</v>
      </c>
      <c r="K72" s="27" t="s">
        <v>99</v>
      </c>
      <c r="L72" s="39" t="s">
        <v>207</v>
      </c>
      <c r="M72" s="28" t="s">
        <v>514</v>
      </c>
      <c r="N72" s="31" t="b">
        <f aca="false">FALSE()</f>
        <v>0</v>
      </c>
      <c r="O72" s="32"/>
      <c r="P72" s="33"/>
      <c r="Q72" s="34"/>
    </row>
    <row r="73" customFormat="false" ht="23.85" hidden="false" customHeight="false" outlineLevel="0" collapsed="false">
      <c r="A73" s="27" t="n">
        <v>70</v>
      </c>
      <c r="B73" s="27" t="s">
        <v>70</v>
      </c>
      <c r="C73" s="27" t="s">
        <v>94</v>
      </c>
      <c r="D73" s="27" t="s">
        <v>243</v>
      </c>
      <c r="E73" s="28" t="s">
        <v>515</v>
      </c>
      <c r="F73" s="28" t="s">
        <v>496</v>
      </c>
      <c r="G73" s="27" t="s">
        <v>497</v>
      </c>
      <c r="H73" s="27" t="n">
        <v>5</v>
      </c>
      <c r="I73" s="27" t="n">
        <v>51</v>
      </c>
      <c r="J73" s="37" t="s">
        <v>27</v>
      </c>
      <c r="K73" s="27" t="s">
        <v>136</v>
      </c>
      <c r="L73" s="39" t="s">
        <v>207</v>
      </c>
      <c r="M73" s="28" t="s">
        <v>516</v>
      </c>
      <c r="N73" s="31" t="b">
        <f aca="false">FALSE()</f>
        <v>0</v>
      </c>
      <c r="O73" s="32"/>
      <c r="P73" s="33"/>
      <c r="Q73" s="34"/>
    </row>
    <row r="74" customFormat="false" ht="23.85" hidden="false" customHeight="false" outlineLevel="0" collapsed="false">
      <c r="A74" s="27" t="n">
        <v>71</v>
      </c>
      <c r="B74" s="27" t="s">
        <v>72</v>
      </c>
      <c r="C74" s="27" t="s">
        <v>94</v>
      </c>
      <c r="D74" s="27" t="s">
        <v>227</v>
      </c>
      <c r="E74" s="28" t="s">
        <v>517</v>
      </c>
      <c r="F74" s="28" t="s">
        <v>496</v>
      </c>
      <c r="G74" s="27" t="s">
        <v>497</v>
      </c>
      <c r="H74" s="27" t="n">
        <v>10</v>
      </c>
      <c r="I74" s="27" t="n">
        <v>64</v>
      </c>
      <c r="J74" s="37" t="s">
        <v>27</v>
      </c>
      <c r="K74" s="27" t="s">
        <v>136</v>
      </c>
      <c r="L74" s="39" t="s">
        <v>207</v>
      </c>
      <c r="M74" s="28" t="s">
        <v>518</v>
      </c>
      <c r="N74" s="31" t="b">
        <f aca="false">FALSE()</f>
        <v>0</v>
      </c>
      <c r="O74" s="32"/>
      <c r="P74" s="33"/>
      <c r="Q74" s="34"/>
    </row>
    <row r="75" customFormat="false" ht="23.85" hidden="false" customHeight="false" outlineLevel="0" collapsed="false">
      <c r="A75" s="27" t="n">
        <v>72</v>
      </c>
      <c r="B75" s="27" t="s">
        <v>74</v>
      </c>
      <c r="C75" s="27" t="s">
        <v>94</v>
      </c>
      <c r="D75" s="27" t="s">
        <v>319</v>
      </c>
      <c r="E75" s="28" t="s">
        <v>519</v>
      </c>
      <c r="F75" s="28" t="s">
        <v>496</v>
      </c>
      <c r="G75" s="27" t="s">
        <v>497</v>
      </c>
      <c r="H75" s="27" t="n">
        <v>5</v>
      </c>
      <c r="I75" s="27" t="n">
        <v>74</v>
      </c>
      <c r="J75" s="37" t="s">
        <v>27</v>
      </c>
      <c r="K75" s="27" t="s">
        <v>99</v>
      </c>
      <c r="L75" s="39" t="s">
        <v>207</v>
      </c>
      <c r="M75" s="28" t="s">
        <v>520</v>
      </c>
      <c r="N75" s="31" t="b">
        <f aca="false">FALSE()</f>
        <v>0</v>
      </c>
      <c r="O75" s="32"/>
      <c r="P75" s="33"/>
      <c r="Q75" s="34"/>
    </row>
    <row r="76" customFormat="false" ht="23.85" hidden="false" customHeight="false" outlineLevel="0" collapsed="false">
      <c r="A76" s="27" t="n">
        <v>73</v>
      </c>
      <c r="B76" s="27" t="s">
        <v>74</v>
      </c>
      <c r="C76" s="27" t="s">
        <v>94</v>
      </c>
      <c r="D76" s="27" t="s">
        <v>118</v>
      </c>
      <c r="E76" s="28" t="s">
        <v>521</v>
      </c>
      <c r="F76" s="28" t="s">
        <v>496</v>
      </c>
      <c r="G76" s="27" t="s">
        <v>497</v>
      </c>
      <c r="H76" s="27" t="n">
        <v>10</v>
      </c>
      <c r="I76" s="27" t="n">
        <v>74</v>
      </c>
      <c r="J76" s="37" t="s">
        <v>27</v>
      </c>
      <c r="K76" s="27" t="s">
        <v>99</v>
      </c>
      <c r="L76" s="39" t="s">
        <v>207</v>
      </c>
      <c r="M76" s="28" t="s">
        <v>522</v>
      </c>
      <c r="N76" s="31" t="b">
        <f aca="false">FALSE()</f>
        <v>0</v>
      </c>
      <c r="O76" s="32"/>
      <c r="P76" s="33"/>
      <c r="Q76" s="34"/>
    </row>
    <row r="77" customFormat="false" ht="23.85" hidden="false" customHeight="false" outlineLevel="0" collapsed="false">
      <c r="A77" s="27" t="n">
        <v>74</v>
      </c>
      <c r="B77" s="27" t="s">
        <v>75</v>
      </c>
      <c r="C77" s="27" t="s">
        <v>94</v>
      </c>
      <c r="D77" s="27" t="s">
        <v>441</v>
      </c>
      <c r="E77" s="28" t="s">
        <v>523</v>
      </c>
      <c r="F77" s="28" t="s">
        <v>496</v>
      </c>
      <c r="G77" s="27" t="s">
        <v>497</v>
      </c>
      <c r="H77" s="27" t="n">
        <v>7</v>
      </c>
      <c r="I77" s="27" t="n">
        <v>80</v>
      </c>
      <c r="J77" s="37" t="s">
        <v>27</v>
      </c>
      <c r="K77" s="27" t="s">
        <v>99</v>
      </c>
      <c r="L77" s="39" t="s">
        <v>207</v>
      </c>
      <c r="M77" s="28" t="s">
        <v>524</v>
      </c>
      <c r="N77" s="31" t="b">
        <f aca="false">FALSE()</f>
        <v>0</v>
      </c>
      <c r="O77" s="32"/>
      <c r="P77" s="33"/>
      <c r="Q77" s="34"/>
    </row>
    <row r="78" customFormat="false" ht="23.85" hidden="false" customHeight="false" outlineLevel="0" collapsed="false">
      <c r="A78" s="27" t="n">
        <v>75</v>
      </c>
      <c r="B78" s="27" t="s">
        <v>75</v>
      </c>
      <c r="C78" s="27" t="s">
        <v>94</v>
      </c>
      <c r="D78" s="27" t="s">
        <v>394</v>
      </c>
      <c r="E78" s="28" t="s">
        <v>525</v>
      </c>
      <c r="F78" s="28" t="s">
        <v>496</v>
      </c>
      <c r="G78" s="27" t="s">
        <v>497</v>
      </c>
      <c r="H78" s="27" t="n">
        <v>6</v>
      </c>
      <c r="I78" s="27" t="n">
        <v>80</v>
      </c>
      <c r="J78" s="37" t="s">
        <v>27</v>
      </c>
      <c r="K78" s="27" t="s">
        <v>99</v>
      </c>
      <c r="L78" s="38" t="s">
        <v>124</v>
      </c>
      <c r="M78" s="28" t="s">
        <v>526</v>
      </c>
      <c r="N78" s="31" t="b">
        <f aca="false">FALSE()</f>
        <v>0</v>
      </c>
      <c r="O78" s="32"/>
      <c r="P78" s="33"/>
      <c r="Q78" s="34"/>
    </row>
    <row r="79" customFormat="false" ht="35.05" hidden="false" customHeight="false" outlineLevel="0" collapsed="false">
      <c r="A79" s="35" t="n">
        <v>76</v>
      </c>
      <c r="B79" s="35" t="s">
        <v>64</v>
      </c>
      <c r="C79" s="35" t="s">
        <v>102</v>
      </c>
      <c r="D79" s="35" t="s">
        <v>223</v>
      </c>
      <c r="E79" s="6" t="s">
        <v>527</v>
      </c>
      <c r="F79" s="6" t="s">
        <v>528</v>
      </c>
      <c r="G79" s="35" t="s">
        <v>529</v>
      </c>
      <c r="H79" s="35" t="n">
        <v>10</v>
      </c>
      <c r="I79" s="35" t="n">
        <v>4</v>
      </c>
      <c r="J79" s="36" t="s">
        <v>25</v>
      </c>
      <c r="K79" s="35" t="s">
        <v>99</v>
      </c>
      <c r="L79" s="39" t="s">
        <v>207</v>
      </c>
      <c r="M79" s="6" t="s">
        <v>530</v>
      </c>
      <c r="N79" s="31" t="b">
        <f aca="false">FALSE()</f>
        <v>0</v>
      </c>
      <c r="O79" s="32"/>
      <c r="P79" s="33"/>
      <c r="Q79" s="34"/>
    </row>
    <row r="80" customFormat="false" ht="23.85" hidden="false" customHeight="false" outlineLevel="0" collapsed="false">
      <c r="A80" s="35" t="n">
        <v>77</v>
      </c>
      <c r="B80" s="35" t="s">
        <v>66</v>
      </c>
      <c r="C80" s="35" t="s">
        <v>94</v>
      </c>
      <c r="D80" s="35" t="s">
        <v>227</v>
      </c>
      <c r="E80" s="6" t="s">
        <v>531</v>
      </c>
      <c r="F80" s="6" t="s">
        <v>528</v>
      </c>
      <c r="G80" s="35" t="s">
        <v>529</v>
      </c>
      <c r="H80" s="35" t="n">
        <v>5</v>
      </c>
      <c r="I80" s="35" t="n">
        <v>22</v>
      </c>
      <c r="J80" s="36" t="s">
        <v>25</v>
      </c>
      <c r="K80" s="35" t="s">
        <v>99</v>
      </c>
      <c r="L80" s="39" t="s">
        <v>207</v>
      </c>
      <c r="M80" s="6" t="s">
        <v>532</v>
      </c>
      <c r="N80" s="31" t="b">
        <f aca="false">FALSE()</f>
        <v>0</v>
      </c>
      <c r="O80" s="32"/>
      <c r="P80" s="33"/>
      <c r="Q80" s="34"/>
    </row>
    <row r="81" customFormat="false" ht="23.85" hidden="false" customHeight="false" outlineLevel="0" collapsed="false">
      <c r="A81" s="35" t="n">
        <v>78</v>
      </c>
      <c r="B81" s="35" t="s">
        <v>72</v>
      </c>
      <c r="C81" s="35" t="s">
        <v>94</v>
      </c>
      <c r="D81" s="35" t="s">
        <v>108</v>
      </c>
      <c r="E81" s="6" t="s">
        <v>533</v>
      </c>
      <c r="F81" s="6" t="s">
        <v>528</v>
      </c>
      <c r="G81" s="35" t="s">
        <v>529</v>
      </c>
      <c r="H81" s="35" t="n">
        <v>10</v>
      </c>
      <c r="I81" s="35" t="n">
        <v>67</v>
      </c>
      <c r="J81" s="37" t="s">
        <v>27</v>
      </c>
      <c r="K81" s="35" t="s">
        <v>99</v>
      </c>
      <c r="L81" s="39" t="s">
        <v>207</v>
      </c>
      <c r="M81" s="6" t="s">
        <v>534</v>
      </c>
      <c r="N81" s="31" t="b">
        <f aca="false">FALSE()</f>
        <v>0</v>
      </c>
      <c r="O81" s="32"/>
      <c r="P81" s="33"/>
      <c r="Q81" s="34"/>
    </row>
    <row r="82" customFormat="false" ht="23.85" hidden="false" customHeight="false" outlineLevel="0" collapsed="false">
      <c r="A82" s="35" t="n">
        <v>79</v>
      </c>
      <c r="B82" s="35" t="s">
        <v>74</v>
      </c>
      <c r="C82" s="35" t="s">
        <v>94</v>
      </c>
      <c r="D82" s="35" t="s">
        <v>208</v>
      </c>
      <c r="E82" s="6" t="s">
        <v>535</v>
      </c>
      <c r="F82" s="6" t="s">
        <v>528</v>
      </c>
      <c r="G82" s="35" t="s">
        <v>529</v>
      </c>
      <c r="H82" s="35" t="n">
        <v>9</v>
      </c>
      <c r="I82" s="35" t="n">
        <v>74</v>
      </c>
      <c r="J82" s="37" t="s">
        <v>27</v>
      </c>
      <c r="K82" s="35" t="s">
        <v>99</v>
      </c>
      <c r="L82" s="39" t="s">
        <v>207</v>
      </c>
      <c r="M82" s="6" t="s">
        <v>536</v>
      </c>
      <c r="N82" s="31" t="b">
        <f aca="false">FALSE()</f>
        <v>0</v>
      </c>
      <c r="O82" s="32"/>
      <c r="P82" s="33"/>
      <c r="Q82" s="34"/>
    </row>
  </sheetData>
  <autoFilter ref="A3:Q82"/>
  <conditionalFormatting sqref="A4:Q82">
    <cfRule type="expression" priority="2" aboveAverage="0" equalAverage="0" bottom="0" percent="0" rank="0" text="" dxfId="10">
      <formula>$N4=1</formula>
    </cfRule>
  </conditionalFormatting>
  <conditionalFormatting sqref="O4:O82">
    <cfRule type="cellIs" priority="3" operator="equal" aboveAverage="0" equalAverage="0" bottom="0" percent="0" rank="0" text="" dxfId="11">
      <formula>"Weak"</formula>
    </cfRule>
    <cfRule type="cellIs" priority="4" operator="equal" aboveAverage="0" equalAverage="0" bottom="0" percent="0" rank="0" text="" dxfId="12">
      <formula>"Strong"</formula>
    </cfRule>
  </conditionalFormatting>
  <dataValidations count="2">
    <dataValidation allowBlank="true" errorStyle="stop" operator="between" showDropDown="false" showErrorMessage="false" showInputMessage="false" sqref="N4:N82" type="list">
      <formula1>"TRUE,FALSE"</formula1>
      <formula2>0</formula2>
    </dataValidation>
    <dataValidation allowBlank="true" errorStyle="stop" operator="between" showDropDown="false" showErrorMessage="false" showInputMessage="false" sqref="O4:O82" type="list">
      <formula1>"Weak,OK,Strong"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5" min="5" style="0" width="58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30"/>
    <col collapsed="false" customWidth="true" hidden="false" outlineLevel="0" max="14" min="14" style="0" width="7"/>
    <col collapsed="false" customWidth="true" hidden="false" outlineLevel="0" max="16" min="15" style="0" width="12"/>
    <col collapsed="false" customWidth="true" hidden="false" outlineLevel="0" max="17" min="17" style="0" width="32"/>
  </cols>
  <sheetData>
    <row r="1" customFormat="false" ht="17.35" hidden="false" customHeight="false" outlineLevel="0" collapsed="false">
      <c r="A1" s="26" t="s">
        <v>537</v>
      </c>
    </row>
    <row r="2" customFormat="false" ht="15" hidden="false" customHeight="false" outlineLevel="0" collapsed="false">
      <c r="A2" s="2" t="s">
        <v>538</v>
      </c>
    </row>
    <row r="3" customFormat="false" ht="30" hidden="false" customHeight="true" outlineLevel="0" collapsed="false">
      <c r="A3" s="14" t="s">
        <v>81</v>
      </c>
      <c r="B3" s="14" t="s">
        <v>63</v>
      </c>
      <c r="C3" s="14" t="s">
        <v>33</v>
      </c>
      <c r="D3" s="14" t="s">
        <v>82</v>
      </c>
      <c r="E3" s="14" t="s">
        <v>83</v>
      </c>
      <c r="F3" s="14" t="s">
        <v>84</v>
      </c>
      <c r="G3" s="14" t="s">
        <v>85</v>
      </c>
      <c r="H3" s="14" t="s">
        <v>86</v>
      </c>
      <c r="I3" s="14" t="s">
        <v>87</v>
      </c>
      <c r="J3" s="14" t="s">
        <v>88</v>
      </c>
      <c r="K3" s="14" t="s">
        <v>31</v>
      </c>
      <c r="L3" s="14" t="s">
        <v>89</v>
      </c>
      <c r="M3" s="14" t="s">
        <v>90</v>
      </c>
      <c r="N3" s="14" t="s">
        <v>49</v>
      </c>
      <c r="O3" s="14" t="s">
        <v>91</v>
      </c>
      <c r="P3" s="14" t="s">
        <v>92</v>
      </c>
      <c r="Q3" s="14" t="s">
        <v>93</v>
      </c>
    </row>
    <row r="4" customFormat="false" ht="23.85" hidden="false" customHeight="false" outlineLevel="0" collapsed="false">
      <c r="A4" s="27" t="n">
        <v>1</v>
      </c>
      <c r="B4" s="27" t="s">
        <v>64</v>
      </c>
      <c r="C4" s="27" t="s">
        <v>102</v>
      </c>
      <c r="D4" s="27" t="s">
        <v>132</v>
      </c>
      <c r="E4" s="28" t="s">
        <v>539</v>
      </c>
      <c r="F4" s="28" t="s">
        <v>540</v>
      </c>
      <c r="G4" s="27" t="s">
        <v>541</v>
      </c>
      <c r="H4" s="27" t="n">
        <v>10</v>
      </c>
      <c r="I4" s="27" t="n">
        <v>4</v>
      </c>
      <c r="J4" s="36" t="s">
        <v>25</v>
      </c>
      <c r="K4" s="27" t="s">
        <v>136</v>
      </c>
      <c r="L4" s="39" t="s">
        <v>207</v>
      </c>
      <c r="M4" s="28" t="s">
        <v>542</v>
      </c>
      <c r="N4" s="31" t="b">
        <f aca="false">FALSE()</f>
        <v>0</v>
      </c>
      <c r="O4" s="32"/>
      <c r="P4" s="33"/>
      <c r="Q4" s="34"/>
    </row>
    <row r="5" customFormat="false" ht="23.85" hidden="false" customHeight="false" outlineLevel="0" collapsed="false">
      <c r="A5" s="27" t="n">
        <v>2</v>
      </c>
      <c r="B5" s="27" t="s">
        <v>66</v>
      </c>
      <c r="C5" s="27" t="s">
        <v>94</v>
      </c>
      <c r="D5" s="27" t="s">
        <v>216</v>
      </c>
      <c r="E5" s="28" t="s">
        <v>539</v>
      </c>
      <c r="F5" s="28" t="s">
        <v>540</v>
      </c>
      <c r="G5" s="27" t="s">
        <v>541</v>
      </c>
      <c r="H5" s="27" t="n">
        <v>10</v>
      </c>
      <c r="I5" s="27" t="n">
        <v>23</v>
      </c>
      <c r="J5" s="36" t="s">
        <v>25</v>
      </c>
      <c r="K5" s="27" t="s">
        <v>136</v>
      </c>
      <c r="L5" s="39" t="s">
        <v>207</v>
      </c>
      <c r="M5" s="28" t="s">
        <v>543</v>
      </c>
      <c r="N5" s="31" t="b">
        <f aca="false">FALSE()</f>
        <v>0</v>
      </c>
      <c r="O5" s="32"/>
      <c r="P5" s="33"/>
      <c r="Q5" s="34"/>
    </row>
    <row r="6" customFormat="false" ht="23.85" hidden="false" customHeight="false" outlineLevel="0" collapsed="false">
      <c r="A6" s="35" t="n">
        <v>3</v>
      </c>
      <c r="B6" s="35" t="s">
        <v>64</v>
      </c>
      <c r="C6" s="35" t="s">
        <v>102</v>
      </c>
      <c r="D6" s="35" t="s">
        <v>240</v>
      </c>
      <c r="E6" s="6" t="s">
        <v>544</v>
      </c>
      <c r="F6" s="6" t="s">
        <v>545</v>
      </c>
      <c r="G6" s="35" t="s">
        <v>546</v>
      </c>
      <c r="H6" s="35" t="n">
        <v>10</v>
      </c>
      <c r="I6" s="35" t="n">
        <v>4</v>
      </c>
      <c r="J6" s="36" t="s">
        <v>25</v>
      </c>
      <c r="K6" s="35" t="s">
        <v>99</v>
      </c>
      <c r="L6" s="39" t="s">
        <v>207</v>
      </c>
      <c r="M6" s="6" t="s">
        <v>547</v>
      </c>
      <c r="N6" s="31" t="b">
        <f aca="false">FALSE()</f>
        <v>0</v>
      </c>
      <c r="O6" s="32"/>
      <c r="P6" s="33"/>
      <c r="Q6" s="34"/>
    </row>
    <row r="7" customFormat="false" ht="23.85" hidden="false" customHeight="false" outlineLevel="0" collapsed="false">
      <c r="A7" s="35" t="n">
        <v>4</v>
      </c>
      <c r="B7" s="35" t="s">
        <v>66</v>
      </c>
      <c r="C7" s="35" t="s">
        <v>94</v>
      </c>
      <c r="D7" s="35" t="s">
        <v>240</v>
      </c>
      <c r="E7" s="6" t="s">
        <v>544</v>
      </c>
      <c r="F7" s="6" t="s">
        <v>545</v>
      </c>
      <c r="G7" s="35" t="s">
        <v>546</v>
      </c>
      <c r="H7" s="35" t="n">
        <v>10</v>
      </c>
      <c r="I7" s="35" t="n">
        <v>23</v>
      </c>
      <c r="J7" s="36" t="s">
        <v>25</v>
      </c>
      <c r="K7" s="35" t="s">
        <v>99</v>
      </c>
      <c r="L7" s="39" t="s">
        <v>207</v>
      </c>
      <c r="M7" s="6" t="s">
        <v>548</v>
      </c>
      <c r="N7" s="31" t="b">
        <f aca="false">FALSE()</f>
        <v>0</v>
      </c>
      <c r="O7" s="32"/>
      <c r="P7" s="33"/>
      <c r="Q7" s="34"/>
    </row>
    <row r="8" customFormat="false" ht="23.85" hidden="false" customHeight="false" outlineLevel="0" collapsed="false">
      <c r="A8" s="27" t="n">
        <v>5</v>
      </c>
      <c r="B8" s="27" t="s">
        <v>67</v>
      </c>
      <c r="C8" s="27" t="s">
        <v>94</v>
      </c>
      <c r="D8" s="27" t="s">
        <v>549</v>
      </c>
      <c r="E8" s="28" t="s">
        <v>550</v>
      </c>
      <c r="F8" s="28" t="s">
        <v>551</v>
      </c>
      <c r="G8" s="27" t="s">
        <v>552</v>
      </c>
      <c r="H8" s="27" t="n">
        <v>15</v>
      </c>
      <c r="I8" s="27" t="n">
        <v>28</v>
      </c>
      <c r="J8" s="36" t="s">
        <v>25</v>
      </c>
      <c r="K8" s="27" t="s">
        <v>99</v>
      </c>
      <c r="L8" s="39" t="s">
        <v>207</v>
      </c>
      <c r="M8" s="28" t="s">
        <v>553</v>
      </c>
      <c r="N8" s="31" t="b">
        <f aca="false">FALSE()</f>
        <v>0</v>
      </c>
      <c r="O8" s="32"/>
      <c r="P8" s="33"/>
      <c r="Q8" s="34"/>
    </row>
    <row r="9" customFormat="false" ht="23.85" hidden="false" customHeight="false" outlineLevel="0" collapsed="false">
      <c r="A9" s="27" t="n">
        <v>6</v>
      </c>
      <c r="B9" s="27" t="s">
        <v>67</v>
      </c>
      <c r="C9" s="27" t="s">
        <v>94</v>
      </c>
      <c r="D9" s="27" t="s">
        <v>190</v>
      </c>
      <c r="E9" s="28" t="s">
        <v>554</v>
      </c>
      <c r="F9" s="28" t="s">
        <v>551</v>
      </c>
      <c r="G9" s="27" t="s">
        <v>552</v>
      </c>
      <c r="H9" s="27" t="n">
        <v>15</v>
      </c>
      <c r="I9" s="27" t="n">
        <v>28</v>
      </c>
      <c r="J9" s="36" t="s">
        <v>25</v>
      </c>
      <c r="K9" s="27" t="s">
        <v>99</v>
      </c>
      <c r="L9" s="38" t="s">
        <v>124</v>
      </c>
      <c r="M9" s="28" t="s">
        <v>101</v>
      </c>
      <c r="N9" s="31" t="b">
        <f aca="false">FALSE()</f>
        <v>0</v>
      </c>
      <c r="O9" s="32"/>
      <c r="P9" s="33"/>
      <c r="Q9" s="34"/>
    </row>
    <row r="10" customFormat="false" ht="23.85" hidden="false" customHeight="false" outlineLevel="0" collapsed="false">
      <c r="A10" s="27" t="n">
        <v>7</v>
      </c>
      <c r="B10" s="27" t="s">
        <v>71</v>
      </c>
      <c r="C10" s="27" t="s">
        <v>94</v>
      </c>
      <c r="D10" s="27" t="s">
        <v>284</v>
      </c>
      <c r="E10" s="28" t="s">
        <v>555</v>
      </c>
      <c r="F10" s="28" t="s">
        <v>551</v>
      </c>
      <c r="G10" s="27" t="s">
        <v>552</v>
      </c>
      <c r="H10" s="27" t="n">
        <v>10</v>
      </c>
      <c r="I10" s="27" t="n">
        <v>57</v>
      </c>
      <c r="J10" s="37" t="s">
        <v>27</v>
      </c>
      <c r="K10" s="27" t="s">
        <v>99</v>
      </c>
      <c r="L10" s="39" t="s">
        <v>207</v>
      </c>
      <c r="M10" s="28" t="s">
        <v>556</v>
      </c>
      <c r="N10" s="31" t="b">
        <f aca="false">FALSE()</f>
        <v>0</v>
      </c>
      <c r="O10" s="32"/>
      <c r="P10" s="33"/>
      <c r="Q10" s="34"/>
    </row>
    <row r="11" customFormat="false" ht="23.85" hidden="false" customHeight="false" outlineLevel="0" collapsed="false">
      <c r="A11" s="27" t="n">
        <v>8</v>
      </c>
      <c r="B11" s="27" t="s">
        <v>73</v>
      </c>
      <c r="C11" s="27" t="s">
        <v>94</v>
      </c>
      <c r="D11" s="27" t="s">
        <v>284</v>
      </c>
      <c r="E11" s="28" t="s">
        <v>557</v>
      </c>
      <c r="F11" s="28" t="s">
        <v>551</v>
      </c>
      <c r="G11" s="27" t="s">
        <v>552</v>
      </c>
      <c r="H11" s="27" t="n">
        <v>20</v>
      </c>
      <c r="I11" s="27" t="n">
        <v>70</v>
      </c>
      <c r="J11" s="37" t="s">
        <v>27</v>
      </c>
      <c r="K11" s="27" t="s">
        <v>99</v>
      </c>
      <c r="L11" s="39" t="s">
        <v>207</v>
      </c>
      <c r="M11" s="28" t="s">
        <v>558</v>
      </c>
      <c r="N11" s="31" t="b">
        <f aca="false">FALSE()</f>
        <v>0</v>
      </c>
      <c r="O11" s="32"/>
      <c r="P11" s="33"/>
      <c r="Q11" s="34"/>
    </row>
  </sheetData>
  <autoFilter ref="A3:Q11"/>
  <conditionalFormatting sqref="A4:Q11">
    <cfRule type="expression" priority="2" aboveAverage="0" equalAverage="0" bottom="0" percent="0" rank="0" text="" dxfId="10">
      <formula>$N4=1</formula>
    </cfRule>
  </conditionalFormatting>
  <conditionalFormatting sqref="O4:O11">
    <cfRule type="cellIs" priority="3" operator="equal" aboveAverage="0" equalAverage="0" bottom="0" percent="0" rank="0" text="" dxfId="11">
      <formula>"Weak"</formula>
    </cfRule>
    <cfRule type="cellIs" priority="4" operator="equal" aboveAverage="0" equalAverage="0" bottom="0" percent="0" rank="0" text="" dxfId="12">
      <formula>"Strong"</formula>
    </cfRule>
  </conditionalFormatting>
  <dataValidations count="2">
    <dataValidation allowBlank="true" errorStyle="stop" operator="between" showDropDown="false" showErrorMessage="false" showInputMessage="false" sqref="N4:N11" type="list">
      <formula1>"TRUE,FALSE"</formula1>
      <formula2>0</formula2>
    </dataValidation>
    <dataValidation allowBlank="true" errorStyle="stop" operator="between" showDropDown="false" showErrorMessage="false" showInputMessage="false" sqref="O4:O11" type="list">
      <formula1>"Weak,OK,Strong"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5" min="5" style="0" width="58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30"/>
    <col collapsed="false" customWidth="true" hidden="false" outlineLevel="0" max="14" min="14" style="0" width="7"/>
    <col collapsed="false" customWidth="true" hidden="false" outlineLevel="0" max="16" min="15" style="0" width="12"/>
    <col collapsed="false" customWidth="true" hidden="false" outlineLevel="0" max="17" min="17" style="0" width="32"/>
  </cols>
  <sheetData>
    <row r="1" customFormat="false" ht="17.35" hidden="false" customHeight="false" outlineLevel="0" collapsed="false">
      <c r="A1" s="26" t="s">
        <v>559</v>
      </c>
    </row>
    <row r="2" customFormat="false" ht="15" hidden="false" customHeight="false" outlineLevel="0" collapsed="false">
      <c r="A2" s="2" t="s">
        <v>560</v>
      </c>
    </row>
    <row r="3" customFormat="false" ht="30" hidden="false" customHeight="true" outlineLevel="0" collapsed="false">
      <c r="A3" s="14" t="s">
        <v>81</v>
      </c>
      <c r="B3" s="14" t="s">
        <v>63</v>
      </c>
      <c r="C3" s="14" t="s">
        <v>33</v>
      </c>
      <c r="D3" s="14" t="s">
        <v>82</v>
      </c>
      <c r="E3" s="14" t="s">
        <v>83</v>
      </c>
      <c r="F3" s="14" t="s">
        <v>84</v>
      </c>
      <c r="G3" s="14" t="s">
        <v>85</v>
      </c>
      <c r="H3" s="14" t="s">
        <v>86</v>
      </c>
      <c r="I3" s="14" t="s">
        <v>87</v>
      </c>
      <c r="J3" s="14" t="s">
        <v>88</v>
      </c>
      <c r="K3" s="14" t="s">
        <v>31</v>
      </c>
      <c r="L3" s="14" t="s">
        <v>89</v>
      </c>
      <c r="M3" s="14" t="s">
        <v>90</v>
      </c>
      <c r="N3" s="14" t="s">
        <v>49</v>
      </c>
      <c r="O3" s="14" t="s">
        <v>91</v>
      </c>
      <c r="P3" s="14" t="s">
        <v>92</v>
      </c>
      <c r="Q3" s="14" t="s">
        <v>93</v>
      </c>
    </row>
    <row r="4" customFormat="false" ht="23.85" hidden="false" customHeight="false" outlineLevel="0" collapsed="false">
      <c r="A4" s="27" t="n">
        <v>1</v>
      </c>
      <c r="B4" s="27" t="s">
        <v>71</v>
      </c>
      <c r="C4" s="27" t="s">
        <v>94</v>
      </c>
      <c r="D4" s="27" t="s">
        <v>126</v>
      </c>
      <c r="E4" s="28" t="s">
        <v>561</v>
      </c>
      <c r="F4" s="28" t="s">
        <v>562</v>
      </c>
      <c r="G4" s="27" t="s">
        <v>563</v>
      </c>
      <c r="H4" s="27" t="n">
        <v>10</v>
      </c>
      <c r="I4" s="27" t="n">
        <v>55</v>
      </c>
      <c r="J4" s="37" t="s">
        <v>27</v>
      </c>
      <c r="K4" s="27" t="s">
        <v>99</v>
      </c>
      <c r="L4" s="30" t="s">
        <v>100</v>
      </c>
      <c r="M4" s="28" t="s">
        <v>128</v>
      </c>
      <c r="N4" s="31" t="b">
        <f aca="false">FALSE()</f>
        <v>0</v>
      </c>
      <c r="O4" s="32"/>
      <c r="P4" s="33"/>
      <c r="Q4" s="34"/>
    </row>
    <row r="5" customFormat="false" ht="23.85" hidden="false" customHeight="false" outlineLevel="0" collapsed="false">
      <c r="A5" s="35" t="n">
        <v>2</v>
      </c>
      <c r="B5" s="35" t="s">
        <v>75</v>
      </c>
      <c r="C5" s="35" t="s">
        <v>94</v>
      </c>
      <c r="D5" s="35" t="s">
        <v>227</v>
      </c>
      <c r="E5" s="6" t="s">
        <v>564</v>
      </c>
      <c r="F5" s="6" t="s">
        <v>565</v>
      </c>
      <c r="G5" s="35" t="s">
        <v>566</v>
      </c>
      <c r="H5" s="35" t="n">
        <v>5</v>
      </c>
      <c r="I5" s="35" t="n">
        <v>79</v>
      </c>
      <c r="J5" s="29" t="s">
        <v>29</v>
      </c>
      <c r="K5" s="35" t="s">
        <v>99</v>
      </c>
      <c r="L5" s="39" t="s">
        <v>207</v>
      </c>
      <c r="M5" s="6" t="s">
        <v>101</v>
      </c>
      <c r="N5" s="31" t="b">
        <f aca="false">FALSE()</f>
        <v>0</v>
      </c>
      <c r="O5" s="32"/>
      <c r="P5" s="33"/>
      <c r="Q5" s="34"/>
    </row>
    <row r="6" customFormat="false" ht="23.85" hidden="false" customHeight="false" outlineLevel="0" collapsed="false">
      <c r="A6" s="27" t="n">
        <v>3</v>
      </c>
      <c r="B6" s="27" t="s">
        <v>71</v>
      </c>
      <c r="C6" s="27" t="s">
        <v>94</v>
      </c>
      <c r="D6" s="27" t="s">
        <v>319</v>
      </c>
      <c r="E6" s="28" t="s">
        <v>567</v>
      </c>
      <c r="F6" s="28" t="s">
        <v>568</v>
      </c>
      <c r="G6" s="27" t="s">
        <v>569</v>
      </c>
      <c r="H6" s="27" t="n">
        <v>5</v>
      </c>
      <c r="I6" s="27" t="n">
        <v>54</v>
      </c>
      <c r="J6" s="37" t="s">
        <v>27</v>
      </c>
      <c r="K6" s="27" t="s">
        <v>99</v>
      </c>
      <c r="L6" s="30" t="s">
        <v>100</v>
      </c>
      <c r="M6" s="28" t="s">
        <v>570</v>
      </c>
      <c r="N6" s="31" t="b">
        <f aca="false">FALSE()</f>
        <v>0</v>
      </c>
      <c r="O6" s="32"/>
      <c r="P6" s="33"/>
      <c r="Q6" s="34"/>
    </row>
    <row r="7" customFormat="false" ht="23.85" hidden="false" customHeight="false" outlineLevel="0" collapsed="false">
      <c r="A7" s="27" t="n">
        <v>4</v>
      </c>
      <c r="B7" s="27" t="s">
        <v>75</v>
      </c>
      <c r="C7" s="27" t="s">
        <v>94</v>
      </c>
      <c r="D7" s="27" t="s">
        <v>178</v>
      </c>
      <c r="E7" s="28" t="s">
        <v>571</v>
      </c>
      <c r="F7" s="28" t="s">
        <v>568</v>
      </c>
      <c r="G7" s="27" t="s">
        <v>569</v>
      </c>
      <c r="H7" s="27" t="n">
        <v>17</v>
      </c>
      <c r="I7" s="27" t="s">
        <v>572</v>
      </c>
      <c r="J7" s="29" t="s">
        <v>29</v>
      </c>
      <c r="K7" s="27" t="s">
        <v>136</v>
      </c>
      <c r="L7" s="39" t="s">
        <v>207</v>
      </c>
      <c r="M7" s="28" t="s">
        <v>101</v>
      </c>
      <c r="N7" s="31" t="b">
        <f aca="false">FALSE()</f>
        <v>0</v>
      </c>
      <c r="O7" s="32"/>
      <c r="P7" s="33"/>
      <c r="Q7" s="34"/>
    </row>
    <row r="8" customFormat="false" ht="23.85" hidden="false" customHeight="false" outlineLevel="0" collapsed="false">
      <c r="A8" s="27" t="n">
        <v>5</v>
      </c>
      <c r="B8" s="27" t="s">
        <v>75</v>
      </c>
      <c r="C8" s="27" t="s">
        <v>94</v>
      </c>
      <c r="D8" s="27" t="s">
        <v>95</v>
      </c>
      <c r="E8" s="28" t="s">
        <v>573</v>
      </c>
      <c r="F8" s="28" t="s">
        <v>568</v>
      </c>
      <c r="G8" s="27" t="s">
        <v>569</v>
      </c>
      <c r="H8" s="27" t="n">
        <v>8</v>
      </c>
      <c r="I8" s="27" t="s">
        <v>572</v>
      </c>
      <c r="J8" s="37" t="s">
        <v>27</v>
      </c>
      <c r="K8" s="27" t="s">
        <v>136</v>
      </c>
      <c r="L8" s="30" t="s">
        <v>100</v>
      </c>
      <c r="M8" s="28" t="s">
        <v>574</v>
      </c>
      <c r="N8" s="31" t="b">
        <f aca="false">FALSE()</f>
        <v>0</v>
      </c>
      <c r="O8" s="32"/>
      <c r="P8" s="33"/>
      <c r="Q8" s="34"/>
    </row>
    <row r="9" customFormat="false" ht="23.85" hidden="false" customHeight="false" outlineLevel="0" collapsed="false">
      <c r="A9" s="27" t="n">
        <v>6</v>
      </c>
      <c r="B9" s="27" t="s">
        <v>75</v>
      </c>
      <c r="C9" s="27" t="s">
        <v>94</v>
      </c>
      <c r="D9" s="27" t="s">
        <v>223</v>
      </c>
      <c r="E9" s="28" t="s">
        <v>575</v>
      </c>
      <c r="F9" s="28" t="s">
        <v>568</v>
      </c>
      <c r="G9" s="27" t="s">
        <v>569</v>
      </c>
      <c r="H9" s="27" t="n">
        <v>5</v>
      </c>
      <c r="I9" s="27" t="n">
        <v>79</v>
      </c>
      <c r="J9" s="37" t="s">
        <v>27</v>
      </c>
      <c r="K9" s="27" t="s">
        <v>99</v>
      </c>
      <c r="L9" s="39" t="s">
        <v>207</v>
      </c>
      <c r="M9" s="28" t="s">
        <v>576</v>
      </c>
      <c r="N9" s="31" t="b">
        <f aca="false">FALSE()</f>
        <v>0</v>
      </c>
      <c r="O9" s="32"/>
      <c r="P9" s="33"/>
      <c r="Q9" s="34"/>
    </row>
    <row r="10" customFormat="false" ht="23.85" hidden="false" customHeight="false" outlineLevel="0" collapsed="false">
      <c r="A10" s="27" t="n">
        <v>7</v>
      </c>
      <c r="B10" s="27" t="s">
        <v>76</v>
      </c>
      <c r="C10" s="27" t="s">
        <v>94</v>
      </c>
      <c r="D10" s="27" t="s">
        <v>223</v>
      </c>
      <c r="E10" s="28" t="s">
        <v>577</v>
      </c>
      <c r="F10" s="28" t="s">
        <v>568</v>
      </c>
      <c r="G10" s="27" t="s">
        <v>569</v>
      </c>
      <c r="H10" s="27" t="n">
        <v>6</v>
      </c>
      <c r="I10" s="27" t="n">
        <v>84</v>
      </c>
      <c r="J10" s="37" t="s">
        <v>27</v>
      </c>
      <c r="K10" s="27" t="s">
        <v>99</v>
      </c>
      <c r="L10" s="39" t="s">
        <v>207</v>
      </c>
      <c r="M10" s="28" t="s">
        <v>578</v>
      </c>
      <c r="N10" s="31" t="b">
        <f aca="false">FALSE()</f>
        <v>0</v>
      </c>
      <c r="O10" s="32"/>
      <c r="P10" s="33"/>
      <c r="Q10" s="34"/>
    </row>
  </sheetData>
  <autoFilter ref="A3:Q10"/>
  <conditionalFormatting sqref="A4:Q10">
    <cfRule type="expression" priority="2" aboveAverage="0" equalAverage="0" bottom="0" percent="0" rank="0" text="" dxfId="10">
      <formula>$N4=1</formula>
    </cfRule>
  </conditionalFormatting>
  <conditionalFormatting sqref="O4:O10">
    <cfRule type="cellIs" priority="3" operator="equal" aboveAverage="0" equalAverage="0" bottom="0" percent="0" rank="0" text="" dxfId="11">
      <formula>"Weak"</formula>
    </cfRule>
    <cfRule type="cellIs" priority="4" operator="equal" aboveAverage="0" equalAverage="0" bottom="0" percent="0" rank="0" text="" dxfId="12">
      <formula>"Strong"</formula>
    </cfRule>
  </conditionalFormatting>
  <dataValidations count="2">
    <dataValidation allowBlank="true" errorStyle="stop" operator="between" showDropDown="false" showErrorMessage="false" showInputMessage="false" sqref="N4:N10" type="list">
      <formula1>"TRUE,FALSE"</formula1>
      <formula2>0</formula2>
    </dataValidation>
    <dataValidation allowBlank="true" errorStyle="stop" operator="between" showDropDown="false" showErrorMessage="false" showInputMessage="false" sqref="O4:O10" type="list">
      <formula1>"Weak,OK,Strong"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9"/>
    <col collapsed="false" customWidth="true" hidden="false" outlineLevel="0" max="4" min="4" style="0" width="12"/>
    <col collapsed="false" customWidth="true" hidden="false" outlineLevel="0" max="5" min="5" style="0" width="62"/>
    <col collapsed="false" customWidth="true" hidden="false" outlineLevel="0" max="6" min="6" style="0" width="34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26" t="s">
        <v>579</v>
      </c>
    </row>
    <row r="2" customFormat="false" ht="15" hidden="false" customHeight="false" outlineLevel="0" collapsed="false">
      <c r="A2" s="2" t="s">
        <v>580</v>
      </c>
    </row>
    <row r="3" customFormat="false" ht="23.85" hidden="false" customHeight="false" outlineLevel="0" collapsed="false">
      <c r="A3" s="40" t="s">
        <v>81</v>
      </c>
      <c r="B3" s="40" t="s">
        <v>63</v>
      </c>
      <c r="C3" s="40" t="s">
        <v>33</v>
      </c>
      <c r="D3" s="40" t="s">
        <v>82</v>
      </c>
      <c r="E3" s="40" t="s">
        <v>83</v>
      </c>
      <c r="F3" s="40" t="s">
        <v>581</v>
      </c>
      <c r="G3" s="40" t="s">
        <v>86</v>
      </c>
      <c r="H3" s="40" t="s">
        <v>87</v>
      </c>
      <c r="I3" s="40" t="s">
        <v>49</v>
      </c>
      <c r="J3" s="40" t="s">
        <v>93</v>
      </c>
    </row>
    <row r="4" customFormat="false" ht="15" hidden="false" customHeight="false" outlineLevel="0" collapsed="false">
      <c r="A4" s="35" t="n">
        <v>1</v>
      </c>
      <c r="B4" s="35" t="s">
        <v>65</v>
      </c>
      <c r="C4" s="35" t="s">
        <v>94</v>
      </c>
      <c r="D4" s="35" t="s">
        <v>240</v>
      </c>
      <c r="E4" s="6" t="s">
        <v>582</v>
      </c>
      <c r="F4" s="6" t="s">
        <v>583</v>
      </c>
      <c r="G4" s="35" t="n">
        <v>7</v>
      </c>
      <c r="H4" s="35" t="n">
        <v>18</v>
      </c>
      <c r="I4" s="31" t="b">
        <f aca="false">FALSE()</f>
        <v>0</v>
      </c>
      <c r="J4" s="34"/>
    </row>
    <row r="5" customFormat="false" ht="15" hidden="false" customHeight="false" outlineLevel="0" collapsed="false">
      <c r="A5" s="35" t="n">
        <v>2</v>
      </c>
      <c r="B5" s="35" t="s">
        <v>66</v>
      </c>
      <c r="C5" s="35" t="s">
        <v>94</v>
      </c>
      <c r="D5" s="35" t="s">
        <v>584</v>
      </c>
      <c r="E5" s="6" t="s">
        <v>585</v>
      </c>
      <c r="F5" s="6" t="s">
        <v>586</v>
      </c>
      <c r="G5" s="35" t="n">
        <v>25</v>
      </c>
      <c r="H5" s="35" t="s">
        <v>587</v>
      </c>
      <c r="I5" s="31" t="b">
        <f aca="false">FALSE()</f>
        <v>0</v>
      </c>
      <c r="J5" s="34"/>
    </row>
    <row r="6" customFormat="false" ht="23.85" hidden="false" customHeight="false" outlineLevel="0" collapsed="false">
      <c r="A6" s="35" t="n">
        <v>3</v>
      </c>
      <c r="B6" s="35" t="s">
        <v>67</v>
      </c>
      <c r="C6" s="35" t="s">
        <v>94</v>
      </c>
      <c r="D6" s="35" t="s">
        <v>588</v>
      </c>
      <c r="E6" s="6" t="s">
        <v>589</v>
      </c>
      <c r="F6" s="6" t="s">
        <v>590</v>
      </c>
      <c r="G6" s="35" t="n">
        <v>15</v>
      </c>
      <c r="H6" s="35" t="n">
        <v>30</v>
      </c>
      <c r="I6" s="31" t="b">
        <f aca="false">FALSE()</f>
        <v>0</v>
      </c>
      <c r="J6" s="34"/>
    </row>
    <row r="7" customFormat="false" ht="23.85" hidden="false" customHeight="false" outlineLevel="0" collapsed="false">
      <c r="A7" s="35" t="n">
        <v>4</v>
      </c>
      <c r="B7" s="35" t="s">
        <v>71</v>
      </c>
      <c r="C7" s="35" t="s">
        <v>94</v>
      </c>
      <c r="D7" s="35" t="s">
        <v>591</v>
      </c>
      <c r="E7" s="6" t="s">
        <v>592</v>
      </c>
      <c r="F7" s="6" t="s">
        <v>593</v>
      </c>
      <c r="G7" s="35" t="n">
        <v>30</v>
      </c>
      <c r="H7" s="35" t="n">
        <v>54</v>
      </c>
      <c r="I7" s="31" t="b">
        <f aca="false">FALSE()</f>
        <v>0</v>
      </c>
      <c r="J7" s="34"/>
    </row>
    <row r="8" customFormat="false" ht="23.85" hidden="false" customHeight="false" outlineLevel="0" collapsed="false">
      <c r="A8" s="35" t="n">
        <v>5</v>
      </c>
      <c r="B8" s="35" t="s">
        <v>71</v>
      </c>
      <c r="C8" s="35" t="s">
        <v>94</v>
      </c>
      <c r="D8" s="35" t="s">
        <v>223</v>
      </c>
      <c r="E8" s="6" t="s">
        <v>594</v>
      </c>
      <c r="F8" s="6" t="s">
        <v>595</v>
      </c>
      <c r="G8" s="35" t="n">
        <v>5</v>
      </c>
      <c r="H8" s="35" t="n">
        <v>55</v>
      </c>
      <c r="I8" s="31" t="b">
        <f aca="false">FALSE()</f>
        <v>0</v>
      </c>
      <c r="J8" s="34"/>
    </row>
    <row r="9" customFormat="false" ht="15" hidden="false" customHeight="false" outlineLevel="0" collapsed="false">
      <c r="A9" s="35" t="n">
        <v>6</v>
      </c>
      <c r="B9" s="35" t="s">
        <v>71</v>
      </c>
      <c r="C9" s="35" t="s">
        <v>94</v>
      </c>
      <c r="D9" s="35" t="s">
        <v>227</v>
      </c>
      <c r="E9" s="6" t="s">
        <v>596</v>
      </c>
      <c r="F9" s="6" t="s">
        <v>597</v>
      </c>
      <c r="G9" s="35" t="n">
        <v>10</v>
      </c>
      <c r="H9" s="35" t="n">
        <v>55</v>
      </c>
      <c r="I9" s="31" t="b">
        <f aca="false">FALSE()</f>
        <v>0</v>
      </c>
      <c r="J9" s="34"/>
    </row>
    <row r="10" customFormat="false" ht="23.85" hidden="false" customHeight="false" outlineLevel="0" collapsed="false">
      <c r="A10" s="35" t="n">
        <v>7</v>
      </c>
      <c r="B10" s="35" t="s">
        <v>71</v>
      </c>
      <c r="C10" s="35" t="s">
        <v>94</v>
      </c>
      <c r="D10" s="35" t="s">
        <v>243</v>
      </c>
      <c r="E10" s="6" t="s">
        <v>598</v>
      </c>
      <c r="F10" s="6" t="s">
        <v>599</v>
      </c>
      <c r="G10" s="35" t="n">
        <v>4</v>
      </c>
      <c r="H10" s="35" t="n">
        <v>56</v>
      </c>
      <c r="I10" s="31" t="b">
        <f aca="false">FALSE()</f>
        <v>0</v>
      </c>
      <c r="J10" s="34"/>
    </row>
    <row r="11" customFormat="false" ht="15" hidden="false" customHeight="false" outlineLevel="0" collapsed="false">
      <c r="A11" s="35" t="n">
        <v>8</v>
      </c>
      <c r="B11" s="35" t="s">
        <v>71</v>
      </c>
      <c r="C11" s="35" t="s">
        <v>94</v>
      </c>
      <c r="D11" s="35" t="s">
        <v>240</v>
      </c>
      <c r="E11" s="6" t="s">
        <v>600</v>
      </c>
      <c r="F11" s="6" t="s">
        <v>601</v>
      </c>
      <c r="G11" s="35" t="n">
        <v>6</v>
      </c>
      <c r="H11" s="35" t="n">
        <v>56</v>
      </c>
      <c r="I11" s="31" t="b">
        <f aca="false">FALSE()</f>
        <v>0</v>
      </c>
      <c r="J11" s="34"/>
    </row>
    <row r="12" customFormat="false" ht="15" hidden="false" customHeight="false" outlineLevel="0" collapsed="false">
      <c r="A12" s="35" t="n">
        <v>9</v>
      </c>
      <c r="B12" s="35" t="s">
        <v>72</v>
      </c>
      <c r="C12" s="35" t="s">
        <v>94</v>
      </c>
      <c r="D12" s="35" t="s">
        <v>602</v>
      </c>
      <c r="E12" s="6" t="s">
        <v>603</v>
      </c>
      <c r="F12" s="6" t="s">
        <v>604</v>
      </c>
      <c r="G12" s="35" t="n">
        <v>25</v>
      </c>
      <c r="H12" s="35" t="n">
        <v>66</v>
      </c>
      <c r="I12" s="31" t="b">
        <f aca="false">FALSE()</f>
        <v>0</v>
      </c>
      <c r="J12" s="34"/>
    </row>
    <row r="13" customFormat="false" ht="23.85" hidden="false" customHeight="false" outlineLevel="0" collapsed="false">
      <c r="A13" s="35" t="n">
        <v>10</v>
      </c>
      <c r="B13" s="35" t="s">
        <v>72</v>
      </c>
      <c r="C13" s="35" t="s">
        <v>94</v>
      </c>
      <c r="D13" s="35" t="s">
        <v>605</v>
      </c>
      <c r="E13" s="6" t="s">
        <v>606</v>
      </c>
      <c r="F13" s="6" t="s">
        <v>599</v>
      </c>
      <c r="G13" s="35" t="n">
        <v>25</v>
      </c>
      <c r="H13" s="35" t="n">
        <v>67</v>
      </c>
      <c r="I13" s="31" t="b">
        <f aca="false">FALSE()</f>
        <v>0</v>
      </c>
      <c r="J13" s="34"/>
    </row>
    <row r="14" customFormat="false" ht="23.85" hidden="false" customHeight="false" outlineLevel="0" collapsed="false">
      <c r="A14" s="35" t="n">
        <v>11</v>
      </c>
      <c r="B14" s="35" t="s">
        <v>73</v>
      </c>
      <c r="C14" s="35" t="s">
        <v>94</v>
      </c>
      <c r="D14" s="35" t="s">
        <v>243</v>
      </c>
      <c r="E14" s="6" t="s">
        <v>594</v>
      </c>
      <c r="F14" s="6" t="s">
        <v>595</v>
      </c>
      <c r="G14" s="35" t="n">
        <v>5</v>
      </c>
      <c r="H14" s="35" t="n">
        <v>70</v>
      </c>
      <c r="I14" s="31" t="b">
        <f aca="false">FALSE()</f>
        <v>0</v>
      </c>
      <c r="J14" s="34"/>
    </row>
    <row r="15" customFormat="false" ht="15" hidden="false" customHeight="false" outlineLevel="0" collapsed="false">
      <c r="A15" s="35" t="n">
        <v>12</v>
      </c>
      <c r="B15" s="35" t="s">
        <v>73</v>
      </c>
      <c r="C15" s="35" t="s">
        <v>94</v>
      </c>
      <c r="D15" s="35" t="s">
        <v>156</v>
      </c>
      <c r="E15" s="6" t="s">
        <v>607</v>
      </c>
      <c r="F15" s="6" t="s">
        <v>597</v>
      </c>
      <c r="G15" s="35" t="n">
        <v>10</v>
      </c>
      <c r="H15" s="35" t="n">
        <v>68</v>
      </c>
      <c r="I15" s="31" t="b">
        <f aca="false">FALSE()</f>
        <v>0</v>
      </c>
      <c r="J15" s="34"/>
    </row>
    <row r="16" customFormat="false" ht="23.85" hidden="false" customHeight="false" outlineLevel="0" collapsed="false">
      <c r="A16" s="35" t="n">
        <v>13</v>
      </c>
      <c r="B16" s="35" t="s">
        <v>73</v>
      </c>
      <c r="C16" s="35" t="s">
        <v>94</v>
      </c>
      <c r="D16" s="35" t="s">
        <v>171</v>
      </c>
      <c r="E16" s="6" t="s">
        <v>598</v>
      </c>
      <c r="F16" s="6" t="s">
        <v>599</v>
      </c>
      <c r="G16" s="35" t="n">
        <v>4</v>
      </c>
      <c r="H16" s="35" t="n">
        <v>68</v>
      </c>
      <c r="I16" s="31" t="b">
        <f aca="false">FALSE()</f>
        <v>0</v>
      </c>
      <c r="J16" s="34"/>
    </row>
    <row r="17" customFormat="false" ht="15" hidden="false" customHeight="false" outlineLevel="0" collapsed="false">
      <c r="A17" s="35" t="n">
        <v>14</v>
      </c>
      <c r="B17" s="35" t="s">
        <v>73</v>
      </c>
      <c r="C17" s="35" t="s">
        <v>94</v>
      </c>
      <c r="D17" s="35" t="s">
        <v>208</v>
      </c>
      <c r="E17" s="6" t="s">
        <v>600</v>
      </c>
      <c r="F17" s="6" t="s">
        <v>601</v>
      </c>
      <c r="G17" s="35" t="n">
        <v>8</v>
      </c>
      <c r="H17" s="35" t="n">
        <v>68</v>
      </c>
      <c r="I17" s="31" t="b">
        <f aca="false">FALSE()</f>
        <v>0</v>
      </c>
      <c r="J17" s="34"/>
    </row>
    <row r="18" customFormat="false" ht="15" hidden="false" customHeight="false" outlineLevel="0" collapsed="false">
      <c r="A18" s="35" t="n">
        <v>15</v>
      </c>
      <c r="B18" s="35" t="s">
        <v>73</v>
      </c>
      <c r="C18" s="35" t="s">
        <v>94</v>
      </c>
      <c r="D18" s="35" t="s">
        <v>608</v>
      </c>
      <c r="E18" s="6" t="s">
        <v>609</v>
      </c>
      <c r="F18" s="6" t="s">
        <v>610</v>
      </c>
      <c r="G18" s="35" t="n">
        <v>4</v>
      </c>
      <c r="H18" s="35" t="n">
        <v>68</v>
      </c>
      <c r="I18" s="31" t="b">
        <f aca="false">FALSE()</f>
        <v>0</v>
      </c>
      <c r="J18" s="34"/>
    </row>
    <row r="19" customFormat="false" ht="15" hidden="false" customHeight="false" outlineLevel="0" collapsed="false">
      <c r="A19" s="35" t="n">
        <v>16</v>
      </c>
      <c r="B19" s="35" t="s">
        <v>73</v>
      </c>
      <c r="C19" s="35" t="s">
        <v>94</v>
      </c>
      <c r="D19" s="35" t="s">
        <v>611</v>
      </c>
      <c r="E19" s="6" t="s">
        <v>612</v>
      </c>
      <c r="F19" s="6" t="s">
        <v>613</v>
      </c>
      <c r="G19" s="35" t="n">
        <v>30</v>
      </c>
      <c r="H19" s="35" t="s">
        <v>614</v>
      </c>
      <c r="I19" s="31" t="b">
        <f aca="false">FALSE()</f>
        <v>0</v>
      </c>
      <c r="J19" s="34"/>
    </row>
    <row r="20" customFormat="false" ht="23.85" hidden="false" customHeight="false" outlineLevel="0" collapsed="false">
      <c r="A20" s="35" t="n">
        <v>17</v>
      </c>
      <c r="B20" s="35" t="s">
        <v>74</v>
      </c>
      <c r="C20" s="35" t="s">
        <v>94</v>
      </c>
      <c r="D20" s="35" t="s">
        <v>615</v>
      </c>
      <c r="E20" s="6" t="s">
        <v>616</v>
      </c>
      <c r="F20" s="6" t="s">
        <v>617</v>
      </c>
      <c r="G20" s="35" t="n">
        <v>18</v>
      </c>
      <c r="H20" s="35" t="n">
        <v>74</v>
      </c>
      <c r="I20" s="31" t="b">
        <f aca="false">FALSE()</f>
        <v>0</v>
      </c>
      <c r="J20" s="34"/>
    </row>
    <row r="21" customFormat="false" ht="15" hidden="false" customHeight="false" outlineLevel="0" collapsed="false">
      <c r="A21" s="35" t="n">
        <v>18</v>
      </c>
      <c r="B21" s="35" t="s">
        <v>74</v>
      </c>
      <c r="C21" s="35" t="s">
        <v>94</v>
      </c>
      <c r="D21" s="35" t="s">
        <v>256</v>
      </c>
      <c r="E21" s="6" t="s">
        <v>618</v>
      </c>
      <c r="F21" s="6" t="s">
        <v>619</v>
      </c>
      <c r="G21" s="35" t="n">
        <v>35</v>
      </c>
      <c r="H21" s="35" t="n">
        <v>75</v>
      </c>
      <c r="I21" s="31" t="b">
        <f aca="false">FALSE()</f>
        <v>0</v>
      </c>
      <c r="J21" s="34"/>
    </row>
    <row r="22" customFormat="false" ht="15" hidden="false" customHeight="false" outlineLevel="0" collapsed="false">
      <c r="A22" s="35" t="n">
        <v>19</v>
      </c>
      <c r="B22" s="35" t="s">
        <v>75</v>
      </c>
      <c r="C22" s="35" t="s">
        <v>94</v>
      </c>
      <c r="D22" s="35" t="s">
        <v>287</v>
      </c>
      <c r="E22" s="6" t="s">
        <v>620</v>
      </c>
      <c r="F22" s="6" t="s">
        <v>610</v>
      </c>
      <c r="G22" s="35" t="n">
        <v>20</v>
      </c>
      <c r="H22" s="35" t="n">
        <v>79</v>
      </c>
      <c r="I22" s="31" t="b">
        <f aca="false">FALSE()</f>
        <v>0</v>
      </c>
      <c r="J22" s="34"/>
    </row>
    <row r="23" customFormat="false" ht="23.85" hidden="false" customHeight="false" outlineLevel="0" collapsed="false">
      <c r="A23" s="35" t="n">
        <v>20</v>
      </c>
      <c r="B23" s="35" t="s">
        <v>75</v>
      </c>
      <c r="C23" s="35" t="s">
        <v>94</v>
      </c>
      <c r="D23" s="35" t="s">
        <v>213</v>
      </c>
      <c r="E23" s="6" t="s">
        <v>621</v>
      </c>
      <c r="F23" s="6" t="s">
        <v>622</v>
      </c>
      <c r="G23" s="35" t="n">
        <v>4</v>
      </c>
      <c r="H23" s="35" t="n">
        <v>80</v>
      </c>
      <c r="I23" s="31" t="b">
        <f aca="false">FALSE()</f>
        <v>0</v>
      </c>
      <c r="J23" s="34"/>
    </row>
    <row r="24" customFormat="false" ht="15" hidden="false" customHeight="false" outlineLevel="0" collapsed="false">
      <c r="A24" s="35" t="n">
        <v>21</v>
      </c>
      <c r="B24" s="35" t="s">
        <v>75</v>
      </c>
      <c r="C24" s="35" t="s">
        <v>94</v>
      </c>
      <c r="D24" s="35" t="s">
        <v>623</v>
      </c>
      <c r="E24" s="6" t="s">
        <v>624</v>
      </c>
      <c r="F24" s="6" t="s">
        <v>625</v>
      </c>
      <c r="G24" s="35" t="n">
        <v>4</v>
      </c>
      <c r="H24" s="35" t="n">
        <v>80</v>
      </c>
      <c r="I24" s="31" t="b">
        <f aca="false">FALSE()</f>
        <v>0</v>
      </c>
      <c r="J24" s="34"/>
    </row>
    <row r="25" customFormat="false" ht="15" hidden="false" customHeight="false" outlineLevel="0" collapsed="false">
      <c r="A25" s="35" t="n">
        <v>22</v>
      </c>
      <c r="B25" s="35" t="s">
        <v>76</v>
      </c>
      <c r="C25" s="35" t="s">
        <v>94</v>
      </c>
      <c r="D25" s="35" t="s">
        <v>408</v>
      </c>
      <c r="E25" s="6" t="s">
        <v>626</v>
      </c>
      <c r="F25" s="6" t="s">
        <v>627</v>
      </c>
      <c r="G25" s="35" t="n">
        <v>10</v>
      </c>
      <c r="H25" s="35" t="n">
        <v>86</v>
      </c>
      <c r="I25" s="31" t="b">
        <f aca="false">FALSE()</f>
        <v>0</v>
      </c>
      <c r="J25" s="34"/>
    </row>
    <row r="26" customFormat="false" ht="23.85" hidden="false" customHeight="false" outlineLevel="0" collapsed="false">
      <c r="A26" s="35" t="n">
        <v>23</v>
      </c>
      <c r="B26" s="35" t="s">
        <v>76</v>
      </c>
      <c r="C26" s="35" t="s">
        <v>94</v>
      </c>
      <c r="D26" s="35" t="s">
        <v>628</v>
      </c>
      <c r="E26" s="6" t="s">
        <v>629</v>
      </c>
      <c r="F26" s="6" t="s">
        <v>630</v>
      </c>
      <c r="G26" s="35" t="n">
        <v>24</v>
      </c>
      <c r="H26" s="35" t="s">
        <v>631</v>
      </c>
      <c r="I26" s="31" t="b">
        <f aca="false">FALSE()</f>
        <v>0</v>
      </c>
      <c r="J26" s="34"/>
    </row>
  </sheetData>
  <autoFilter ref="A3:J26"/>
  <conditionalFormatting sqref="A4:J26">
    <cfRule type="expression" priority="2" aboveAverage="0" equalAverage="0" bottom="0" percent="0" rank="0" text="" dxfId="10">
      <formula>$I4=1</formula>
    </cfRule>
  </conditionalFormatting>
  <dataValidations count="1">
    <dataValidation allowBlank="true" errorStyle="stop" operator="between" showDropDown="false" showErrorMessage="false" showInputMessage="false" sqref="I4:I26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2026-10-16T08:05:28Z</dcterms:created>
  <dc:creator>openpyxl</dc:creator>
  <dc:description/>
  <dc:language>en-US</dc:language>
  <cp:lastModifiedBy/>
  <dcterms:modified xsi:type="dcterms:W3CDTF">2026-10-16T08:05:28Z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