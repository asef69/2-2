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Intro + Languages" sheetId="3" state="visible" r:id="rId3"/>
    <sheet xmlns:r="http://schemas.openxmlformats.org/officeDocument/2006/relationships" name="2 DFA" sheetId="4" state="visible" r:id="rId4"/>
    <sheet xmlns:r="http://schemas.openxmlformats.org/officeDocument/2006/relationships" name="3 NFA" sheetId="5" state="visible" r:id="rId5"/>
    <sheet xmlns:r="http://schemas.openxmlformats.org/officeDocument/2006/relationships" name="4 Regular Languages" sheetId="6" state="visible" r:id="rId6"/>
    <sheet xmlns:r="http://schemas.openxmlformats.org/officeDocument/2006/relationships" name="5 Pumping Lemma" sheetId="7" state="visible" r:id="rId7"/>
    <sheet xmlns:r="http://schemas.openxmlformats.org/officeDocument/2006/relationships" name="6 CFG" sheetId="8" state="visible" r:id="rId8"/>
    <sheet xmlns:r="http://schemas.openxmlformats.org/officeDocument/2006/relationships" name="7 PDA (see Atif tracker)" sheetId="9" state="visible" r:id="rId9"/>
  </sheets>
  <definedNames>
    <definedName name="_xlnm._FilterDatabase" localSheetId="2" hidden="1">'1 Intro + Languages'!$A$3:$Q$9</definedName>
    <definedName name="_xlnm._FilterDatabase" localSheetId="3" hidden="1">'2 DFA'!$A$3:$Q$41</definedName>
    <definedName name="_xlnm._FilterDatabase" localSheetId="4" hidden="1">'3 NFA'!$A$3:$Q$37</definedName>
    <definedName name="_xlnm._FilterDatabase" localSheetId="5" hidden="1">'4 Regular Languages'!$A$3:$Q$54</definedName>
    <definedName name="_xlnm._FilterDatabase" localSheetId="6" hidden="1">'5 Pumping Lemma'!$A$3:$Q$31</definedName>
    <definedName name="_xlnm._FilterDatabase" localSheetId="7" hidden="1">'6 CFG'!$A$3:$Q$51</definedName>
    <definedName name="_xlnm._FilterDatabase" localSheetId="8" hidden="1">'7 PDA (see Atif tracker)'!$A$3:$Q$4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9" fontId="5" fillId="9" borderId="1" applyAlignment="1" pivotButton="0" quotePrefix="0" xfId="0">
      <alignment horizontal="center"/>
    </xf>
    <xf numFmtId="0" fontId="6" fillId="0" borderId="0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211 (Hakim Sir part) — TF Practice Tracker</t>
        </is>
      </c>
    </row>
    <row r="3">
      <c r="B3" s="2" t="inlineStr">
        <is>
          <t>Every Hakim-part question in CSE 211 All Merged Questions.pdf (2023-24 rows: CSE 211 (22 batch).pdf),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1–7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CSE 211 All Merged Questions.pdf (2023-24 rows: CSE 211 (22 batch).pdf)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Every paper in the collection carries the code CSE 211.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1–7.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Intro + Languages</t>
        </is>
      </c>
      <c r="C5" s="8">
        <f>COUNTA('1 Intro + Languages'!$E$4:$E$9)</f>
        <v/>
      </c>
      <c r="D5" s="8">
        <f>COUNTIF('1 Intro + Languages'!$N$4:$N$9,TRUE())</f>
        <v/>
      </c>
      <c r="E5" s="10">
        <f>IF(C5=0,0,D5/C5)</f>
        <v/>
      </c>
      <c r="F5" s="8">
        <f>SUM('1 Intro + Languages'!$H$4:$H$9)</f>
        <v/>
      </c>
      <c r="G5" s="8">
        <f>SUMIF('1 Intro + Languages'!$N$4:$N$9,TRUE(),'1 Intro + Languages'!$H$4:$H$9)</f>
        <v/>
      </c>
      <c r="H5" s="8">
        <f>COUNTIFS('1 Intro + Languages'!$J$4:$J$9,"★★★ High",'1 Intro + Languages'!$N$4:$N$9,FALSE())</f>
        <v/>
      </c>
      <c r="I5" s="8">
        <f>COUNTIF('1 Intro + Languages'!$O$4:$O$9,"Weak")</f>
        <v/>
      </c>
      <c r="J5" s="9">
        <f>IFERROR("Q"&amp;INDEX('1 Intro + Languages'!$A$4:$A$9,MATCH(FALSE(),'1 Intro + Languages'!$N$4:$N$9,0))&amp;" · "&amp;INDEX('1 Intro + Languages'!$B$4:$B$9,MATCH(FALSE(),'1 Intro + Languages'!$N$4:$N$9,0))&amp;" "&amp;INDEX('1 Intro + Languages'!$D$4:$D$9,MATCH(FALSE(),'1 Intro + Languages'!$N$4:$N$9,0))&amp;" · TF p."&amp;INDEX('1 Intro + Languages'!$I$4:$I$9,MATCH(FALSE(),'1 Intro + Languages'!$N$4:$N$9,0)),"All done ✔")</f>
        <v/>
      </c>
    </row>
    <row r="6">
      <c r="A6" s="8" t="n">
        <v>2</v>
      </c>
      <c r="B6" s="9" t="inlineStr">
        <is>
          <t>2 DFA</t>
        </is>
      </c>
      <c r="C6" s="8">
        <f>COUNTA('2 DFA'!$E$4:$E$41)</f>
        <v/>
      </c>
      <c r="D6" s="8">
        <f>COUNTIF('2 DFA'!$N$4:$N$41,TRUE())</f>
        <v/>
      </c>
      <c r="E6" s="10">
        <f>IF(C6=0,0,D6/C6)</f>
        <v/>
      </c>
      <c r="F6" s="8">
        <f>SUM('2 DFA'!$H$4:$H$41)</f>
        <v/>
      </c>
      <c r="G6" s="8">
        <f>SUMIF('2 DFA'!$N$4:$N$41,TRUE(),'2 DFA'!$H$4:$H$41)</f>
        <v/>
      </c>
      <c r="H6" s="8">
        <f>COUNTIFS('2 DFA'!$J$4:$J$41,"★★★ High",'2 DFA'!$N$4:$N$41,FALSE())</f>
        <v/>
      </c>
      <c r="I6" s="8">
        <f>COUNTIF('2 DFA'!$O$4:$O$41,"Weak")</f>
        <v/>
      </c>
      <c r="J6" s="9">
        <f>IFERROR("Q"&amp;INDEX('2 DFA'!$A$4:$A$41,MATCH(FALSE(),'2 DFA'!$N$4:$N$41,0))&amp;" · "&amp;INDEX('2 DFA'!$B$4:$B$41,MATCH(FALSE(),'2 DFA'!$N$4:$N$41,0))&amp;" "&amp;INDEX('2 DFA'!$D$4:$D$41,MATCH(FALSE(),'2 DFA'!$N$4:$N$41,0))&amp;" · TF p."&amp;INDEX('2 DFA'!$I$4:$I$41,MATCH(FALSE(),'2 DFA'!$N$4:$N$41,0)),"All done ✔")</f>
        <v/>
      </c>
    </row>
    <row r="7">
      <c r="A7" s="8" t="n">
        <v>3</v>
      </c>
      <c r="B7" s="9" t="inlineStr">
        <is>
          <t>3 NFA</t>
        </is>
      </c>
      <c r="C7" s="8">
        <f>COUNTA('3 NFA'!$E$4:$E$37)</f>
        <v/>
      </c>
      <c r="D7" s="8">
        <f>COUNTIF('3 NFA'!$N$4:$N$37,TRUE())</f>
        <v/>
      </c>
      <c r="E7" s="10">
        <f>IF(C7=0,0,D7/C7)</f>
        <v/>
      </c>
      <c r="F7" s="8">
        <f>SUM('3 NFA'!$H$4:$H$37)</f>
        <v/>
      </c>
      <c r="G7" s="8">
        <f>SUMIF('3 NFA'!$N$4:$N$37,TRUE(),'3 NFA'!$H$4:$H$37)</f>
        <v/>
      </c>
      <c r="H7" s="8">
        <f>COUNTIFS('3 NFA'!$J$4:$J$37,"★★★ High",'3 NFA'!$N$4:$N$37,FALSE())</f>
        <v/>
      </c>
      <c r="I7" s="8">
        <f>COUNTIF('3 NFA'!$O$4:$O$37,"Weak")</f>
        <v/>
      </c>
      <c r="J7" s="9">
        <f>IFERROR("Q"&amp;INDEX('3 NFA'!$A$4:$A$37,MATCH(FALSE(),'3 NFA'!$N$4:$N$37,0))&amp;" · "&amp;INDEX('3 NFA'!$B$4:$B$37,MATCH(FALSE(),'3 NFA'!$N$4:$N$37,0))&amp;" "&amp;INDEX('3 NFA'!$D$4:$D$37,MATCH(FALSE(),'3 NFA'!$N$4:$N$37,0))&amp;" · TF p."&amp;INDEX('3 NFA'!$I$4:$I$37,MATCH(FALSE(),'3 NFA'!$N$4:$N$37,0)),"All done ✔")</f>
        <v/>
      </c>
    </row>
    <row r="8">
      <c r="A8" s="8" t="n">
        <v>4</v>
      </c>
      <c r="B8" s="9" t="inlineStr">
        <is>
          <t>4 Regular Languages</t>
        </is>
      </c>
      <c r="C8" s="8">
        <f>COUNTA('4 Regular Languages'!$E$4:$E$54)</f>
        <v/>
      </c>
      <c r="D8" s="8">
        <f>COUNTIF('4 Regular Languages'!$N$4:$N$54,TRUE())</f>
        <v/>
      </c>
      <c r="E8" s="10">
        <f>IF(C8=0,0,D8/C8)</f>
        <v/>
      </c>
      <c r="F8" s="8">
        <f>SUM('4 Regular Languages'!$H$4:$H$54)</f>
        <v/>
      </c>
      <c r="G8" s="8">
        <f>SUMIF('4 Regular Languages'!$N$4:$N$54,TRUE(),'4 Regular Languages'!$H$4:$H$54)</f>
        <v/>
      </c>
      <c r="H8" s="8">
        <f>COUNTIFS('4 Regular Languages'!$J$4:$J$54,"★★★ High",'4 Regular Languages'!$N$4:$N$54,FALSE())</f>
        <v/>
      </c>
      <c r="I8" s="8">
        <f>COUNTIF('4 Regular Languages'!$O$4:$O$54,"Weak")</f>
        <v/>
      </c>
      <c r="J8" s="9">
        <f>IFERROR("Q"&amp;INDEX('4 Regular Languages'!$A$4:$A$54,MATCH(FALSE(),'4 Regular Languages'!$N$4:$N$54,0))&amp;" · "&amp;INDEX('4 Regular Languages'!$B$4:$B$54,MATCH(FALSE(),'4 Regular Languages'!$N$4:$N$54,0))&amp;" "&amp;INDEX('4 Regular Languages'!$D$4:$D$54,MATCH(FALSE(),'4 Regular Languages'!$N$4:$N$54,0))&amp;" · TF p."&amp;INDEX('4 Regular Languages'!$I$4:$I$54,MATCH(FALSE(),'4 Regular Languages'!$N$4:$N$54,0)),"All done ✔")</f>
        <v/>
      </c>
    </row>
    <row r="9">
      <c r="A9" s="8" t="n">
        <v>5</v>
      </c>
      <c r="B9" s="9" t="inlineStr">
        <is>
          <t>5 Pumping Lemma</t>
        </is>
      </c>
      <c r="C9" s="8">
        <f>COUNTA('5 Pumping Lemma'!$E$4:$E$31)</f>
        <v/>
      </c>
      <c r="D9" s="8">
        <f>COUNTIF('5 Pumping Lemma'!$N$4:$N$31,TRUE())</f>
        <v/>
      </c>
      <c r="E9" s="10">
        <f>IF(C9=0,0,D9/C9)</f>
        <v/>
      </c>
      <c r="F9" s="8">
        <f>SUM('5 Pumping Lemma'!$H$4:$H$31)</f>
        <v/>
      </c>
      <c r="G9" s="8">
        <f>SUMIF('5 Pumping Lemma'!$N$4:$N$31,TRUE(),'5 Pumping Lemma'!$H$4:$H$31)</f>
        <v/>
      </c>
      <c r="H9" s="8">
        <f>COUNTIFS('5 Pumping Lemma'!$J$4:$J$31,"★★★ High",'5 Pumping Lemma'!$N$4:$N$31,FALSE())</f>
        <v/>
      </c>
      <c r="I9" s="8">
        <f>COUNTIF('5 Pumping Lemma'!$O$4:$O$31,"Weak")</f>
        <v/>
      </c>
      <c r="J9" s="9">
        <f>IFERROR("Q"&amp;INDEX('5 Pumping Lemma'!$A$4:$A$31,MATCH(FALSE(),'5 Pumping Lemma'!$N$4:$N$31,0))&amp;" · "&amp;INDEX('5 Pumping Lemma'!$B$4:$B$31,MATCH(FALSE(),'5 Pumping Lemma'!$N$4:$N$31,0))&amp;" "&amp;INDEX('5 Pumping Lemma'!$D$4:$D$31,MATCH(FALSE(),'5 Pumping Lemma'!$N$4:$N$31,0))&amp;" · TF p."&amp;INDEX('5 Pumping Lemma'!$I$4:$I$31,MATCH(FALSE(),'5 Pumping Lemma'!$N$4:$N$31,0)),"All done ✔")</f>
        <v/>
      </c>
    </row>
    <row r="10">
      <c r="A10" s="8" t="n">
        <v>6</v>
      </c>
      <c r="B10" s="9" t="inlineStr">
        <is>
          <t>6 CFG</t>
        </is>
      </c>
      <c r="C10" s="8">
        <f>COUNTA('6 CFG'!$E$4:$E$51)</f>
        <v/>
      </c>
      <c r="D10" s="8">
        <f>COUNTIF('6 CFG'!$N$4:$N$51,TRUE())</f>
        <v/>
      </c>
      <c r="E10" s="10">
        <f>IF(C10=0,0,D10/C10)</f>
        <v/>
      </c>
      <c r="F10" s="8">
        <f>SUM('6 CFG'!$H$4:$H$51)</f>
        <v/>
      </c>
      <c r="G10" s="8">
        <f>SUMIF('6 CFG'!$N$4:$N$51,TRUE(),'6 CFG'!$H$4:$H$51)</f>
        <v/>
      </c>
      <c r="H10" s="8">
        <f>COUNTIFS('6 CFG'!$J$4:$J$51,"★★★ High",'6 CFG'!$N$4:$N$51,FALSE())</f>
        <v/>
      </c>
      <c r="I10" s="8">
        <f>COUNTIF('6 CFG'!$O$4:$O$51,"Weak")</f>
        <v/>
      </c>
      <c r="J10" s="9">
        <f>IFERROR("Q"&amp;INDEX('6 CFG'!$A$4:$A$51,MATCH(FALSE(),'6 CFG'!$N$4:$N$51,0))&amp;" · "&amp;INDEX('6 CFG'!$B$4:$B$51,MATCH(FALSE(),'6 CFG'!$N$4:$N$51,0))&amp;" "&amp;INDEX('6 CFG'!$D$4:$D$51,MATCH(FALSE(),'6 CFG'!$N$4:$N$51,0))&amp;" · TF p."&amp;INDEX('6 CFG'!$I$4:$I$51,MATCH(FALSE(),'6 CFG'!$N$4:$N$51,0)),"All done ✔")</f>
        <v/>
      </c>
    </row>
    <row r="11">
      <c r="A11" s="8" t="n">
        <v>7</v>
      </c>
      <c r="B11" s="9" t="inlineStr">
        <is>
          <t>7 PDA (see Atif tracker)</t>
        </is>
      </c>
      <c r="C11" s="8">
        <f>COUNTA('7 PDA (see Atif tracker)'!$E$4:$E$4)</f>
        <v/>
      </c>
      <c r="D11" s="8">
        <f>COUNTIF('7 PDA (see Atif tracker)'!$N$4:$N$4,TRUE())</f>
        <v/>
      </c>
      <c r="E11" s="10">
        <f>IF(C11=0,0,D11/C11)</f>
        <v/>
      </c>
      <c r="F11" s="8">
        <f>SUM('7 PDA (see Atif tracker)'!$H$4:$H$4)</f>
        <v/>
      </c>
      <c r="G11" s="8">
        <f>SUMIF('7 PDA (see Atif tracker)'!$N$4:$N$4,TRUE(),'7 PDA (see Atif tracker)'!$H$4:$H$4)</f>
        <v/>
      </c>
      <c r="H11" s="8">
        <f>COUNTIFS('7 PDA (see Atif tracker)'!$J$4:$J$4,"★★★ High",'7 PDA (see Atif tracker)'!$N$4:$N$4,FALSE())</f>
        <v/>
      </c>
      <c r="I11" s="8">
        <f>COUNTIF('7 PDA (see Atif tracker)'!$O$4:$O$4,"Weak")</f>
        <v/>
      </c>
      <c r="J11" s="9">
        <f>IFERROR("Q"&amp;INDEX('7 PDA (see Atif tracker)'!$A$4:$A$4,MATCH(FALSE(),'7 PDA (see Atif tracker)'!$N$4:$N$4,0))&amp;" · "&amp;INDEX('7 PDA (see Atif tracker)'!$B$4:$B$4,MATCH(FALSE(),'7 PDA (see Atif tracker)'!$N$4:$N$4,0))&amp;" "&amp;INDEX('7 PDA (see Atif tracker)'!$D$4:$D$4,MATCH(FALSE(),'7 PDA (see Atif tracker)'!$N$4:$N$4,0))&amp;" · TF p."&amp;INDEX('7 PDA (see Atif tracker)'!$I$4:$I$4,MATCH(FALSE(),'7 PDA (see Atif tracker)'!$N$4:$N$4,0)),"All done ✔")</f>
        <v/>
      </c>
    </row>
    <row r="12">
      <c r="B12" s="11" t="inlineStr">
        <is>
          <t>TOTAL</t>
        </is>
      </c>
      <c r="C12" s="11">
        <f>SUM(C5:C11)</f>
        <v/>
      </c>
      <c r="D12" s="11">
        <f>SUM(D5:D11)</f>
        <v/>
      </c>
      <c r="E12" s="12">
        <f>IF(C12=0,0,D12/C12)</f>
        <v/>
      </c>
      <c r="F12" s="11">
        <f>SUM(F5:F11)</f>
        <v/>
      </c>
      <c r="G12" s="11">
        <f>SUM(G5:G11)</f>
        <v/>
      </c>
      <c r="H12" s="11">
        <f>SUM(H5:H11)</f>
        <v/>
      </c>
      <c r="I12" s="11">
        <f>SUM(I5:I11)</f>
        <v/>
      </c>
    </row>
    <row r="14">
      <c r="A14" s="13" t="inlineStr">
        <is>
          <t>Questions by year (tabs 1–7)</t>
        </is>
      </c>
    </row>
    <row r="15">
      <c r="A15" s="7" t="inlineStr">
        <is>
          <t>#</t>
        </is>
      </c>
      <c r="B15" s="7" t="inlineStr">
        <is>
          <t>Year</t>
        </is>
      </c>
      <c r="C15" s="7" t="inlineStr">
        <is>
          <t>Questions</t>
        </is>
      </c>
      <c r="D15" s="7" t="inlineStr">
        <is>
          <t>Done</t>
        </is>
      </c>
      <c r="E15" s="7" t="inlineStr">
        <is>
          <t>% Done</t>
        </is>
      </c>
      <c r="F15" s="7" t="inlineStr">
        <is>
          <t>Marks (total)</t>
        </is>
      </c>
    </row>
    <row r="16">
      <c r="A16" s="14" t="n">
        <v>1</v>
      </c>
      <c r="B16" s="14" t="inlineStr">
        <is>
          <t>2023-24</t>
        </is>
      </c>
      <c r="C16" s="14">
        <f>COUNTIF('1 Intro + Languages'!$B$4:$B$9,$B16)+COUNTIF('2 DFA'!$B$4:$B$41,$B16)+COUNTIF('3 NFA'!$B$4:$B$37,$B16)+COUNTIF('4 Regular Languages'!$B$4:$B$54,$B16)+COUNTIF('5 Pumping Lemma'!$B$4:$B$31,$B16)+COUNTIF('6 CFG'!$B$4:$B$51,$B16)+COUNTIF('7 PDA (see Atif tracker)'!$B$4:$B$4,$B16)</f>
        <v/>
      </c>
      <c r="D16" s="14">
        <f>COUNTIFS('1 Intro + Languages'!$B$4:$B$9,$B16,'1 Intro + Languages'!$N$4:$N$9,TRUE())+COUNTIFS('2 DFA'!$B$4:$B$41,$B16,'2 DFA'!$N$4:$N$41,TRUE())+COUNTIFS('3 NFA'!$B$4:$B$37,$B16,'3 NFA'!$N$4:$N$37,TRUE())+COUNTIFS('4 Regular Languages'!$B$4:$B$54,$B16,'4 Regular Languages'!$N$4:$N$54,TRUE())+COUNTIFS('5 Pumping Lemma'!$B$4:$B$31,$B16,'5 Pumping Lemma'!$N$4:$N$31,TRUE())+COUNTIFS('6 CFG'!$B$4:$B$51,$B16,'6 CFG'!$N$4:$N$51,TRUE())+COUNTIFS('7 PDA (see Atif tracker)'!$B$4:$B$4,$B16,'7 PDA (see Atif tracker)'!$N$4:$N$4,TRUE())</f>
        <v/>
      </c>
      <c r="E16" s="15">
        <f>IF(C16=0,0,D16/C16)</f>
        <v/>
      </c>
      <c r="F16" s="14">
        <f>SUMIF('1 Intro + Languages'!$B$4:$B$9,$B16,'1 Intro + Languages'!$H$4:$H$9)+SUMIF('2 DFA'!$B$4:$B$41,$B16,'2 DFA'!$H$4:$H$41)+SUMIF('3 NFA'!$B$4:$B$37,$B16,'3 NFA'!$H$4:$H$37)+SUMIF('4 Regular Languages'!$B$4:$B$54,$B16,'4 Regular Languages'!$H$4:$H$54)+SUMIF('5 Pumping Lemma'!$B$4:$B$31,$B16,'5 Pumping Lemma'!$H$4:$H$31)+SUMIF('6 CFG'!$B$4:$B$51,$B16,'6 CFG'!$H$4:$H$51)+SUMIF('7 PDA (see Atif tracker)'!$B$4:$B$4,$B16,'7 PDA (see Atif tracker)'!$H$4:$H$4)</f>
        <v/>
      </c>
    </row>
    <row r="17">
      <c r="A17" s="14" t="n">
        <v>2</v>
      </c>
      <c r="B17" s="14" t="inlineStr">
        <is>
          <t>2022-23</t>
        </is>
      </c>
      <c r="C17" s="14">
        <f>COUNTIF('1 Intro + Languages'!$B$4:$B$9,$B17)+COUNTIF('2 DFA'!$B$4:$B$41,$B17)+COUNTIF('3 NFA'!$B$4:$B$37,$B17)+COUNTIF('4 Regular Languages'!$B$4:$B$54,$B17)+COUNTIF('5 Pumping Lemma'!$B$4:$B$31,$B17)+COUNTIF('6 CFG'!$B$4:$B$51,$B17)+COUNTIF('7 PDA (see Atif tracker)'!$B$4:$B$4,$B17)</f>
        <v/>
      </c>
      <c r="D17" s="14">
        <f>COUNTIFS('1 Intro + Languages'!$B$4:$B$9,$B17,'1 Intro + Languages'!$N$4:$N$9,TRUE())+COUNTIFS('2 DFA'!$B$4:$B$41,$B17,'2 DFA'!$N$4:$N$41,TRUE())+COUNTIFS('3 NFA'!$B$4:$B$37,$B17,'3 NFA'!$N$4:$N$37,TRUE())+COUNTIFS('4 Regular Languages'!$B$4:$B$54,$B17,'4 Regular Languages'!$N$4:$N$54,TRUE())+COUNTIFS('5 Pumping Lemma'!$B$4:$B$31,$B17,'5 Pumping Lemma'!$N$4:$N$31,TRUE())+COUNTIFS('6 CFG'!$B$4:$B$51,$B17,'6 CFG'!$N$4:$N$51,TRUE())+COUNTIFS('7 PDA (see Atif tracker)'!$B$4:$B$4,$B17,'7 PDA (see Atif tracker)'!$N$4:$N$4,TRUE())</f>
        <v/>
      </c>
      <c r="E17" s="15">
        <f>IF(C17=0,0,D17/C17)</f>
        <v/>
      </c>
      <c r="F17" s="14">
        <f>SUMIF('1 Intro + Languages'!$B$4:$B$9,$B17,'1 Intro + Languages'!$H$4:$H$9)+SUMIF('2 DFA'!$B$4:$B$41,$B17,'2 DFA'!$H$4:$H$41)+SUMIF('3 NFA'!$B$4:$B$37,$B17,'3 NFA'!$H$4:$H$37)+SUMIF('4 Regular Languages'!$B$4:$B$54,$B17,'4 Regular Languages'!$H$4:$H$54)+SUMIF('5 Pumping Lemma'!$B$4:$B$31,$B17,'5 Pumping Lemma'!$H$4:$H$31)+SUMIF('6 CFG'!$B$4:$B$51,$B17,'6 CFG'!$H$4:$H$51)+SUMIF('7 PDA (see Atif tracker)'!$B$4:$B$4,$B17,'7 PDA (see Atif tracker)'!$H$4:$H$4)</f>
        <v/>
      </c>
    </row>
    <row r="18">
      <c r="A18" s="14" t="n">
        <v>3</v>
      </c>
      <c r="B18" s="14" t="inlineStr">
        <is>
          <t>2021-22</t>
        </is>
      </c>
      <c r="C18" s="14">
        <f>COUNTIF('1 Intro + Languages'!$B$4:$B$9,$B18)+COUNTIF('2 DFA'!$B$4:$B$41,$B18)+COUNTIF('3 NFA'!$B$4:$B$37,$B18)+COUNTIF('4 Regular Languages'!$B$4:$B$54,$B18)+COUNTIF('5 Pumping Lemma'!$B$4:$B$31,$B18)+COUNTIF('6 CFG'!$B$4:$B$51,$B18)+COUNTIF('7 PDA (see Atif tracker)'!$B$4:$B$4,$B18)</f>
        <v/>
      </c>
      <c r="D18" s="14">
        <f>COUNTIFS('1 Intro + Languages'!$B$4:$B$9,$B18,'1 Intro + Languages'!$N$4:$N$9,TRUE())+COUNTIFS('2 DFA'!$B$4:$B$41,$B18,'2 DFA'!$N$4:$N$41,TRUE())+COUNTIFS('3 NFA'!$B$4:$B$37,$B18,'3 NFA'!$N$4:$N$37,TRUE())+COUNTIFS('4 Regular Languages'!$B$4:$B$54,$B18,'4 Regular Languages'!$N$4:$N$54,TRUE())+COUNTIFS('5 Pumping Lemma'!$B$4:$B$31,$B18,'5 Pumping Lemma'!$N$4:$N$31,TRUE())+COUNTIFS('6 CFG'!$B$4:$B$51,$B18,'6 CFG'!$N$4:$N$51,TRUE())+COUNTIFS('7 PDA (see Atif tracker)'!$B$4:$B$4,$B18,'7 PDA (see Atif tracker)'!$N$4:$N$4,TRUE())</f>
        <v/>
      </c>
      <c r="E18" s="15">
        <f>IF(C18=0,0,D18/C18)</f>
        <v/>
      </c>
      <c r="F18" s="14">
        <f>SUMIF('1 Intro + Languages'!$B$4:$B$9,$B18,'1 Intro + Languages'!$H$4:$H$9)+SUMIF('2 DFA'!$B$4:$B$41,$B18,'2 DFA'!$H$4:$H$41)+SUMIF('3 NFA'!$B$4:$B$37,$B18,'3 NFA'!$H$4:$H$37)+SUMIF('4 Regular Languages'!$B$4:$B$54,$B18,'4 Regular Languages'!$H$4:$H$54)+SUMIF('5 Pumping Lemma'!$B$4:$B$31,$B18,'5 Pumping Lemma'!$H$4:$H$31)+SUMIF('6 CFG'!$B$4:$B$51,$B18,'6 CFG'!$H$4:$H$51)+SUMIF('7 PDA (see Atif tracker)'!$B$4:$B$4,$B18,'7 PDA (see Atif tracker)'!$H$4:$H$4)</f>
        <v/>
      </c>
    </row>
    <row r="19">
      <c r="A19" s="14" t="n">
        <v>4</v>
      </c>
      <c r="B19" s="14" t="inlineStr">
        <is>
          <t>2020 (Jan term)</t>
        </is>
      </c>
      <c r="C19" s="14">
        <f>COUNTIF('1 Intro + Languages'!$B$4:$B$9,$B19)+COUNTIF('2 DFA'!$B$4:$B$41,$B19)+COUNTIF('3 NFA'!$B$4:$B$37,$B19)+COUNTIF('4 Regular Languages'!$B$4:$B$54,$B19)+COUNTIF('5 Pumping Lemma'!$B$4:$B$31,$B19)+COUNTIF('6 CFG'!$B$4:$B$51,$B19)+COUNTIF('7 PDA (see Atif tracker)'!$B$4:$B$4,$B19)</f>
        <v/>
      </c>
      <c r="D19" s="14">
        <f>COUNTIFS('1 Intro + Languages'!$B$4:$B$9,$B19,'1 Intro + Languages'!$N$4:$N$9,TRUE())+COUNTIFS('2 DFA'!$B$4:$B$41,$B19,'2 DFA'!$N$4:$N$41,TRUE())+COUNTIFS('3 NFA'!$B$4:$B$37,$B19,'3 NFA'!$N$4:$N$37,TRUE())+COUNTIFS('4 Regular Languages'!$B$4:$B$54,$B19,'4 Regular Languages'!$N$4:$N$54,TRUE())+COUNTIFS('5 Pumping Lemma'!$B$4:$B$31,$B19,'5 Pumping Lemma'!$N$4:$N$31,TRUE())+COUNTIFS('6 CFG'!$B$4:$B$51,$B19,'6 CFG'!$N$4:$N$51,TRUE())+COUNTIFS('7 PDA (see Atif tracker)'!$B$4:$B$4,$B19,'7 PDA (see Atif tracker)'!$N$4:$N$4,TRUE())</f>
        <v/>
      </c>
      <c r="E19" s="15">
        <f>IF(C19=0,0,D19/C19)</f>
        <v/>
      </c>
      <c r="F19" s="14">
        <f>SUMIF('1 Intro + Languages'!$B$4:$B$9,$B19,'1 Intro + Languages'!$H$4:$H$9)+SUMIF('2 DFA'!$B$4:$B$41,$B19,'2 DFA'!$H$4:$H$41)+SUMIF('3 NFA'!$B$4:$B$37,$B19,'3 NFA'!$H$4:$H$37)+SUMIF('4 Regular Languages'!$B$4:$B$54,$B19,'4 Regular Languages'!$H$4:$H$54)+SUMIF('5 Pumping Lemma'!$B$4:$B$31,$B19,'5 Pumping Lemma'!$H$4:$H$31)+SUMIF('6 CFG'!$B$4:$B$51,$B19,'6 CFG'!$H$4:$H$51)+SUMIF('7 PDA (see Atif tracker)'!$B$4:$B$4,$B19,'7 PDA (see Atif tracker)'!$H$4:$H$4)</f>
        <v/>
      </c>
    </row>
    <row r="20">
      <c r="A20" s="14" t="n">
        <v>5</v>
      </c>
      <c r="B20" s="14" t="inlineStr">
        <is>
          <t>2019-20</t>
        </is>
      </c>
      <c r="C20" s="14">
        <f>COUNTIF('1 Intro + Languages'!$B$4:$B$9,$B20)+COUNTIF('2 DFA'!$B$4:$B$41,$B20)+COUNTIF('3 NFA'!$B$4:$B$37,$B20)+COUNTIF('4 Regular Languages'!$B$4:$B$54,$B20)+COUNTIF('5 Pumping Lemma'!$B$4:$B$31,$B20)+COUNTIF('6 CFG'!$B$4:$B$51,$B20)+COUNTIF('7 PDA (see Atif tracker)'!$B$4:$B$4,$B20)</f>
        <v/>
      </c>
      <c r="D20" s="14">
        <f>COUNTIFS('1 Intro + Languages'!$B$4:$B$9,$B20,'1 Intro + Languages'!$N$4:$N$9,TRUE())+COUNTIFS('2 DFA'!$B$4:$B$41,$B20,'2 DFA'!$N$4:$N$41,TRUE())+COUNTIFS('3 NFA'!$B$4:$B$37,$B20,'3 NFA'!$N$4:$N$37,TRUE())+COUNTIFS('4 Regular Languages'!$B$4:$B$54,$B20,'4 Regular Languages'!$N$4:$N$54,TRUE())+COUNTIFS('5 Pumping Lemma'!$B$4:$B$31,$B20,'5 Pumping Lemma'!$N$4:$N$31,TRUE())+COUNTIFS('6 CFG'!$B$4:$B$51,$B20,'6 CFG'!$N$4:$N$51,TRUE())+COUNTIFS('7 PDA (see Atif tracker)'!$B$4:$B$4,$B20,'7 PDA (see Atif tracker)'!$N$4:$N$4,TRUE())</f>
        <v/>
      </c>
      <c r="E20" s="15">
        <f>IF(C20=0,0,D20/C20)</f>
        <v/>
      </c>
      <c r="F20" s="14">
        <f>SUMIF('1 Intro + Languages'!$B$4:$B$9,$B20,'1 Intro + Languages'!$H$4:$H$9)+SUMIF('2 DFA'!$B$4:$B$41,$B20,'2 DFA'!$H$4:$H$41)+SUMIF('3 NFA'!$B$4:$B$37,$B20,'3 NFA'!$H$4:$H$37)+SUMIF('4 Regular Languages'!$B$4:$B$54,$B20,'4 Regular Languages'!$H$4:$H$54)+SUMIF('5 Pumping Lemma'!$B$4:$B$31,$B20,'5 Pumping Lemma'!$H$4:$H$31)+SUMIF('6 CFG'!$B$4:$B$51,$B20,'6 CFG'!$H$4:$H$51)+SUMIF('7 PDA (see Atif tracker)'!$B$4:$B$4,$B20,'7 PDA (see Atif tracker)'!$H$4:$H$4)</f>
        <v/>
      </c>
    </row>
    <row r="21">
      <c r="A21" s="16" t="n">
        <v>6</v>
      </c>
      <c r="B21" s="16" t="inlineStr">
        <is>
          <t>2017-18</t>
        </is>
      </c>
      <c r="C21" s="16">
        <f>COUNTIF('1 Intro + Languages'!$B$4:$B$9,$B21)+COUNTIF('2 DFA'!$B$4:$B$41,$B21)+COUNTIF('3 NFA'!$B$4:$B$37,$B21)+COUNTIF('4 Regular Languages'!$B$4:$B$54,$B21)+COUNTIF('5 Pumping Lemma'!$B$4:$B$31,$B21)+COUNTIF('6 CFG'!$B$4:$B$51,$B21)+COUNTIF('7 PDA (see Atif tracker)'!$B$4:$B$4,$B21)</f>
        <v/>
      </c>
      <c r="D21" s="16">
        <f>COUNTIFS('1 Intro + Languages'!$B$4:$B$9,$B21,'1 Intro + Languages'!$N$4:$N$9,TRUE())+COUNTIFS('2 DFA'!$B$4:$B$41,$B21,'2 DFA'!$N$4:$N$41,TRUE())+COUNTIFS('3 NFA'!$B$4:$B$37,$B21,'3 NFA'!$N$4:$N$37,TRUE())+COUNTIFS('4 Regular Languages'!$B$4:$B$54,$B21,'4 Regular Languages'!$N$4:$N$54,TRUE())+COUNTIFS('5 Pumping Lemma'!$B$4:$B$31,$B21,'5 Pumping Lemma'!$N$4:$N$31,TRUE())+COUNTIFS('6 CFG'!$B$4:$B$51,$B21,'6 CFG'!$N$4:$N$51,TRUE())+COUNTIFS('7 PDA (see Atif tracker)'!$B$4:$B$4,$B21,'7 PDA (see Atif tracker)'!$N$4:$N$4,TRUE())</f>
        <v/>
      </c>
      <c r="E21" s="17">
        <f>IF(C21=0,0,D21/C21)</f>
        <v/>
      </c>
      <c r="F21" s="16">
        <f>SUMIF('1 Intro + Languages'!$B$4:$B$9,$B21,'1 Intro + Languages'!$H$4:$H$9)+SUMIF('2 DFA'!$B$4:$B$41,$B21,'2 DFA'!$H$4:$H$41)+SUMIF('3 NFA'!$B$4:$B$37,$B21,'3 NFA'!$H$4:$H$37)+SUMIF('4 Regular Languages'!$B$4:$B$54,$B21,'4 Regular Languages'!$H$4:$H$54)+SUMIF('5 Pumping Lemma'!$B$4:$B$31,$B21,'5 Pumping Lemma'!$H$4:$H$31)+SUMIF('6 CFG'!$B$4:$B$51,$B21,'6 CFG'!$H$4:$H$51)+SUMIF('7 PDA (see Atif tracker)'!$B$4:$B$4,$B21,'7 PDA (see Atif tracker)'!$H$4:$H$4)</f>
        <v/>
      </c>
    </row>
    <row r="22">
      <c r="A22" s="16" t="n">
        <v>7</v>
      </c>
      <c r="B22" s="16" t="inlineStr">
        <is>
          <t>2016-17</t>
        </is>
      </c>
      <c r="C22" s="16">
        <f>COUNTIF('1 Intro + Languages'!$B$4:$B$9,$B22)+COUNTIF('2 DFA'!$B$4:$B$41,$B22)+COUNTIF('3 NFA'!$B$4:$B$37,$B22)+COUNTIF('4 Regular Languages'!$B$4:$B$54,$B22)+COUNTIF('5 Pumping Lemma'!$B$4:$B$31,$B22)+COUNTIF('6 CFG'!$B$4:$B$51,$B22)+COUNTIF('7 PDA (see Atif tracker)'!$B$4:$B$4,$B22)</f>
        <v/>
      </c>
      <c r="D22" s="16">
        <f>COUNTIFS('1 Intro + Languages'!$B$4:$B$9,$B22,'1 Intro + Languages'!$N$4:$N$9,TRUE())+COUNTIFS('2 DFA'!$B$4:$B$41,$B22,'2 DFA'!$N$4:$N$41,TRUE())+COUNTIFS('3 NFA'!$B$4:$B$37,$B22,'3 NFA'!$N$4:$N$37,TRUE())+COUNTIFS('4 Regular Languages'!$B$4:$B$54,$B22,'4 Regular Languages'!$N$4:$N$54,TRUE())+COUNTIFS('5 Pumping Lemma'!$B$4:$B$31,$B22,'5 Pumping Lemma'!$N$4:$N$31,TRUE())+COUNTIFS('6 CFG'!$B$4:$B$51,$B22,'6 CFG'!$N$4:$N$51,TRUE())+COUNTIFS('7 PDA (see Atif tracker)'!$B$4:$B$4,$B22,'7 PDA (see Atif tracker)'!$N$4:$N$4,TRUE())</f>
        <v/>
      </c>
      <c r="E22" s="17">
        <f>IF(C22=0,0,D22/C22)</f>
        <v/>
      </c>
      <c r="F22" s="16">
        <f>SUMIF('1 Intro + Languages'!$B$4:$B$9,$B22,'1 Intro + Languages'!$H$4:$H$9)+SUMIF('2 DFA'!$B$4:$B$41,$B22,'2 DFA'!$H$4:$H$41)+SUMIF('3 NFA'!$B$4:$B$37,$B22,'3 NFA'!$H$4:$H$37)+SUMIF('4 Regular Languages'!$B$4:$B$54,$B22,'4 Regular Languages'!$H$4:$H$54)+SUMIF('5 Pumping Lemma'!$B$4:$B$31,$B22,'5 Pumping Lemma'!$H$4:$H$31)+SUMIF('6 CFG'!$B$4:$B$51,$B22,'6 CFG'!$H$4:$H$51)+SUMIF('7 PDA (see Atif tracker)'!$B$4:$B$4,$B22,'7 PDA (see Atif tracker)'!$H$4:$H$4)</f>
        <v/>
      </c>
    </row>
    <row r="23">
      <c r="A23" s="16" t="n">
        <v>8</v>
      </c>
      <c r="B23" s="16" t="inlineStr">
        <is>
          <t>2015-16</t>
        </is>
      </c>
      <c r="C23" s="16">
        <f>COUNTIF('1 Intro + Languages'!$B$4:$B$9,$B23)+COUNTIF('2 DFA'!$B$4:$B$41,$B23)+COUNTIF('3 NFA'!$B$4:$B$37,$B23)+COUNTIF('4 Regular Languages'!$B$4:$B$54,$B23)+COUNTIF('5 Pumping Lemma'!$B$4:$B$31,$B23)+COUNTIF('6 CFG'!$B$4:$B$51,$B23)+COUNTIF('7 PDA (see Atif tracker)'!$B$4:$B$4,$B23)</f>
        <v/>
      </c>
      <c r="D23" s="16">
        <f>COUNTIFS('1 Intro + Languages'!$B$4:$B$9,$B23,'1 Intro + Languages'!$N$4:$N$9,TRUE())+COUNTIFS('2 DFA'!$B$4:$B$41,$B23,'2 DFA'!$N$4:$N$41,TRUE())+COUNTIFS('3 NFA'!$B$4:$B$37,$B23,'3 NFA'!$N$4:$N$37,TRUE())+COUNTIFS('4 Regular Languages'!$B$4:$B$54,$B23,'4 Regular Languages'!$N$4:$N$54,TRUE())+COUNTIFS('5 Pumping Lemma'!$B$4:$B$31,$B23,'5 Pumping Lemma'!$N$4:$N$31,TRUE())+COUNTIFS('6 CFG'!$B$4:$B$51,$B23,'6 CFG'!$N$4:$N$51,TRUE())+COUNTIFS('7 PDA (see Atif tracker)'!$B$4:$B$4,$B23,'7 PDA (see Atif tracker)'!$N$4:$N$4,TRUE())</f>
        <v/>
      </c>
      <c r="E23" s="17">
        <f>IF(C23=0,0,D23/C23)</f>
        <v/>
      </c>
      <c r="F23" s="16">
        <f>SUMIF('1 Intro + Languages'!$B$4:$B$9,$B23,'1 Intro + Languages'!$H$4:$H$9)+SUMIF('2 DFA'!$B$4:$B$41,$B23,'2 DFA'!$H$4:$H$41)+SUMIF('3 NFA'!$B$4:$B$37,$B23,'3 NFA'!$H$4:$H$37)+SUMIF('4 Regular Languages'!$B$4:$B$54,$B23,'4 Regular Languages'!$H$4:$H$54)+SUMIF('5 Pumping Lemma'!$B$4:$B$31,$B23,'5 Pumping Lemma'!$H$4:$H$31)+SUMIF('6 CFG'!$B$4:$B$51,$B23,'6 CFG'!$H$4:$H$51)+SUMIF('7 PDA (see Atif tracker)'!$B$4:$B$4,$B23,'7 PDA (see Atif tracker)'!$H$4:$H$4)</f>
        <v/>
      </c>
    </row>
    <row r="24">
      <c r="A24" s="16" t="n">
        <v>9</v>
      </c>
      <c r="B24" s="16" t="inlineStr">
        <is>
          <t>2014-15</t>
        </is>
      </c>
      <c r="C24" s="16">
        <f>COUNTIF('1 Intro + Languages'!$B$4:$B$9,$B24)+COUNTIF('2 DFA'!$B$4:$B$41,$B24)+COUNTIF('3 NFA'!$B$4:$B$37,$B24)+COUNTIF('4 Regular Languages'!$B$4:$B$54,$B24)+COUNTIF('5 Pumping Lemma'!$B$4:$B$31,$B24)+COUNTIF('6 CFG'!$B$4:$B$51,$B24)+COUNTIF('7 PDA (see Atif tracker)'!$B$4:$B$4,$B24)</f>
        <v/>
      </c>
      <c r="D24" s="16">
        <f>COUNTIFS('1 Intro + Languages'!$B$4:$B$9,$B24,'1 Intro + Languages'!$N$4:$N$9,TRUE())+COUNTIFS('2 DFA'!$B$4:$B$41,$B24,'2 DFA'!$N$4:$N$41,TRUE())+COUNTIFS('3 NFA'!$B$4:$B$37,$B24,'3 NFA'!$N$4:$N$37,TRUE())+COUNTIFS('4 Regular Languages'!$B$4:$B$54,$B24,'4 Regular Languages'!$N$4:$N$54,TRUE())+COUNTIFS('5 Pumping Lemma'!$B$4:$B$31,$B24,'5 Pumping Lemma'!$N$4:$N$31,TRUE())+COUNTIFS('6 CFG'!$B$4:$B$51,$B24,'6 CFG'!$N$4:$N$51,TRUE())+COUNTIFS('7 PDA (see Atif tracker)'!$B$4:$B$4,$B24,'7 PDA (see Atif tracker)'!$N$4:$N$4,TRUE())</f>
        <v/>
      </c>
      <c r="E24" s="17">
        <f>IF(C24=0,0,D24/C24)</f>
        <v/>
      </c>
      <c r="F24" s="16">
        <f>SUMIF('1 Intro + Languages'!$B$4:$B$9,$B24,'1 Intro + Languages'!$H$4:$H$9)+SUMIF('2 DFA'!$B$4:$B$41,$B24,'2 DFA'!$H$4:$H$41)+SUMIF('3 NFA'!$B$4:$B$37,$B24,'3 NFA'!$H$4:$H$37)+SUMIF('4 Regular Languages'!$B$4:$B$54,$B24,'4 Regular Languages'!$H$4:$H$54)+SUMIF('5 Pumping Lemma'!$B$4:$B$31,$B24,'5 Pumping Lemma'!$H$4:$H$31)+SUMIF('6 CFG'!$B$4:$B$51,$B24,'6 CFG'!$H$4:$H$51)+SUMIF('7 PDA (see Atif tracker)'!$B$4:$B$4,$B24,'7 PDA (see Atif tracker)'!$H$4:$H$4)</f>
        <v/>
      </c>
    </row>
    <row r="25">
      <c r="A25" s="16" t="n">
        <v>10</v>
      </c>
      <c r="B25" s="16" t="inlineStr">
        <is>
          <t>2013-14</t>
        </is>
      </c>
      <c r="C25" s="16">
        <f>COUNTIF('1 Intro + Languages'!$B$4:$B$9,$B25)+COUNTIF('2 DFA'!$B$4:$B$41,$B25)+COUNTIF('3 NFA'!$B$4:$B$37,$B25)+COUNTIF('4 Regular Languages'!$B$4:$B$54,$B25)+COUNTIF('5 Pumping Lemma'!$B$4:$B$31,$B25)+COUNTIF('6 CFG'!$B$4:$B$51,$B25)+COUNTIF('7 PDA (see Atif tracker)'!$B$4:$B$4,$B25)</f>
        <v/>
      </c>
      <c r="D25" s="16">
        <f>COUNTIFS('1 Intro + Languages'!$B$4:$B$9,$B25,'1 Intro + Languages'!$N$4:$N$9,TRUE())+COUNTIFS('2 DFA'!$B$4:$B$41,$B25,'2 DFA'!$N$4:$N$41,TRUE())+COUNTIFS('3 NFA'!$B$4:$B$37,$B25,'3 NFA'!$N$4:$N$37,TRUE())+COUNTIFS('4 Regular Languages'!$B$4:$B$54,$B25,'4 Regular Languages'!$N$4:$N$54,TRUE())+COUNTIFS('5 Pumping Lemma'!$B$4:$B$31,$B25,'5 Pumping Lemma'!$N$4:$N$31,TRUE())+COUNTIFS('6 CFG'!$B$4:$B$51,$B25,'6 CFG'!$N$4:$N$51,TRUE())+COUNTIFS('7 PDA (see Atif tracker)'!$B$4:$B$4,$B25,'7 PDA (see Atif tracker)'!$N$4:$N$4,TRUE())</f>
        <v/>
      </c>
      <c r="E25" s="17">
        <f>IF(C25=0,0,D25/C25)</f>
        <v/>
      </c>
      <c r="F25" s="16">
        <f>SUMIF('1 Intro + Languages'!$B$4:$B$9,$B25,'1 Intro + Languages'!$H$4:$H$9)+SUMIF('2 DFA'!$B$4:$B$41,$B25,'2 DFA'!$H$4:$H$41)+SUMIF('3 NFA'!$B$4:$B$37,$B25,'3 NFA'!$H$4:$H$37)+SUMIF('4 Regular Languages'!$B$4:$B$54,$B25,'4 Regular Languages'!$H$4:$H$54)+SUMIF('5 Pumping Lemma'!$B$4:$B$31,$B25,'5 Pumping Lemma'!$H$4:$H$31)+SUMIF('6 CFG'!$B$4:$B$51,$B25,'6 CFG'!$H$4:$H$51)+SUMIF('7 PDA (see Atif tracker)'!$B$4:$B$4,$B25,'7 PDA (see Atif tracker)'!$H$4:$H$4)</f>
        <v/>
      </c>
    </row>
    <row r="26">
      <c r="A26" s="16" t="n">
        <v>11</v>
      </c>
      <c r="B26" s="16" t="inlineStr">
        <is>
          <t>2012-13</t>
        </is>
      </c>
      <c r="C26" s="16">
        <f>COUNTIF('1 Intro + Languages'!$B$4:$B$9,$B26)+COUNTIF('2 DFA'!$B$4:$B$41,$B26)+COUNTIF('3 NFA'!$B$4:$B$37,$B26)+COUNTIF('4 Regular Languages'!$B$4:$B$54,$B26)+COUNTIF('5 Pumping Lemma'!$B$4:$B$31,$B26)+COUNTIF('6 CFG'!$B$4:$B$51,$B26)+COUNTIF('7 PDA (see Atif tracker)'!$B$4:$B$4,$B26)</f>
        <v/>
      </c>
      <c r="D26" s="16">
        <f>COUNTIFS('1 Intro + Languages'!$B$4:$B$9,$B26,'1 Intro + Languages'!$N$4:$N$9,TRUE())+COUNTIFS('2 DFA'!$B$4:$B$41,$B26,'2 DFA'!$N$4:$N$41,TRUE())+COUNTIFS('3 NFA'!$B$4:$B$37,$B26,'3 NFA'!$N$4:$N$37,TRUE())+COUNTIFS('4 Regular Languages'!$B$4:$B$54,$B26,'4 Regular Languages'!$N$4:$N$54,TRUE())+COUNTIFS('5 Pumping Lemma'!$B$4:$B$31,$B26,'5 Pumping Lemma'!$N$4:$N$31,TRUE())+COUNTIFS('6 CFG'!$B$4:$B$51,$B26,'6 CFG'!$N$4:$N$51,TRUE())+COUNTIFS('7 PDA (see Atif tracker)'!$B$4:$B$4,$B26,'7 PDA (see Atif tracker)'!$N$4:$N$4,TRUE())</f>
        <v/>
      </c>
      <c r="E26" s="17">
        <f>IF(C26=0,0,D26/C26)</f>
        <v/>
      </c>
      <c r="F26" s="16">
        <f>SUMIF('1 Intro + Languages'!$B$4:$B$9,$B26,'1 Intro + Languages'!$H$4:$H$9)+SUMIF('2 DFA'!$B$4:$B$41,$B26,'2 DFA'!$H$4:$H$41)+SUMIF('3 NFA'!$B$4:$B$37,$B26,'3 NFA'!$H$4:$H$37)+SUMIF('4 Regular Languages'!$B$4:$B$54,$B26,'4 Regular Languages'!$H$4:$H$54)+SUMIF('5 Pumping Lemma'!$B$4:$B$31,$B26,'5 Pumping Lemma'!$H$4:$H$31)+SUMIF('6 CFG'!$B$4:$B$51,$B26,'6 CFG'!$H$4:$H$51)+SUMIF('7 PDA (see Atif tracker)'!$B$4:$B$4,$B26,'7 PDA (see Atif tracker)'!$H$4:$H$4)</f>
        <v/>
      </c>
    </row>
    <row r="27">
      <c r="A27" s="16" t="n">
        <v>12</v>
      </c>
      <c r="B27" s="16" t="inlineStr">
        <is>
          <t>2011-12</t>
        </is>
      </c>
      <c r="C27" s="16">
        <f>COUNTIF('1 Intro + Languages'!$B$4:$B$9,$B27)+COUNTIF('2 DFA'!$B$4:$B$41,$B27)+COUNTIF('3 NFA'!$B$4:$B$37,$B27)+COUNTIF('4 Regular Languages'!$B$4:$B$54,$B27)+COUNTIF('5 Pumping Lemma'!$B$4:$B$31,$B27)+COUNTIF('6 CFG'!$B$4:$B$51,$B27)+COUNTIF('7 PDA (see Atif tracker)'!$B$4:$B$4,$B27)</f>
        <v/>
      </c>
      <c r="D27" s="16">
        <f>COUNTIFS('1 Intro + Languages'!$B$4:$B$9,$B27,'1 Intro + Languages'!$N$4:$N$9,TRUE())+COUNTIFS('2 DFA'!$B$4:$B$41,$B27,'2 DFA'!$N$4:$N$41,TRUE())+COUNTIFS('3 NFA'!$B$4:$B$37,$B27,'3 NFA'!$N$4:$N$37,TRUE())+COUNTIFS('4 Regular Languages'!$B$4:$B$54,$B27,'4 Regular Languages'!$N$4:$N$54,TRUE())+COUNTIFS('5 Pumping Lemma'!$B$4:$B$31,$B27,'5 Pumping Lemma'!$N$4:$N$31,TRUE())+COUNTIFS('6 CFG'!$B$4:$B$51,$B27,'6 CFG'!$N$4:$N$51,TRUE())+COUNTIFS('7 PDA (see Atif tracker)'!$B$4:$B$4,$B27,'7 PDA (see Atif tracker)'!$N$4:$N$4,TRUE())</f>
        <v/>
      </c>
      <c r="E27" s="17">
        <f>IF(C27=0,0,D27/C27)</f>
        <v/>
      </c>
      <c r="F27" s="16">
        <f>SUMIF('1 Intro + Languages'!$B$4:$B$9,$B27,'1 Intro + Languages'!$H$4:$H$9)+SUMIF('2 DFA'!$B$4:$B$41,$B27,'2 DFA'!$H$4:$H$41)+SUMIF('3 NFA'!$B$4:$B$37,$B27,'3 NFA'!$H$4:$H$37)+SUMIF('4 Regular Languages'!$B$4:$B$54,$B27,'4 Regular Languages'!$H$4:$H$54)+SUMIF('5 Pumping Lemma'!$B$4:$B$31,$B27,'5 Pumping Lemma'!$H$4:$H$31)+SUMIF('6 CFG'!$B$4:$B$51,$B27,'6 CFG'!$H$4:$H$51)+SUMIF('7 PDA (see Atif tracker)'!$B$4:$B$4,$B27,'7 PDA (see Atif tracker)'!$H$4:$H$4)</f>
        <v/>
      </c>
    </row>
    <row r="28">
      <c r="A28" s="16" t="n">
        <v>13</v>
      </c>
      <c r="B28" s="16" t="inlineStr">
        <is>
          <t>2010-11</t>
        </is>
      </c>
      <c r="C28" s="16">
        <f>COUNTIF('1 Intro + Languages'!$B$4:$B$9,$B28)+COUNTIF('2 DFA'!$B$4:$B$41,$B28)+COUNTIF('3 NFA'!$B$4:$B$37,$B28)+COUNTIF('4 Regular Languages'!$B$4:$B$54,$B28)+COUNTIF('5 Pumping Lemma'!$B$4:$B$31,$B28)+COUNTIF('6 CFG'!$B$4:$B$51,$B28)+COUNTIF('7 PDA (see Atif tracker)'!$B$4:$B$4,$B28)</f>
        <v/>
      </c>
      <c r="D28" s="16">
        <f>COUNTIFS('1 Intro + Languages'!$B$4:$B$9,$B28,'1 Intro + Languages'!$N$4:$N$9,TRUE())+COUNTIFS('2 DFA'!$B$4:$B$41,$B28,'2 DFA'!$N$4:$N$41,TRUE())+COUNTIFS('3 NFA'!$B$4:$B$37,$B28,'3 NFA'!$N$4:$N$37,TRUE())+COUNTIFS('4 Regular Languages'!$B$4:$B$54,$B28,'4 Regular Languages'!$N$4:$N$54,TRUE())+COUNTIFS('5 Pumping Lemma'!$B$4:$B$31,$B28,'5 Pumping Lemma'!$N$4:$N$31,TRUE())+COUNTIFS('6 CFG'!$B$4:$B$51,$B28,'6 CFG'!$N$4:$N$51,TRUE())+COUNTIFS('7 PDA (see Atif tracker)'!$B$4:$B$4,$B28,'7 PDA (see Atif tracker)'!$N$4:$N$4,TRUE())</f>
        <v/>
      </c>
      <c r="E28" s="17">
        <f>IF(C28=0,0,D28/C28)</f>
        <v/>
      </c>
      <c r="F28" s="16">
        <f>SUMIF('1 Intro + Languages'!$B$4:$B$9,$B28,'1 Intro + Languages'!$H$4:$H$9)+SUMIF('2 DFA'!$B$4:$B$41,$B28,'2 DFA'!$H$4:$H$41)+SUMIF('3 NFA'!$B$4:$B$37,$B28,'3 NFA'!$H$4:$H$37)+SUMIF('4 Regular Languages'!$B$4:$B$54,$B28,'4 Regular Languages'!$H$4:$H$54)+SUMIF('5 Pumping Lemma'!$B$4:$B$31,$B28,'5 Pumping Lemma'!$H$4:$H$31)+SUMIF('6 CFG'!$B$4:$B$51,$B28,'6 CFG'!$H$4:$H$51)+SUMIF('7 PDA (see Atif tracker)'!$B$4:$B$4,$B28,'7 PDA (see Atif tracker)'!$H$4:$H$4)</f>
        <v/>
      </c>
    </row>
    <row r="29">
      <c r="A29" s="16" t="n">
        <v>14</v>
      </c>
      <c r="B29" s="16" t="inlineStr">
        <is>
          <t>2009-10</t>
        </is>
      </c>
      <c r="C29" s="16">
        <f>COUNTIF('1 Intro + Languages'!$B$4:$B$9,$B29)+COUNTIF('2 DFA'!$B$4:$B$41,$B29)+COUNTIF('3 NFA'!$B$4:$B$37,$B29)+COUNTIF('4 Regular Languages'!$B$4:$B$54,$B29)+COUNTIF('5 Pumping Lemma'!$B$4:$B$31,$B29)+COUNTIF('6 CFG'!$B$4:$B$51,$B29)+COUNTIF('7 PDA (see Atif tracker)'!$B$4:$B$4,$B29)</f>
        <v/>
      </c>
      <c r="D29" s="16">
        <f>COUNTIFS('1 Intro + Languages'!$B$4:$B$9,$B29,'1 Intro + Languages'!$N$4:$N$9,TRUE())+COUNTIFS('2 DFA'!$B$4:$B$41,$B29,'2 DFA'!$N$4:$N$41,TRUE())+COUNTIFS('3 NFA'!$B$4:$B$37,$B29,'3 NFA'!$N$4:$N$37,TRUE())+COUNTIFS('4 Regular Languages'!$B$4:$B$54,$B29,'4 Regular Languages'!$N$4:$N$54,TRUE())+COUNTIFS('5 Pumping Lemma'!$B$4:$B$31,$B29,'5 Pumping Lemma'!$N$4:$N$31,TRUE())+COUNTIFS('6 CFG'!$B$4:$B$51,$B29,'6 CFG'!$N$4:$N$51,TRUE())+COUNTIFS('7 PDA (see Atif tracker)'!$B$4:$B$4,$B29,'7 PDA (see Atif tracker)'!$N$4:$N$4,TRUE())</f>
        <v/>
      </c>
      <c r="E29" s="17">
        <f>IF(C29=0,0,D29/C29)</f>
        <v/>
      </c>
      <c r="F29" s="16">
        <f>SUMIF('1 Intro + Languages'!$B$4:$B$9,$B29,'1 Intro + Languages'!$H$4:$H$9)+SUMIF('2 DFA'!$B$4:$B$41,$B29,'2 DFA'!$H$4:$H$41)+SUMIF('3 NFA'!$B$4:$B$37,$B29,'3 NFA'!$H$4:$H$37)+SUMIF('4 Regular Languages'!$B$4:$B$54,$B29,'4 Regular Languages'!$H$4:$H$54)+SUMIF('5 Pumping Lemma'!$B$4:$B$31,$B29,'5 Pumping Lemma'!$H$4:$H$31)+SUMIF('6 CFG'!$B$4:$B$51,$B29,'6 CFG'!$H$4:$H$51)+SUMIF('7 PDA (see Atif tracker)'!$B$4:$B$4,$B29,'7 PDA (see Atif tracker)'!$H$4:$H$4)</f>
        <v/>
      </c>
    </row>
    <row r="30">
      <c r="A30" s="16" t="n">
        <v>15</v>
      </c>
      <c r="B30" s="16" t="inlineStr">
        <is>
          <t>2008-09</t>
        </is>
      </c>
      <c r="C30" s="16">
        <f>COUNTIF('1 Intro + Languages'!$B$4:$B$9,$B30)+COUNTIF('2 DFA'!$B$4:$B$41,$B30)+COUNTIF('3 NFA'!$B$4:$B$37,$B30)+COUNTIF('4 Regular Languages'!$B$4:$B$54,$B30)+COUNTIF('5 Pumping Lemma'!$B$4:$B$31,$B30)+COUNTIF('6 CFG'!$B$4:$B$51,$B30)+COUNTIF('7 PDA (see Atif tracker)'!$B$4:$B$4,$B30)</f>
        <v/>
      </c>
      <c r="D30" s="16">
        <f>COUNTIFS('1 Intro + Languages'!$B$4:$B$9,$B30,'1 Intro + Languages'!$N$4:$N$9,TRUE())+COUNTIFS('2 DFA'!$B$4:$B$41,$B30,'2 DFA'!$N$4:$N$41,TRUE())+COUNTIFS('3 NFA'!$B$4:$B$37,$B30,'3 NFA'!$N$4:$N$37,TRUE())+COUNTIFS('4 Regular Languages'!$B$4:$B$54,$B30,'4 Regular Languages'!$N$4:$N$54,TRUE())+COUNTIFS('5 Pumping Lemma'!$B$4:$B$31,$B30,'5 Pumping Lemma'!$N$4:$N$31,TRUE())+COUNTIFS('6 CFG'!$B$4:$B$51,$B30,'6 CFG'!$N$4:$N$51,TRUE())+COUNTIFS('7 PDA (see Atif tracker)'!$B$4:$B$4,$B30,'7 PDA (see Atif tracker)'!$N$4:$N$4,TRUE())</f>
        <v/>
      </c>
      <c r="E30" s="17">
        <f>IF(C30=0,0,D30/C30)</f>
        <v/>
      </c>
      <c r="F30" s="16">
        <f>SUMIF('1 Intro + Languages'!$B$4:$B$9,$B30,'1 Intro + Languages'!$H$4:$H$9)+SUMIF('2 DFA'!$B$4:$B$41,$B30,'2 DFA'!$H$4:$H$41)+SUMIF('3 NFA'!$B$4:$B$37,$B30,'3 NFA'!$H$4:$H$37)+SUMIF('4 Regular Languages'!$B$4:$B$54,$B30,'4 Regular Languages'!$H$4:$H$54)+SUMIF('5 Pumping Lemma'!$B$4:$B$31,$B30,'5 Pumping Lemma'!$H$4:$H$31)+SUMIF('6 CFG'!$B$4:$B$51,$B30,'6 CFG'!$H$4:$H$51)+SUMIF('7 PDA (see Atif tracker)'!$B$4:$B$4,$B30,'7 PDA (see Atif tracker)'!$H$4:$H$4)</f>
        <v/>
      </c>
    </row>
    <row r="31">
      <c r="A31" s="16" t="n">
        <v>16</v>
      </c>
      <c r="B31" s="16" t="inlineStr">
        <is>
          <t>2007-08</t>
        </is>
      </c>
      <c r="C31" s="16">
        <f>COUNTIF('1 Intro + Languages'!$B$4:$B$9,$B31)+COUNTIF('2 DFA'!$B$4:$B$41,$B31)+COUNTIF('3 NFA'!$B$4:$B$37,$B31)+COUNTIF('4 Regular Languages'!$B$4:$B$54,$B31)+COUNTIF('5 Pumping Lemma'!$B$4:$B$31,$B31)+COUNTIF('6 CFG'!$B$4:$B$51,$B31)+COUNTIF('7 PDA (see Atif tracker)'!$B$4:$B$4,$B31)</f>
        <v/>
      </c>
      <c r="D31" s="16">
        <f>COUNTIFS('1 Intro + Languages'!$B$4:$B$9,$B31,'1 Intro + Languages'!$N$4:$N$9,TRUE())+COUNTIFS('2 DFA'!$B$4:$B$41,$B31,'2 DFA'!$N$4:$N$41,TRUE())+COUNTIFS('3 NFA'!$B$4:$B$37,$B31,'3 NFA'!$N$4:$N$37,TRUE())+COUNTIFS('4 Regular Languages'!$B$4:$B$54,$B31,'4 Regular Languages'!$N$4:$N$54,TRUE())+COUNTIFS('5 Pumping Lemma'!$B$4:$B$31,$B31,'5 Pumping Lemma'!$N$4:$N$31,TRUE())+COUNTIFS('6 CFG'!$B$4:$B$51,$B31,'6 CFG'!$N$4:$N$51,TRUE())+COUNTIFS('7 PDA (see Atif tracker)'!$B$4:$B$4,$B31,'7 PDA (see Atif tracker)'!$N$4:$N$4,TRUE())</f>
        <v/>
      </c>
      <c r="E31" s="17">
        <f>IF(C31=0,0,D31/C31)</f>
        <v/>
      </c>
      <c r="F31" s="16">
        <f>SUMIF('1 Intro + Languages'!$B$4:$B$9,$B31,'1 Intro + Languages'!$H$4:$H$9)+SUMIF('2 DFA'!$B$4:$B$41,$B31,'2 DFA'!$H$4:$H$41)+SUMIF('3 NFA'!$B$4:$B$37,$B31,'3 NFA'!$H$4:$H$37)+SUMIF('4 Regular Languages'!$B$4:$B$54,$B31,'4 Regular Languages'!$H$4:$H$54)+SUMIF('5 Pumping Lemma'!$B$4:$B$31,$B31,'5 Pumping Lemma'!$H$4:$H$31)+SUMIF('6 CFG'!$B$4:$B$51,$B31,'6 CFG'!$H$4:$H$51)+SUMIF('7 PDA (see Atif tracker)'!$B$4:$B$4,$B31,'7 PDA (see Atif tracker)'!$H$4:$H$4)</f>
        <v/>
      </c>
    </row>
    <row r="32">
      <c r="A32" s="16" t="n">
        <v>17</v>
      </c>
      <c r="B32" s="16" t="inlineStr">
        <is>
          <t>2006-07</t>
        </is>
      </c>
      <c r="C32" s="16">
        <f>COUNTIF('1 Intro + Languages'!$B$4:$B$9,$B32)+COUNTIF('2 DFA'!$B$4:$B$41,$B32)+COUNTIF('3 NFA'!$B$4:$B$37,$B32)+COUNTIF('4 Regular Languages'!$B$4:$B$54,$B32)+COUNTIF('5 Pumping Lemma'!$B$4:$B$31,$B32)+COUNTIF('6 CFG'!$B$4:$B$51,$B32)+COUNTIF('7 PDA (see Atif tracker)'!$B$4:$B$4,$B32)</f>
        <v/>
      </c>
      <c r="D32" s="16">
        <f>COUNTIFS('1 Intro + Languages'!$B$4:$B$9,$B32,'1 Intro + Languages'!$N$4:$N$9,TRUE())+COUNTIFS('2 DFA'!$B$4:$B$41,$B32,'2 DFA'!$N$4:$N$41,TRUE())+COUNTIFS('3 NFA'!$B$4:$B$37,$B32,'3 NFA'!$N$4:$N$37,TRUE())+COUNTIFS('4 Regular Languages'!$B$4:$B$54,$B32,'4 Regular Languages'!$N$4:$N$54,TRUE())+COUNTIFS('5 Pumping Lemma'!$B$4:$B$31,$B32,'5 Pumping Lemma'!$N$4:$N$31,TRUE())+COUNTIFS('6 CFG'!$B$4:$B$51,$B32,'6 CFG'!$N$4:$N$51,TRUE())+COUNTIFS('7 PDA (see Atif tracker)'!$B$4:$B$4,$B32,'7 PDA (see Atif tracker)'!$N$4:$N$4,TRUE())</f>
        <v/>
      </c>
      <c r="E32" s="17">
        <f>IF(C32=0,0,D32/C32)</f>
        <v/>
      </c>
      <c r="F32" s="16">
        <f>SUMIF('1 Intro + Languages'!$B$4:$B$9,$B32,'1 Intro + Languages'!$H$4:$H$9)+SUMIF('2 DFA'!$B$4:$B$41,$B32,'2 DFA'!$H$4:$H$41)+SUMIF('3 NFA'!$B$4:$B$37,$B32,'3 NFA'!$H$4:$H$37)+SUMIF('4 Regular Languages'!$B$4:$B$54,$B32,'4 Regular Languages'!$H$4:$H$54)+SUMIF('5 Pumping Lemma'!$B$4:$B$31,$B32,'5 Pumping Lemma'!$H$4:$H$31)+SUMIF('6 CFG'!$B$4:$B$51,$B32,'6 CFG'!$H$4:$H$51)+SUMIF('7 PDA (see Atif tracker)'!$B$4:$B$4,$B32,'7 PDA (see Atif tracker)'!$H$4:$H$4)</f>
        <v/>
      </c>
    </row>
    <row r="33">
      <c r="B33" s="2" t="inlineStr">
        <is>
          <t>Shaded years = ★★★ High priority (2019-20 onward).</t>
        </is>
      </c>
    </row>
    <row r="34">
      <c r="B34" s="2" t="inlineStr">
        <is>
          <t>Papers 2006-07 … 2023-24 (17 papers). The 2023-24 paper is not inside the merged PDF; its rows say '22 batch p.N' (CSE 211 (22 batch).pdf, 4 scanned pages).</t>
        </is>
      </c>
    </row>
    <row r="35">
      <c r="B35" s="2" t="inlineStr">
        <is>
          <t>The paper printed 'January 2020 Term' (held 16/01/2021) is listed as '2020 (Jan term)' and counted as ★★★ High (it is newer than 2019-20); the 2019-20 paper (held 2021-22) is ★★★ too.</t>
        </is>
      </c>
    </row>
    <row r="36">
      <c r="B36" s="2" t="inlineStr">
        <is>
          <t>Questions were assigned to a teacher by topic, not by section letter (older papers put the PDA/TM side in Section A).</t>
        </is>
      </c>
    </row>
    <row r="37">
      <c r="B37" s="2" t="inlineStr">
        <is>
          <t>PDA questions are taught by both teachers; every PDA question sat in the Turing-machine section of its paper, so they are tracked in the Atif tracker (tab 2). Tab 7 of this workbook is intentionally empty — its note is the PDA design workshop. CFL pumping-lemma questions follow the same rule (2013-14 Q7(c) is here; later ones are Atif's).</t>
        </is>
      </c>
    </row>
    <row r="38">
      <c r="B38" s="2" t="inlineStr">
        <is>
          <t>2013-14 Q5(b): the mark is not printed on the paper (5 by the section total) — left blank.</t>
        </is>
      </c>
    </row>
  </sheetData>
  <conditionalFormatting sqref="E5:E12">
    <cfRule type="dataBar" priority="1">
      <dataBar>
        <cfvo type="num" val="0"/>
        <cfvo type="num" val="1"/>
        <color rgb="0063BE7B"/>
      </dataBar>
    </cfRule>
  </conditionalFormatting>
  <conditionalFormatting sqref="E16:E32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Lec01–02 — Introduction &amp; Languages</t>
        </is>
      </c>
    </row>
    <row r="2">
      <c r="A2" s="2" t="inlineStr">
        <is>
          <t>Note file: CSE211_Hakim_Intro_Languages_Notes.docx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211</t>
        </is>
      </c>
      <c r="D4" s="19" t="inlineStr">
        <is>
          <t>1(a)</t>
        </is>
      </c>
      <c r="E4" s="20" t="inlineStr">
        <is>
          <t>Options when a problem appears computationally hard</t>
        </is>
      </c>
      <c r="F4" s="20" t="inlineStr">
        <is>
          <t>Why Theory of Computation? — Lec01 Introduction, sl. 2–53</t>
        </is>
      </c>
      <c r="G4" s="19" t="inlineStr">
        <is>
          <t>L1</t>
        </is>
      </c>
      <c r="H4" s="19" t="n">
        <v>8</v>
      </c>
      <c r="I4" s="19" t="inlineStr">
        <is>
          <t>22 batch p.1</t>
        </is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◐ Method</t>
        </is>
      </c>
      <c r="M4" s="20" t="inlineStr">
        <is>
          <t>2022-23 1(a); 2021-22 1(a); 2019-20 1(b)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CSE 211</t>
        </is>
      </c>
      <c r="D5" s="19" t="inlineStr">
        <is>
          <t>1(a)</t>
        </is>
      </c>
      <c r="E5" s="20" t="inlineStr">
        <is>
          <t>Public and private keys in asymmetric cryptography; the role of ToC</t>
        </is>
      </c>
      <c r="F5" s="20" t="inlineStr">
        <is>
          <t>Why Theory of Computation? — Lec01 Introduction, sl. 2–53</t>
        </is>
      </c>
      <c r="G5" s="19" t="inlineStr">
        <is>
          <t>L1</t>
        </is>
      </c>
      <c r="H5" s="19" t="n">
        <v>10</v>
      </c>
      <c r="I5" s="19" t="n">
        <v>49</v>
      </c>
      <c r="J5" s="21" t="inlineStr">
        <is>
          <t>★★★ High</t>
        </is>
      </c>
      <c r="K5" s="19" t="inlineStr">
        <is>
          <t>Theory</t>
        </is>
      </c>
      <c r="L5" s="22" t="inlineStr">
        <is>
          <t>◐ Method</t>
        </is>
      </c>
      <c r="M5" s="20" t="inlineStr">
        <is>
          <t>2023-24 1(a); 2021-22 1(a); 2019-20 1(b)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2021-22</t>
        </is>
      </c>
      <c r="C6" s="19" t="inlineStr">
        <is>
          <t>CSE 211</t>
        </is>
      </c>
      <c r="D6" s="19" t="inlineStr">
        <is>
          <t>1(a)</t>
        </is>
      </c>
      <c r="E6" s="20" t="inlineStr">
        <is>
          <t>Password-protected login: which central area of ToC applies?</t>
        </is>
      </c>
      <c r="F6" s="20" t="inlineStr">
        <is>
          <t>Why Theory of Computation? — Lec01 Introduction, sl. 2–53</t>
        </is>
      </c>
      <c r="G6" s="19" t="inlineStr">
        <is>
          <t>L1</t>
        </is>
      </c>
      <c r="H6" s="19" t="n">
        <v>4</v>
      </c>
      <c r="I6" s="19" t="n">
        <v>44</v>
      </c>
      <c r="J6" s="21" t="inlineStr">
        <is>
          <t>★★★ High</t>
        </is>
      </c>
      <c r="K6" s="19" t="inlineStr">
        <is>
          <t>Theory</t>
        </is>
      </c>
      <c r="L6" s="22" t="inlineStr">
        <is>
          <t>◐ Method</t>
        </is>
      </c>
      <c r="M6" s="20" t="inlineStr">
        <is>
          <t>2023-24 1(a); 2022-23 1(a); 2019-20 1(b)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2019-20</t>
        </is>
      </c>
      <c r="C7" s="19" t="inlineStr">
        <is>
          <t>CSE 211</t>
        </is>
      </c>
      <c r="D7" s="19" t="inlineStr">
        <is>
          <t>1(b)</t>
        </is>
      </c>
      <c r="E7" s="20" t="inlineStr">
        <is>
          <t>A scenario that specifically needs computationally hard problems</t>
        </is>
      </c>
      <c r="F7" s="20" t="inlineStr">
        <is>
          <t>Why Theory of Computation? — Lec01 Introduction, sl. 2–53</t>
        </is>
      </c>
      <c r="G7" s="19" t="inlineStr">
        <is>
          <t>L1</t>
        </is>
      </c>
      <c r="H7" s="19" t="n">
        <v>15</v>
      </c>
      <c r="I7" s="19" t="n">
        <v>40</v>
      </c>
      <c r="J7" s="21" t="inlineStr">
        <is>
          <t>★★★ High</t>
        </is>
      </c>
      <c r="K7" s="19" t="inlineStr">
        <is>
          <t>Theory</t>
        </is>
      </c>
      <c r="L7" s="22" t="inlineStr">
        <is>
          <t>◐ Method</t>
        </is>
      </c>
      <c r="M7" s="20" t="inlineStr">
        <is>
          <t>2023-24 1(a); 2022-23 1(a); 2021-22 1(a)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2007-08</t>
        </is>
      </c>
      <c r="C8" s="24" t="inlineStr">
        <is>
          <t>CSE 211</t>
        </is>
      </c>
      <c r="D8" s="24" t="inlineStr">
        <is>
          <t>1(c)</t>
        </is>
      </c>
      <c r="E8" s="6" t="inlineStr">
        <is>
          <t>How set-formers are used to define a language</t>
        </is>
      </c>
      <c r="F8" s="6" t="inlineStr">
        <is>
          <t>Alphabets, strings, languages, problems — Lec02 Languages, sl. 2–52</t>
        </is>
      </c>
      <c r="G8" s="24" t="inlineStr">
        <is>
          <t>L2</t>
        </is>
      </c>
      <c r="H8" s="24" t="n">
        <v>5.33</v>
      </c>
      <c r="I8" s="24" t="n">
        <v>4</v>
      </c>
      <c r="J8" s="25" t="inlineStr">
        <is>
          <t>★ Low</t>
        </is>
      </c>
      <c r="K8" s="24" t="inlineStr">
        <is>
          <t>Theory</t>
        </is>
      </c>
      <c r="L8" s="25" t="inlineStr">
        <is>
          <t>✔ Solved</t>
        </is>
      </c>
      <c r="M8" s="6" t="inlineStr">
        <is>
          <t>—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2006-07</t>
        </is>
      </c>
      <c r="C9" s="24" t="inlineStr">
        <is>
          <t>CSE 211</t>
        </is>
      </c>
      <c r="D9" s="24" t="inlineStr">
        <is>
          <t>1(c)</t>
        </is>
      </c>
      <c r="E9" s="6" t="inlineStr">
        <is>
          <t>φ and ε as languages over any alphabet — explain; are they equivalent?</t>
        </is>
      </c>
      <c r="F9" s="6" t="inlineStr">
        <is>
          <t>Alphabets, strings, languages, problems — Lec02 Languages, sl. 2–52</t>
        </is>
      </c>
      <c r="G9" s="24" t="inlineStr">
        <is>
          <t>L2</t>
        </is>
      </c>
      <c r="H9" s="24" t="n">
        <v>5.33</v>
      </c>
      <c r="I9" s="24" t="n">
        <v>1</v>
      </c>
      <c r="J9" s="25" t="inlineStr">
        <is>
          <t>★ Low</t>
        </is>
      </c>
      <c r="K9" s="24" t="inlineStr">
        <is>
          <t>Theory</t>
        </is>
      </c>
      <c r="L9" s="25" t="inlineStr">
        <is>
          <t>✔ Solved</t>
        </is>
      </c>
      <c r="M9" s="6" t="inlineStr">
        <is>
          <t>—</t>
        </is>
      </c>
      <c r="N9" s="23" t="b">
        <v>0</v>
      </c>
      <c r="O9" s="24" t="n"/>
      <c r="P9" s="24" t="n"/>
      <c r="Q9" s="6" t="n"/>
    </row>
  </sheetData>
  <autoFilter ref="A3:Q9"/>
  <conditionalFormatting sqref="A4:Q9">
    <cfRule type="expression" priority="1" dxfId="0">
      <formula>$N4=TRUE</formula>
    </cfRule>
  </conditionalFormatting>
  <conditionalFormatting sqref="O4:O9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9" showDropDown="0" showInputMessage="0" showErrorMessage="0" allowBlank="1" type="list">
      <formula1>"TRUE,FALSE"</formula1>
    </dataValidation>
    <dataValidation sqref="O4:O9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Lec03 — Deterministic Finite Automata</t>
        </is>
      </c>
    </row>
    <row r="2">
      <c r="A2" s="2" t="inlineStr">
        <is>
          <t>Note file: CSE211_Hakim_DFA_Notes.docx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211</t>
        </is>
      </c>
      <c r="D4" s="19" t="inlineStr">
        <is>
          <t>2(c)</t>
        </is>
      </c>
      <c r="E4" s="20" t="inlineStr">
        <is>
          <t>Do accepting states affect the rows/columns of a DFA transition table?</t>
        </is>
      </c>
      <c r="F4" s="20" t="inlineStr">
        <is>
          <t>The DFA as a mathematical object — Lec03 DFA, sl. 2–20</t>
        </is>
      </c>
      <c r="G4" s="19" t="inlineStr">
        <is>
          <t>L3</t>
        </is>
      </c>
      <c r="H4" s="19" t="n">
        <v>5</v>
      </c>
      <c r="I4" s="19" t="inlineStr">
        <is>
          <t>22 batch p.1</t>
        </is>
      </c>
      <c r="J4" s="21" t="inlineStr">
        <is>
          <t>★★★ High</t>
        </is>
      </c>
      <c r="K4" s="19" t="inlineStr">
        <is>
          <t>Theory</t>
        </is>
      </c>
      <c r="L4" s="25" t="inlineStr">
        <is>
          <t>✔ Solved</t>
        </is>
      </c>
      <c r="M4" s="20" t="inlineStr">
        <is>
          <t>2015-16 1(a)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2019-20</t>
        </is>
      </c>
      <c r="C5" s="19" t="inlineStr">
        <is>
          <t>CSE 211</t>
        </is>
      </c>
      <c r="D5" s="19" t="inlineStr">
        <is>
          <t>2(a)</t>
        </is>
      </c>
      <c r="E5" s="20" t="inlineStr">
        <is>
          <t>Role of a state in a finite automaton</t>
        </is>
      </c>
      <c r="F5" s="20" t="inlineStr">
        <is>
          <t>The DFA as a mathematical object — Lec03 DFA, sl. 2–20</t>
        </is>
      </c>
      <c r="G5" s="19" t="inlineStr">
        <is>
          <t>L3</t>
        </is>
      </c>
      <c r="H5" s="19" t="n">
        <v>5</v>
      </c>
      <c r="I5" s="19" t="n">
        <v>40</v>
      </c>
      <c r="J5" s="21" t="inlineStr">
        <is>
          <t>★★★ High</t>
        </is>
      </c>
      <c r="K5" s="19" t="inlineStr">
        <is>
          <t>Theory</t>
        </is>
      </c>
      <c r="L5" s="25" t="inlineStr">
        <is>
          <t>✔ Solved</t>
        </is>
      </c>
      <c r="M5" s="20" t="inlineStr">
        <is>
          <t>2007-08 2(c)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2015-16</t>
        </is>
      </c>
      <c r="C6" s="19" t="inlineStr">
        <is>
          <t>CSE 211</t>
        </is>
      </c>
      <c r="D6" s="19" t="inlineStr">
        <is>
          <t>1(a)</t>
        </is>
      </c>
      <c r="E6" s="20" t="inlineStr">
        <is>
          <t>Formally define an FSM; formal description of F1 (Figure 1.a)</t>
        </is>
      </c>
      <c r="F6" s="20" t="inlineStr">
        <is>
          <t>The DFA as a mathematical object — Lec03 DFA, sl. 2–20</t>
        </is>
      </c>
      <c r="G6" s="19" t="inlineStr">
        <is>
          <t>L3</t>
        </is>
      </c>
      <c r="H6" s="19" t="n">
        <v>8.33</v>
      </c>
      <c r="I6" s="19" t="n">
        <v>24</v>
      </c>
      <c r="J6" s="26" t="inlineStr">
        <is>
          <t>★★ Medium</t>
        </is>
      </c>
      <c r="K6" s="19" t="inlineStr">
        <is>
          <t>Theory</t>
        </is>
      </c>
      <c r="L6" s="25" t="inlineStr">
        <is>
          <t>✔ Solved</t>
        </is>
      </c>
      <c r="M6" s="20" t="inlineStr">
        <is>
          <t>2023-24 2(c)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2007-08</t>
        </is>
      </c>
      <c r="C7" s="19" t="inlineStr">
        <is>
          <t>CSE 211</t>
        </is>
      </c>
      <c r="D7" s="19" t="inlineStr">
        <is>
          <t>2(c)</t>
        </is>
      </c>
      <c r="E7" s="20" t="inlineStr">
        <is>
          <t>Most important role of states in an automaton; can it have infinite capacity?</t>
        </is>
      </c>
      <c r="F7" s="20" t="inlineStr">
        <is>
          <t>The DFA as a mathematical object — Lec03 DFA, sl. 2–20</t>
        </is>
      </c>
      <c r="G7" s="19" t="inlineStr">
        <is>
          <t>L3</t>
        </is>
      </c>
      <c r="H7" s="19" t="n">
        <v>5.33</v>
      </c>
      <c r="I7" s="19" t="n">
        <v>4</v>
      </c>
      <c r="J7" s="26" t="inlineStr">
        <is>
          <t>★★ Medium</t>
        </is>
      </c>
      <c r="K7" s="19" t="inlineStr">
        <is>
          <t>Theory</t>
        </is>
      </c>
      <c r="L7" s="25" t="inlineStr">
        <is>
          <t>✔ Solved</t>
        </is>
      </c>
      <c r="M7" s="20" t="inlineStr">
        <is>
          <t>2019-20 2(a)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2023-24</t>
        </is>
      </c>
      <c r="C8" s="24" t="inlineStr">
        <is>
          <t>CSE 211</t>
        </is>
      </c>
      <c r="D8" s="24" t="inlineStr">
        <is>
          <t>2(b)</t>
        </is>
      </c>
      <c r="E8" s="6" t="inlineStr">
        <is>
          <t>Show {awa | w ∈ {a,b}∗} is regular with a DFA</t>
        </is>
      </c>
      <c r="F8" s="6" t="inlineStr">
        <is>
          <t>Designing DFAs — Lec03 DFA, sl. 21–29</t>
        </is>
      </c>
      <c r="G8" s="24" t="inlineStr">
        <is>
          <t>L4</t>
        </is>
      </c>
      <c r="H8" s="24" t="n">
        <v>15</v>
      </c>
      <c r="I8" s="24" t="inlineStr">
        <is>
          <t>22 batch p.1</t>
        </is>
      </c>
      <c r="J8" s="21" t="inlineStr">
        <is>
          <t>★★★ High</t>
        </is>
      </c>
      <c r="K8" s="24" t="inlineStr">
        <is>
          <t>Design</t>
        </is>
      </c>
      <c r="L8" s="25" t="inlineStr">
        <is>
          <t>✔ Solved</t>
        </is>
      </c>
      <c r="M8" s="6" t="inlineStr">
        <is>
          <t>2022-23 1(c); 2021-22 1(b); 2011-12 5(c); 2010-11 4; 2009-10 2; 2007-08 1(b)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2022-23</t>
        </is>
      </c>
      <c r="C9" s="24" t="inlineStr">
        <is>
          <t>CSE 211</t>
        </is>
      </c>
      <c r="D9" s="24" t="inlineStr">
        <is>
          <t>1(c)</t>
        </is>
      </c>
      <c r="E9" s="6" t="inlineStr">
        <is>
          <t>DFA over {a,b} with neither aa nor bb; transition table</t>
        </is>
      </c>
      <c r="F9" s="6" t="inlineStr">
        <is>
          <t>Designing DFAs — Lec03 DFA, sl. 21–29</t>
        </is>
      </c>
      <c r="G9" s="24" t="inlineStr">
        <is>
          <t>L4</t>
        </is>
      </c>
      <c r="H9" s="24" t="n">
        <v>13</v>
      </c>
      <c r="I9" s="24" t="n">
        <v>49</v>
      </c>
      <c r="J9" s="21" t="inlineStr">
        <is>
          <t>★★★ High</t>
        </is>
      </c>
      <c r="K9" s="24" t="inlineStr">
        <is>
          <t>Design</t>
        </is>
      </c>
      <c r="L9" s="25" t="inlineStr">
        <is>
          <t>✔ Solved</t>
        </is>
      </c>
      <c r="M9" s="6" t="inlineStr">
        <is>
          <t>2023-24 2(b); 2021-22 1(b); 2011-12 5(c); 2010-11 4; 2009-10 2; 2007-08 1(b)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2021-22</t>
        </is>
      </c>
      <c r="C10" s="24" t="inlineStr">
        <is>
          <t>CSE 211</t>
        </is>
      </c>
      <c r="D10" s="24" t="inlineStr">
        <is>
          <t>1(b)</t>
        </is>
      </c>
      <c r="E10" s="6" t="inlineStr">
        <is>
          <t>DFA (≤ 5 states) over {a,b}: begins with a, no substring aab</t>
        </is>
      </c>
      <c r="F10" s="6" t="inlineStr">
        <is>
          <t>Designing DFAs — Lec03 DFA, sl. 21–29</t>
        </is>
      </c>
      <c r="G10" s="24" t="inlineStr">
        <is>
          <t>L4</t>
        </is>
      </c>
      <c r="H10" s="24" t="n">
        <v>10</v>
      </c>
      <c r="I10" s="24" t="n">
        <v>44</v>
      </c>
      <c r="J10" s="21" t="inlineStr">
        <is>
          <t>★★★ High</t>
        </is>
      </c>
      <c r="K10" s="24" t="inlineStr">
        <is>
          <t>Design</t>
        </is>
      </c>
      <c r="L10" s="25" t="inlineStr">
        <is>
          <t>✔ Solved</t>
        </is>
      </c>
      <c r="M10" s="6" t="inlineStr">
        <is>
          <t>2023-24 2(b); 2022-23 1(c); 2011-12 5(c); 2010-11 4; 2009-10 2; 2007-08 1(b)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2019-20</t>
        </is>
      </c>
      <c r="C11" s="24" t="inlineStr">
        <is>
          <t>CSE 211</t>
        </is>
      </c>
      <c r="D11" s="24" t="inlineStr">
        <is>
          <t>2(c)</t>
        </is>
      </c>
      <c r="E11" s="6" t="inlineStr">
        <is>
          <t>DFA for base-3 numbers not divisible by 4</t>
        </is>
      </c>
      <c r="F11" s="6" t="inlineStr">
        <is>
          <t>Designing DFAs — Lec03 DFA, sl. 21–29</t>
        </is>
      </c>
      <c r="G11" s="24" t="inlineStr">
        <is>
          <t>L4</t>
        </is>
      </c>
      <c r="H11" s="24" t="n">
        <v>15</v>
      </c>
      <c r="I11" s="24" t="n">
        <v>40</v>
      </c>
      <c r="J11" s="21" t="inlineStr">
        <is>
          <t>★★★ High</t>
        </is>
      </c>
      <c r="K11" s="24" t="inlineStr">
        <is>
          <t>Design</t>
        </is>
      </c>
      <c r="L11" s="25" t="inlineStr">
        <is>
          <t>✔ Solved</t>
        </is>
      </c>
      <c r="M11" s="6" t="inlineStr">
        <is>
          <t>2017-18 2(b); 2015-16 2(a); 2014-15 2(b); 2012-13 7(c); 2010-11 2; 2008-09 6(a)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2017-18</t>
        </is>
      </c>
      <c r="C12" s="24" t="inlineStr">
        <is>
          <t>CSE 211</t>
        </is>
      </c>
      <c r="D12" s="24" t="inlineStr">
        <is>
          <t>2(b)</t>
        </is>
      </c>
      <c r="E12" s="6" t="inlineStr">
        <is>
          <t>DFAs: binary starting with 1 that is a multiple of 5; a power of 2</t>
        </is>
      </c>
      <c r="F12" s="6" t="inlineStr">
        <is>
          <t>Designing DFAs — Lec03 DFA, sl. 21–29</t>
        </is>
      </c>
      <c r="G12" s="24" t="inlineStr">
        <is>
          <t>L4</t>
        </is>
      </c>
      <c r="H12" s="24" t="n">
        <v>17</v>
      </c>
      <c r="I12" s="24" t="n">
        <v>32</v>
      </c>
      <c r="J12" s="26" t="inlineStr">
        <is>
          <t>★★ Medium</t>
        </is>
      </c>
      <c r="K12" s="24" t="inlineStr">
        <is>
          <t>Design</t>
        </is>
      </c>
      <c r="L12" s="25" t="inlineStr">
        <is>
          <t>✔ Solved</t>
        </is>
      </c>
      <c r="M12" s="6" t="inlineStr">
        <is>
          <t>2019-20 2(c); 2015-16 2(a); 2014-15 2(b); 2012-13 7(c); 2010-11 2; 2008-09 6(a)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2015-16</t>
        </is>
      </c>
      <c r="C13" s="24" t="inlineStr">
        <is>
          <t>CSE 211</t>
        </is>
      </c>
      <c r="D13" s="24" t="inlineStr">
        <is>
          <t>2(a)</t>
        </is>
      </c>
      <c r="E13" s="6" t="inlineStr">
        <is>
          <t>DFA for binary numbers NOT divisible by 3, with intuition</t>
        </is>
      </c>
      <c r="F13" s="6" t="inlineStr">
        <is>
          <t>Designing DFAs — Lec03 DFA, sl. 21–29</t>
        </is>
      </c>
      <c r="G13" s="24" t="inlineStr">
        <is>
          <t>L4</t>
        </is>
      </c>
      <c r="H13" s="24" t="n">
        <v>8.33</v>
      </c>
      <c r="I13" s="24" t="n">
        <v>25</v>
      </c>
      <c r="J13" s="26" t="inlineStr">
        <is>
          <t>★★ Medium</t>
        </is>
      </c>
      <c r="K13" s="24" t="inlineStr">
        <is>
          <t>Design</t>
        </is>
      </c>
      <c r="L13" s="25" t="inlineStr">
        <is>
          <t>✔ Solved</t>
        </is>
      </c>
      <c r="M13" s="6" t="inlineStr">
        <is>
          <t>2019-20 2(c); 2017-18 2(b); 2014-15 2(b); 2012-13 7(c); 2010-11 2; 2008-09 6(a)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2014-15</t>
        </is>
      </c>
      <c r="C14" s="24" t="inlineStr">
        <is>
          <t>CSE 211</t>
        </is>
      </c>
      <c r="D14" s="24" t="inlineStr">
        <is>
          <t>2(b)</t>
        </is>
      </c>
      <c r="E14" s="6" t="inlineStr">
        <is>
          <t>DFA for binary numbers divisible by 4; explain</t>
        </is>
      </c>
      <c r="F14" s="6" t="inlineStr">
        <is>
          <t>Designing DFAs — Lec03 DFA, sl. 21–29</t>
        </is>
      </c>
      <c r="G14" s="24" t="inlineStr">
        <is>
          <t>L4</t>
        </is>
      </c>
      <c r="H14" s="24" t="n">
        <v>13.33</v>
      </c>
      <c r="I14" s="24" t="n">
        <v>22</v>
      </c>
      <c r="J14" s="26" t="inlineStr">
        <is>
          <t>★★ Medium</t>
        </is>
      </c>
      <c r="K14" s="24" t="inlineStr">
        <is>
          <t>Design</t>
        </is>
      </c>
      <c r="L14" s="25" t="inlineStr">
        <is>
          <t>✔ Solved</t>
        </is>
      </c>
      <c r="M14" s="6" t="inlineStr">
        <is>
          <t>2019-20 2(c); 2017-18 2(b); 2015-16 2(a); 2012-13 7(c); 2010-11 2; 2008-09 6(a)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2012-13</t>
        </is>
      </c>
      <c r="C15" s="24" t="inlineStr">
        <is>
          <t>CSE 211</t>
        </is>
      </c>
      <c r="D15" s="24" t="inlineStr">
        <is>
          <t>7(c)</t>
        </is>
      </c>
      <c r="E15" s="6" t="inlineStr">
        <is>
          <t>DFA for binary strings whose value is a multiple of 5</t>
        </is>
      </c>
      <c r="F15" s="6" t="inlineStr">
        <is>
          <t>Designing DFAs — Lec03 DFA, sl. 21–29</t>
        </is>
      </c>
      <c r="G15" s="24" t="inlineStr">
        <is>
          <t>L4</t>
        </is>
      </c>
      <c r="H15" s="24" t="n">
        <v>8</v>
      </c>
      <c r="I15" s="24" t="n">
        <v>18</v>
      </c>
      <c r="J15" s="26" t="inlineStr">
        <is>
          <t>★★ Medium</t>
        </is>
      </c>
      <c r="K15" s="24" t="inlineStr">
        <is>
          <t>Design</t>
        </is>
      </c>
      <c r="L15" s="25" t="inlineStr">
        <is>
          <t>✔ Solved</t>
        </is>
      </c>
      <c r="M15" s="6" t="inlineStr">
        <is>
          <t>2019-20 2(c); 2017-18 2(b); 2015-16 2(a); 2014-15 2(b); 2010-11 2; 2008-09 6(a)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2011-12</t>
        </is>
      </c>
      <c r="C16" s="24" t="inlineStr">
        <is>
          <t>CSE 211</t>
        </is>
      </c>
      <c r="D16" s="24" t="inlineStr">
        <is>
          <t>5(c)</t>
        </is>
      </c>
      <c r="E16" s="6" t="inlineStr">
        <is>
          <t>DFA for {w | |w| ≤ 5} over {0,1}</t>
        </is>
      </c>
      <c r="F16" s="6" t="inlineStr">
        <is>
          <t>Designing DFAs — Lec03 DFA, sl. 21–29</t>
        </is>
      </c>
      <c r="G16" s="24" t="inlineStr">
        <is>
          <t>L4</t>
        </is>
      </c>
      <c r="H16" s="24" t="n">
        <v>5.33</v>
      </c>
      <c r="I16" s="24" t="n">
        <v>15</v>
      </c>
      <c r="J16" s="26" t="inlineStr">
        <is>
          <t>★★ Medium</t>
        </is>
      </c>
      <c r="K16" s="24" t="inlineStr">
        <is>
          <t>Design</t>
        </is>
      </c>
      <c r="L16" s="25" t="inlineStr">
        <is>
          <t>✔ Solved</t>
        </is>
      </c>
      <c r="M16" s="6" t="inlineStr">
        <is>
          <t>2023-24 2(b); 2022-23 1(c); 2021-22 1(b); 2010-11 4; 2009-10 2; 2007-08 1(b)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2010-11</t>
        </is>
      </c>
      <c r="C17" s="24" t="inlineStr">
        <is>
          <t>CSE 211</t>
        </is>
      </c>
      <c r="D17" s="24" t="inlineStr">
        <is>
          <t>2</t>
        </is>
      </c>
      <c r="E17" s="6" t="inlineStr">
        <is>
          <t>DFA over {a,b} with (#a) mod 3 = 1; diagram and formal description</t>
        </is>
      </c>
      <c r="F17" s="6" t="inlineStr">
        <is>
          <t>Designing DFAs — Lec03 DFA, sl. 21–29</t>
        </is>
      </c>
      <c r="G17" s="24" t="inlineStr">
        <is>
          <t>L4</t>
        </is>
      </c>
      <c r="H17" s="24" t="n">
        <v>10</v>
      </c>
      <c r="I17" s="24" t="n">
        <v>11</v>
      </c>
      <c r="J17" s="26" t="inlineStr">
        <is>
          <t>★★ Medium</t>
        </is>
      </c>
      <c r="K17" s="24" t="inlineStr">
        <is>
          <t>Design</t>
        </is>
      </c>
      <c r="L17" s="25" t="inlineStr">
        <is>
          <t>✔ Solved</t>
        </is>
      </c>
      <c r="M17" s="6" t="inlineStr">
        <is>
          <t>2019-20 2(c); 2017-18 2(b); 2015-16 2(a); 2014-15 2(b); 2012-13 7(c); 2008-09 6(a)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2010-11</t>
        </is>
      </c>
      <c r="C18" s="24" t="inlineStr">
        <is>
          <t>CSE 211</t>
        </is>
      </c>
      <c r="D18" s="24" t="inlineStr">
        <is>
          <t>4</t>
        </is>
      </c>
      <c r="E18" s="6" t="inlineStr">
        <is>
          <t>DFA for strings over {0,1} not containing 110; regular expression</t>
        </is>
      </c>
      <c r="F18" s="6" t="inlineStr">
        <is>
          <t>Designing DFAs — Lec03 DFA, sl. 21–29</t>
        </is>
      </c>
      <c r="G18" s="24" t="inlineStr">
        <is>
          <t>L4</t>
        </is>
      </c>
      <c r="H18" s="24" t="n">
        <v>10</v>
      </c>
      <c r="I18" s="24" t="n">
        <v>11</v>
      </c>
      <c r="J18" s="26" t="inlineStr">
        <is>
          <t>★★ Medium</t>
        </is>
      </c>
      <c r="K18" s="24" t="inlineStr">
        <is>
          <t>Design</t>
        </is>
      </c>
      <c r="L18" s="25" t="inlineStr">
        <is>
          <t>✔ Solved</t>
        </is>
      </c>
      <c r="M18" s="6" t="inlineStr">
        <is>
          <t>2023-24 2(b); 2022-23 1(c); 2021-22 1(b); 2011-12 5(c); 2009-10 2; 2007-08 1(b)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2009-10</t>
        </is>
      </c>
      <c r="C19" s="24" t="inlineStr">
        <is>
          <t>CSE 211</t>
        </is>
      </c>
      <c r="D19" s="24" t="inlineStr">
        <is>
          <t>2</t>
        </is>
      </c>
      <c r="E19" s="6" t="inlineStr">
        <is>
          <t>DFA over {a,b}: the first symbol never occurs three times consecutively (abaab, baaabba accepted; abaaab, bbbaa rejected)</t>
        </is>
      </c>
      <c r="F19" s="6" t="inlineStr">
        <is>
          <t>Designing DFAs — Lec03 DFA, sl. 21–29</t>
        </is>
      </c>
      <c r="G19" s="24" t="inlineStr">
        <is>
          <t>L4</t>
        </is>
      </c>
      <c r="H19" s="24" t="n">
        <v>10</v>
      </c>
      <c r="I19" s="24" t="n">
        <v>8</v>
      </c>
      <c r="J19" s="26" t="inlineStr">
        <is>
          <t>★★ Medium</t>
        </is>
      </c>
      <c r="K19" s="24" t="inlineStr">
        <is>
          <t>Design</t>
        </is>
      </c>
      <c r="L19" s="25" t="inlineStr">
        <is>
          <t>✔ Solved</t>
        </is>
      </c>
      <c r="M19" s="6" t="inlineStr">
        <is>
          <t>2023-24 2(b); 2022-23 1(c); 2021-22 1(b); 2011-12 5(c); 2010-11 4; 2007-08 1(b)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2008-09</t>
        </is>
      </c>
      <c r="C20" s="24" t="inlineStr">
        <is>
          <t>CSE 211</t>
        </is>
      </c>
      <c r="D20" s="24" t="inlineStr">
        <is>
          <t>6(a)</t>
        </is>
      </c>
      <c r="E20" s="6" t="inlineStr">
        <is>
          <t>DFA for binary strings whose value is a multiple of 3</t>
        </is>
      </c>
      <c r="F20" s="6" t="inlineStr">
        <is>
          <t>Designing DFAs — Lec03 DFA, sl. 21–29</t>
        </is>
      </c>
      <c r="G20" s="24" t="inlineStr">
        <is>
          <t>L4</t>
        </is>
      </c>
      <c r="H20" s="24" t="n">
        <v>9</v>
      </c>
      <c r="I20" s="24" t="n">
        <v>7</v>
      </c>
      <c r="J20" s="26" t="inlineStr">
        <is>
          <t>★★ Medium</t>
        </is>
      </c>
      <c r="K20" s="24" t="inlineStr">
        <is>
          <t>Design</t>
        </is>
      </c>
      <c r="L20" s="25" t="inlineStr">
        <is>
          <t>✔ Solved</t>
        </is>
      </c>
      <c r="M20" s="6" t="inlineStr">
        <is>
          <t>2019-20 2(c); 2017-18 2(b); 2015-16 2(a); 2014-15 2(b); 2012-13 7(c); 2010-11 2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2007-08</t>
        </is>
      </c>
      <c r="C21" s="24" t="inlineStr">
        <is>
          <t>CSE 211</t>
        </is>
      </c>
      <c r="D21" s="24" t="inlineStr">
        <is>
          <t>1(b)</t>
        </is>
      </c>
      <c r="E21" s="6" t="inlineStr">
        <is>
          <t>DFA over {a,b}: every a is followed by at least one b; design steps, diagram, table</t>
        </is>
      </c>
      <c r="F21" s="6" t="inlineStr">
        <is>
          <t>Designing DFAs — Lec03 DFA, sl. 21–29</t>
        </is>
      </c>
      <c r="G21" s="24" t="inlineStr">
        <is>
          <t>L4</t>
        </is>
      </c>
      <c r="H21" s="24" t="n">
        <v>8</v>
      </c>
      <c r="I21" s="24" t="n">
        <v>4</v>
      </c>
      <c r="J21" s="26" t="inlineStr">
        <is>
          <t>★★ Medium</t>
        </is>
      </c>
      <c r="K21" s="24" t="inlineStr">
        <is>
          <t>Design</t>
        </is>
      </c>
      <c r="L21" s="25" t="inlineStr">
        <is>
          <t>✔ Solved</t>
        </is>
      </c>
      <c r="M21" s="6" t="inlineStr">
        <is>
          <t>2023-24 2(b); 2022-23 1(c); 2021-22 1(b); 2011-12 5(c); 2010-11 4; 2009-10 2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2006-07</t>
        </is>
      </c>
      <c r="C22" s="24" t="inlineStr">
        <is>
          <t>CSE 211</t>
        </is>
      </c>
      <c r="D22" s="24" t="inlineStr">
        <is>
          <t>1(a)</t>
        </is>
      </c>
      <c r="E22" s="6" t="inlineStr">
        <is>
          <t>DFA: strings starting with 0 of odd length or starting with 1 of even length; diagram + table</t>
        </is>
      </c>
      <c r="F22" s="6" t="inlineStr">
        <is>
          <t>Designing DFAs — Lec03 DFA, sl. 21–29</t>
        </is>
      </c>
      <c r="G22" s="24" t="inlineStr">
        <is>
          <t>L4</t>
        </is>
      </c>
      <c r="H22" s="24" t="n">
        <v>10</v>
      </c>
      <c r="I22" s="24" t="n">
        <v>1</v>
      </c>
      <c r="J22" s="26" t="inlineStr">
        <is>
          <t>★★ Medium</t>
        </is>
      </c>
      <c r="K22" s="24" t="inlineStr">
        <is>
          <t>Design</t>
        </is>
      </c>
      <c r="L22" s="25" t="inlineStr">
        <is>
          <t>✔ Solved</t>
        </is>
      </c>
      <c r="M22" s="6" t="inlineStr">
        <is>
          <t>2023-24 2(b); 2022-23 1(c); 2021-22 1(b); 2011-12 5(c); 2010-11 4; 2009-10 2</t>
        </is>
      </c>
      <c r="N22" s="23" t="b">
        <v>0</v>
      </c>
      <c r="O22" s="24" t="n"/>
      <c r="P22" s="24" t="n"/>
      <c r="Q22" s="6" t="n"/>
    </row>
    <row r="23">
      <c r="A23" s="19" t="n">
        <v>20</v>
      </c>
      <c r="B23" s="19" t="inlineStr">
        <is>
          <t>2023-24</t>
        </is>
      </c>
      <c r="C23" s="19" t="inlineStr">
        <is>
          <t>CSE 211</t>
        </is>
      </c>
      <c r="D23" s="19" t="inlineStr">
        <is>
          <t>1(b)</t>
        </is>
      </c>
      <c r="E23" s="20" t="inlineStr">
        <is>
          <t>DFA over {a,b}: at most two runs of a's of length exactly three</t>
        </is>
      </c>
      <c r="F23" s="20" t="inlineStr">
        <is>
          <t>Advanced DFAs and reading DFAs — Lec03 DFA, sl. 30–42</t>
        </is>
      </c>
      <c r="G23" s="19" t="inlineStr">
        <is>
          <t>L5</t>
        </is>
      </c>
      <c r="H23" s="19" t="n">
        <v>17</v>
      </c>
      <c r="I23" s="19" t="inlineStr">
        <is>
          <t>22 batch p.1</t>
        </is>
      </c>
      <c r="J23" s="21" t="inlineStr">
        <is>
          <t>★★★ High</t>
        </is>
      </c>
      <c r="K23" s="19" t="inlineStr">
        <is>
          <t>Design</t>
        </is>
      </c>
      <c r="L23" s="25" t="inlineStr">
        <is>
          <t>✔ Solved</t>
        </is>
      </c>
      <c r="M23" s="20" t="inlineStr">
        <is>
          <t>2022-23 3(a)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2022-23</t>
        </is>
      </c>
      <c r="C24" s="19" t="inlineStr">
        <is>
          <t>CSE 211</t>
        </is>
      </c>
      <c r="D24" s="19" t="inlineStr">
        <is>
          <t>1(b)</t>
        </is>
      </c>
      <c r="E24" s="20" t="inlineStr">
        <is>
          <t>Sum mod 3 with reset R: can a 2-state DFA (remainder 0 / non-zero) work?</t>
        </is>
      </c>
      <c r="F24" s="20" t="inlineStr">
        <is>
          <t>Advanced DFAs and reading DFAs — Lec03 DFA, sl. 30–42</t>
        </is>
      </c>
      <c r="G24" s="19" t="inlineStr">
        <is>
          <t>L5</t>
        </is>
      </c>
      <c r="H24" s="19" t="n">
        <v>12</v>
      </c>
      <c r="I24" s="19" t="n">
        <v>49</v>
      </c>
      <c r="J24" s="21" t="inlineStr">
        <is>
          <t>★★★ High</t>
        </is>
      </c>
      <c r="K24" s="19" t="inlineStr">
        <is>
          <t>Theory</t>
        </is>
      </c>
      <c r="L24" s="25" t="inlineStr">
        <is>
          <t>✔ Solved</t>
        </is>
      </c>
      <c r="M24" s="20" t="inlineStr">
        <is>
          <t>2019-20 1(c); 2014-15 1(a); 2014-15 1(b)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2022-23</t>
        </is>
      </c>
      <c r="C25" s="19" t="inlineStr">
        <is>
          <t>CSE 211</t>
        </is>
      </c>
      <c r="D25" s="19" t="inlineStr">
        <is>
          <t>2(a)</t>
        </is>
      </c>
      <c r="E25" s="20" t="inlineStr">
        <is>
          <t>Describe the languages of five given finite automata (i–v)</t>
        </is>
      </c>
      <c r="F25" s="20" t="inlineStr">
        <is>
          <t>Advanced DFAs and reading DFAs — Lec03 DFA, sl. 30–42</t>
        </is>
      </c>
      <c r="G25" s="19" t="inlineStr">
        <is>
          <t>L5</t>
        </is>
      </c>
      <c r="H25" s="19" t="n">
        <v>20</v>
      </c>
      <c r="I25" s="19" t="inlineStr">
        <is>
          <t>49–50</t>
        </is>
      </c>
      <c r="J25" s="21" t="inlineStr">
        <is>
          <t>★★★ High</t>
        </is>
      </c>
      <c r="K25" s="19" t="inlineStr">
        <is>
          <t>Theory</t>
        </is>
      </c>
      <c r="L25" s="25" t="inlineStr">
        <is>
          <t>✔ Solved</t>
        </is>
      </c>
      <c r="M25" s="20" t="inlineStr">
        <is>
          <t>2020 (Jan term) 2(a); 2015-16 1(b); 2015-16 1(c); 2015-16 1(d); 2015-16 1(e)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2022-23</t>
        </is>
      </c>
      <c r="C26" s="19" t="inlineStr">
        <is>
          <t>CSE 211</t>
        </is>
      </c>
      <c r="D26" s="19" t="inlineStr">
        <is>
          <t>3(a)</t>
        </is>
      </c>
      <c r="E26" s="20" t="inlineStr">
        <is>
          <t>DFA: no run of 0s of even length ≥ 2; design idea</t>
        </is>
      </c>
      <c r="F26" s="20" t="inlineStr">
        <is>
          <t>Advanced DFAs and reading DFAs — Lec03 DFA, sl. 30–42</t>
        </is>
      </c>
      <c r="G26" s="19" t="inlineStr">
        <is>
          <t>L5</t>
        </is>
      </c>
      <c r="H26" s="19" t="n">
        <v>15</v>
      </c>
      <c r="I26" s="19" t="n">
        <v>51</v>
      </c>
      <c r="J26" s="21" t="inlineStr">
        <is>
          <t>★★★ High</t>
        </is>
      </c>
      <c r="K26" s="19" t="inlineStr">
        <is>
          <t>Design</t>
        </is>
      </c>
      <c r="L26" s="25" t="inlineStr">
        <is>
          <t>✔ Solved</t>
        </is>
      </c>
      <c r="M26" s="20" t="inlineStr">
        <is>
          <t>2023-24 1(b)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2020 (Jan term)</t>
        </is>
      </c>
      <c r="C27" s="19" t="inlineStr">
        <is>
          <t>CSE 211</t>
        </is>
      </c>
      <c r="D27" s="19" t="inlineStr">
        <is>
          <t>2(a)</t>
        </is>
      </c>
      <c r="E27" s="20" t="inlineStr">
        <is>
          <t>State informally the language of the 5-state DFA (q0…q4)</t>
        </is>
      </c>
      <c r="F27" s="20" t="inlineStr">
        <is>
          <t>Advanced DFAs and reading DFAs — Lec03 DFA, sl. 30–42</t>
        </is>
      </c>
      <c r="G27" s="19" t="inlineStr">
        <is>
          <t>L5</t>
        </is>
      </c>
      <c r="H27" s="19" t="n">
        <v>7</v>
      </c>
      <c r="I27" s="19" t="n">
        <v>36</v>
      </c>
      <c r="J27" s="21" t="inlineStr">
        <is>
          <t>★★★ High</t>
        </is>
      </c>
      <c r="K27" s="19" t="inlineStr">
        <is>
          <t>Theory</t>
        </is>
      </c>
      <c r="L27" s="25" t="inlineStr">
        <is>
          <t>✔ Solved</t>
        </is>
      </c>
      <c r="M27" s="20" t="inlineStr">
        <is>
          <t>2022-23 2(a); 2015-16 1(b); 2015-16 1(c); 2015-16 1(d); 2015-16 1(e)</t>
        </is>
      </c>
      <c r="N27" s="23" t="b">
        <v>0</v>
      </c>
      <c r="O27" s="19" t="n"/>
      <c r="P27" s="19" t="n"/>
      <c r="Q27" s="20" t="n"/>
    </row>
    <row r="28">
      <c r="A28" s="19" t="n">
        <v>25</v>
      </c>
      <c r="B28" s="19" t="inlineStr">
        <is>
          <t>2019-20</t>
        </is>
      </c>
      <c r="C28" s="19" t="inlineStr">
        <is>
          <t>CSE 211</t>
        </is>
      </c>
      <c r="D28" s="19" t="inlineStr">
        <is>
          <t>1(c)</t>
        </is>
      </c>
      <c r="E28" s="20" t="inlineStr">
        <is>
          <t>DFA over {0,1,2,R}: running sum, reset on R, accept if sum ≡ 1 or 2 (mod 5)</t>
        </is>
      </c>
      <c r="F28" s="20" t="inlineStr">
        <is>
          <t>Advanced DFAs and reading DFAs — Lec03 DFA, sl. 30–42</t>
        </is>
      </c>
      <c r="G28" s="19" t="inlineStr">
        <is>
          <t>L5</t>
        </is>
      </c>
      <c r="H28" s="19" t="n">
        <v>15</v>
      </c>
      <c r="I28" s="19" t="n">
        <v>40</v>
      </c>
      <c r="J28" s="21" t="inlineStr">
        <is>
          <t>★★★ High</t>
        </is>
      </c>
      <c r="K28" s="19" t="inlineStr">
        <is>
          <t>Design</t>
        </is>
      </c>
      <c r="L28" s="25" t="inlineStr">
        <is>
          <t>✔ Solved</t>
        </is>
      </c>
      <c r="M28" s="20" t="inlineStr">
        <is>
          <t>2022-23 1(b); 2014-15 1(a); 2014-15 1(b)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2016-17</t>
        </is>
      </c>
      <c r="C29" s="19" t="inlineStr">
        <is>
          <t>CSE 211</t>
        </is>
      </c>
      <c r="D29" s="19" t="inlineStr">
        <is>
          <t>1(a)</t>
        </is>
      </c>
      <c r="E29" s="20" t="inlineStr">
        <is>
          <t>Xustaeter (3 colours of stones), 3 stones: state diagram; must-fail, can't-fail, might-fail states</t>
        </is>
      </c>
      <c r="F29" s="20" t="inlineStr">
        <is>
          <t>Advanced DFAs and reading DFAs — Lec03 DFA, sl. 30–42</t>
        </is>
      </c>
      <c r="G29" s="19" t="inlineStr">
        <is>
          <t>L5</t>
        </is>
      </c>
      <c r="H29" s="19" t="n">
        <v>5</v>
      </c>
      <c r="I29" s="19" t="n">
        <v>28</v>
      </c>
      <c r="J29" s="26" t="inlineStr">
        <is>
          <t>★★ Medium</t>
        </is>
      </c>
      <c r="K29" s="19" t="inlineStr">
        <is>
          <t>Design</t>
        </is>
      </c>
      <c r="L29" s="25" t="inlineStr">
        <is>
          <t>✔ Solved</t>
        </is>
      </c>
      <c r="M29" s="20" t="inlineStr">
        <is>
          <t>2016-17 1(b); 2016-17 1(c); 2016-17 1(d)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2016-17</t>
        </is>
      </c>
      <c r="C30" s="19" t="inlineStr">
        <is>
          <t>CSE 211</t>
        </is>
      </c>
      <c r="D30" s="19" t="inlineStr">
        <is>
          <t>1(b)</t>
        </is>
      </c>
      <c r="E30" s="20" t="inlineStr">
        <is>
          <t>Xustaeter with 4 stones: state diagram and state classes</t>
        </is>
      </c>
      <c r="F30" s="20" t="inlineStr">
        <is>
          <t>Advanced DFAs and reading DFAs — Lec03 DFA, sl. 30–42</t>
        </is>
      </c>
      <c r="G30" s="19" t="inlineStr">
        <is>
          <t>L5</t>
        </is>
      </c>
      <c r="H30" s="19" t="n">
        <v>10</v>
      </c>
      <c r="I30" s="19" t="n">
        <v>28</v>
      </c>
      <c r="J30" s="26" t="inlineStr">
        <is>
          <t>★★ Medium</t>
        </is>
      </c>
      <c r="K30" s="19" t="inlineStr">
        <is>
          <t>Design</t>
        </is>
      </c>
      <c r="L30" s="25" t="inlineStr">
        <is>
          <t>✔ Solved</t>
        </is>
      </c>
      <c r="M30" s="20" t="inlineStr">
        <is>
          <t>2016-17 1(a); 2016-17 1(c); 2016-17 1(d)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2016-17</t>
        </is>
      </c>
      <c r="C31" s="19" t="inlineStr">
        <is>
          <t>CSE 211</t>
        </is>
      </c>
      <c r="D31" s="19" t="inlineStr">
        <is>
          <t>1(c)</t>
        </is>
      </c>
      <c r="E31" s="20" t="inlineStr">
        <is>
          <t>Symmetries in the diagrams → reduced state-diagram scheme</t>
        </is>
      </c>
      <c r="F31" s="20" t="inlineStr">
        <is>
          <t>Advanced DFAs and reading DFAs — Lec03 DFA, sl. 30–42</t>
        </is>
      </c>
      <c r="G31" s="19" t="inlineStr">
        <is>
          <t>L5</t>
        </is>
      </c>
      <c r="H31" s="19" t="n">
        <v>6</v>
      </c>
      <c r="I31" s="19" t="n">
        <v>28</v>
      </c>
      <c r="J31" s="26" t="inlineStr">
        <is>
          <t>★★ Medium</t>
        </is>
      </c>
      <c r="K31" s="19" t="inlineStr">
        <is>
          <t>Design</t>
        </is>
      </c>
      <c r="L31" s="25" t="inlineStr">
        <is>
          <t>✔ Solved</t>
        </is>
      </c>
      <c r="M31" s="20" t="inlineStr">
        <is>
          <t>2016-17 1(a); 2016-17 1(b); 2016-17 1(d)</t>
        </is>
      </c>
      <c r="N31" s="23" t="b">
        <v>0</v>
      </c>
      <c r="O31" s="19" t="n"/>
      <c r="P31" s="19" t="n"/>
      <c r="Q31" s="20" t="n"/>
    </row>
    <row r="32">
      <c r="A32" s="19" t="n">
        <v>29</v>
      </c>
      <c r="B32" s="19" t="inlineStr">
        <is>
          <t>2016-17</t>
        </is>
      </c>
      <c r="C32" s="19" t="inlineStr">
        <is>
          <t>CSE 211</t>
        </is>
      </c>
      <c r="D32" s="19" t="inlineStr">
        <is>
          <t>1(d)</t>
        </is>
      </c>
      <c r="E32" s="20" t="inlineStr">
        <is>
          <t>Reduced diagram for 6 stones; classify states</t>
        </is>
      </c>
      <c r="F32" s="20" t="inlineStr">
        <is>
          <t>Advanced DFAs and reading DFAs — Lec03 DFA, sl. 30–42</t>
        </is>
      </c>
      <c r="G32" s="19" t="inlineStr">
        <is>
          <t>L5</t>
        </is>
      </c>
      <c r="H32" s="19" t="n">
        <v>14</v>
      </c>
      <c r="I32" s="19" t="n">
        <v>28</v>
      </c>
      <c r="J32" s="26" t="inlineStr">
        <is>
          <t>★★ Medium</t>
        </is>
      </c>
      <c r="K32" s="19" t="inlineStr">
        <is>
          <t>Design</t>
        </is>
      </c>
      <c r="L32" s="25" t="inlineStr">
        <is>
          <t>✔ Solved</t>
        </is>
      </c>
      <c r="M32" s="20" t="inlineStr">
        <is>
          <t>2016-17 1(a); 2016-17 1(b); 2016-17 1(c)</t>
        </is>
      </c>
      <c r="N32" s="23" t="b">
        <v>0</v>
      </c>
      <c r="O32" s="19" t="n"/>
      <c r="P32" s="19" t="n"/>
      <c r="Q32" s="20" t="n"/>
    </row>
    <row r="33">
      <c r="A33" s="19" t="n">
        <v>30</v>
      </c>
      <c r="B33" s="19" t="inlineStr">
        <is>
          <t>2016-17</t>
        </is>
      </c>
      <c r="C33" s="19" t="inlineStr">
        <is>
          <t>CSE 211</t>
        </is>
      </c>
      <c r="D33" s="19" t="inlineStr">
        <is>
          <t>2(a)</t>
        </is>
      </c>
      <c r="E33" s="20" t="inlineStr">
        <is>
          <t>DFA over {a,b,1,2}: #a divisible by 3 and even digit sum</t>
        </is>
      </c>
      <c r="F33" s="20" t="inlineStr">
        <is>
          <t>Advanced DFAs and reading DFAs — Lec03 DFA, sl. 30–42</t>
        </is>
      </c>
      <c r="G33" s="19" t="inlineStr">
        <is>
          <t>L5</t>
        </is>
      </c>
      <c r="H33" s="19" t="n">
        <v>17</v>
      </c>
      <c r="I33" s="19" t="n">
        <v>28</v>
      </c>
      <c r="J33" s="26" t="inlineStr">
        <is>
          <t>★★ Medium</t>
        </is>
      </c>
      <c r="K33" s="19" t="inlineStr">
        <is>
          <t>Design</t>
        </is>
      </c>
      <c r="L33" s="25" t="inlineStr">
        <is>
          <t>✔ Solved</t>
        </is>
      </c>
      <c r="M33" s="20" t="inlineStr">
        <is>
          <t>2013-14 5(c); 2006-07 2(b)</t>
        </is>
      </c>
      <c r="N33" s="23" t="b">
        <v>0</v>
      </c>
      <c r="O33" s="19" t="n"/>
      <c r="P33" s="19" t="n"/>
      <c r="Q33" s="20" t="n"/>
    </row>
    <row r="34">
      <c r="A34" s="19" t="n">
        <v>31</v>
      </c>
      <c r="B34" s="19" t="inlineStr">
        <is>
          <t>2015-16</t>
        </is>
      </c>
      <c r="C34" s="19" t="inlineStr">
        <is>
          <t>CSE 211</t>
        </is>
      </c>
      <c r="D34" s="19" t="inlineStr">
        <is>
          <t>1(b)</t>
        </is>
      </c>
      <c r="E34" s="20" t="inlineStr">
        <is>
          <t>What language does F1 recognize?</t>
        </is>
      </c>
      <c r="F34" s="20" t="inlineStr">
        <is>
          <t>Advanced DFAs and reading DFAs — Lec03 DFA, sl. 30–42</t>
        </is>
      </c>
      <c r="G34" s="19" t="inlineStr">
        <is>
          <t>L5</t>
        </is>
      </c>
      <c r="H34" s="19" t="n">
        <v>4</v>
      </c>
      <c r="I34" s="19" t="n">
        <v>24</v>
      </c>
      <c r="J34" s="26" t="inlineStr">
        <is>
          <t>★★ Medium</t>
        </is>
      </c>
      <c r="K34" s="19" t="inlineStr">
        <is>
          <t>Theory</t>
        </is>
      </c>
      <c r="L34" s="25" t="inlineStr">
        <is>
          <t>✔ Solved</t>
        </is>
      </c>
      <c r="M34" s="20" t="inlineStr">
        <is>
          <t>2022-23 2(a); 2020 (Jan term) 2(a); 2015-16 1(c); 2015-16 1(d); 2015-16 1(e)</t>
        </is>
      </c>
      <c r="N34" s="23" t="b">
        <v>0</v>
      </c>
      <c r="O34" s="19" t="n"/>
      <c r="P34" s="19" t="n"/>
      <c r="Q34" s="20" t="n"/>
    </row>
    <row r="35">
      <c r="A35" s="19" t="n">
        <v>32</v>
      </c>
      <c r="B35" s="19" t="inlineStr">
        <is>
          <t>2015-16</t>
        </is>
      </c>
      <c r="C35" s="19" t="inlineStr">
        <is>
          <t>CSE 211</t>
        </is>
      </c>
      <c r="D35" s="19" t="inlineStr">
        <is>
          <t>1(c)</t>
        </is>
      </c>
      <c r="E35" s="20" t="inlineStr">
        <is>
          <t>F2 = F1 plus δ(d,1) = d: language?</t>
        </is>
      </c>
      <c r="F35" s="20" t="inlineStr">
        <is>
          <t>Advanced DFAs and reading DFAs — Lec03 DFA, sl. 30–42</t>
        </is>
      </c>
      <c r="G35" s="19" t="inlineStr">
        <is>
          <t>L5</t>
        </is>
      </c>
      <c r="H35" s="19" t="n">
        <v>4</v>
      </c>
      <c r="I35" s="19" t="n">
        <v>24</v>
      </c>
      <c r="J35" s="26" t="inlineStr">
        <is>
          <t>★★ Medium</t>
        </is>
      </c>
      <c r="K35" s="19" t="inlineStr">
        <is>
          <t>Theory</t>
        </is>
      </c>
      <c r="L35" s="25" t="inlineStr">
        <is>
          <t>✔ Solved</t>
        </is>
      </c>
      <c r="M35" s="20" t="inlineStr">
        <is>
          <t>2022-23 2(a); 2020 (Jan term) 2(a); 2015-16 1(b); 2015-16 1(d); 2015-16 1(e)</t>
        </is>
      </c>
      <c r="N35" s="23" t="b">
        <v>0</v>
      </c>
      <c r="O35" s="19" t="n"/>
      <c r="P35" s="19" t="n"/>
      <c r="Q35" s="20" t="n"/>
    </row>
    <row r="36">
      <c r="A36" s="19" t="n">
        <v>33</v>
      </c>
      <c r="B36" s="19" t="inlineStr">
        <is>
          <t>2015-16</t>
        </is>
      </c>
      <c r="C36" s="19" t="inlineStr">
        <is>
          <t>CSE 211</t>
        </is>
      </c>
      <c r="D36" s="19" t="inlineStr">
        <is>
          <t>1(d)</t>
        </is>
      </c>
      <c r="E36" s="20" t="inlineStr">
        <is>
          <t>Change F1 (same #states, #transitions) so that |L(F3)| = |L(F1)| + 1 — possible?</t>
        </is>
      </c>
      <c r="F36" s="20" t="inlineStr">
        <is>
          <t>Advanced DFAs and reading DFAs — Lec03 DFA, sl. 30–42</t>
        </is>
      </c>
      <c r="G36" s="19" t="inlineStr">
        <is>
          <t>L5</t>
        </is>
      </c>
      <c r="H36" s="19" t="n">
        <v>4</v>
      </c>
      <c r="I36" s="19" t="n">
        <v>24</v>
      </c>
      <c r="J36" s="26" t="inlineStr">
        <is>
          <t>★★ Medium</t>
        </is>
      </c>
      <c r="K36" s="19" t="inlineStr">
        <is>
          <t>Theory</t>
        </is>
      </c>
      <c r="L36" s="25" t="inlineStr">
        <is>
          <t>✔ Solved</t>
        </is>
      </c>
      <c r="M36" s="20" t="inlineStr">
        <is>
          <t>2022-23 2(a); 2020 (Jan term) 2(a); 2015-16 1(b); 2015-16 1(c); 2015-16 1(e)</t>
        </is>
      </c>
      <c r="N36" s="23" t="b">
        <v>0</v>
      </c>
      <c r="O36" s="19" t="n"/>
      <c r="P36" s="19" t="n"/>
      <c r="Q36" s="20" t="n"/>
    </row>
    <row r="37">
      <c r="A37" s="19" t="n">
        <v>34</v>
      </c>
      <c r="B37" s="19" t="inlineStr">
        <is>
          <t>2015-16</t>
        </is>
      </c>
      <c r="C37" s="19" t="inlineStr">
        <is>
          <t>CSE 211</t>
        </is>
      </c>
      <c r="D37" s="19" t="inlineStr">
        <is>
          <t>1(e)</t>
        </is>
      </c>
      <c r="E37" s="20" t="inlineStr">
        <is>
          <t>|L(R1)| = 5 but the DFA accepts 1000 random strings — is the DFA wrong?</t>
        </is>
      </c>
      <c r="F37" s="20" t="inlineStr">
        <is>
          <t>Advanced DFAs and reading DFAs — Lec03 DFA, sl. 30–42</t>
        </is>
      </c>
      <c r="G37" s="19" t="inlineStr">
        <is>
          <t>L5</t>
        </is>
      </c>
      <c r="H37" s="19" t="n">
        <v>3</v>
      </c>
      <c r="I37" s="19" t="n">
        <v>24</v>
      </c>
      <c r="J37" s="26" t="inlineStr">
        <is>
          <t>★★ Medium</t>
        </is>
      </c>
      <c r="K37" s="19" t="inlineStr">
        <is>
          <t>Theory</t>
        </is>
      </c>
      <c r="L37" s="25" t="inlineStr">
        <is>
          <t>✔ Solved</t>
        </is>
      </c>
      <c r="M37" s="20" t="inlineStr">
        <is>
          <t>2022-23 2(a); 2020 (Jan term) 2(a); 2015-16 1(b); 2015-16 1(c); 2015-16 1(d)</t>
        </is>
      </c>
      <c r="N37" s="23" t="b">
        <v>0</v>
      </c>
      <c r="O37" s="19" t="n"/>
      <c r="P37" s="19" t="n"/>
      <c r="Q37" s="20" t="n"/>
    </row>
    <row r="38">
      <c r="A38" s="19" t="n">
        <v>35</v>
      </c>
      <c r="B38" s="19" t="inlineStr">
        <is>
          <t>2014-15</t>
        </is>
      </c>
      <c r="C38" s="19" t="inlineStr">
        <is>
          <t>CSE 211</t>
        </is>
      </c>
      <c r="D38" s="19" t="inlineStr">
        <is>
          <t>1(a)</t>
        </is>
      </c>
      <c r="E38" s="20" t="inlineStr">
        <is>
          <t>DFA over {0,1,2,3,R}: sum multiple of 3, reset on R</t>
        </is>
      </c>
      <c r="F38" s="20" t="inlineStr">
        <is>
          <t>Advanced DFAs and reading DFAs — Lec03 DFA, sl. 30–42</t>
        </is>
      </c>
      <c r="G38" s="19" t="inlineStr">
        <is>
          <t>L5</t>
        </is>
      </c>
      <c r="H38" s="19" t="n">
        <v>10</v>
      </c>
      <c r="I38" s="19" t="n">
        <v>22</v>
      </c>
      <c r="J38" s="26" t="inlineStr">
        <is>
          <t>★★ Medium</t>
        </is>
      </c>
      <c r="K38" s="19" t="inlineStr">
        <is>
          <t>Design</t>
        </is>
      </c>
      <c r="L38" s="25" t="inlineStr">
        <is>
          <t>✔ Solved</t>
        </is>
      </c>
      <c r="M38" s="20" t="inlineStr">
        <is>
          <t>2022-23 1(b); 2019-20 1(c); 2014-15 1(b)</t>
        </is>
      </c>
      <c r="N38" s="23" t="b">
        <v>0</v>
      </c>
      <c r="O38" s="19" t="n"/>
      <c r="P38" s="19" t="n"/>
      <c r="Q38" s="20" t="n"/>
    </row>
    <row r="39">
      <c r="A39" s="19" t="n">
        <v>36</v>
      </c>
      <c r="B39" s="19" t="inlineStr">
        <is>
          <t>2014-15</t>
        </is>
      </c>
      <c r="C39" s="19" t="inlineStr">
        <is>
          <t>CSE 211</t>
        </is>
      </c>
      <c r="D39" s="19" t="inlineStr">
        <is>
          <t>1(b)</t>
        </is>
      </c>
      <c r="E39" s="20" t="inlineStr">
        <is>
          <t>Alphabet {0,1,2,R}, states remember actual sums — draw; what is the problem?</t>
        </is>
      </c>
      <c r="F39" s="20" t="inlineStr">
        <is>
          <t>Advanced DFAs and reading DFAs — Lec03 DFA, sl. 30–42</t>
        </is>
      </c>
      <c r="G39" s="19" t="inlineStr">
        <is>
          <t>L5</t>
        </is>
      </c>
      <c r="H39" s="19" t="n">
        <v>13.33</v>
      </c>
      <c r="I39" s="19" t="n">
        <v>22</v>
      </c>
      <c r="J39" s="26" t="inlineStr">
        <is>
          <t>★★ Medium</t>
        </is>
      </c>
      <c r="K39" s="19" t="inlineStr">
        <is>
          <t>Theory</t>
        </is>
      </c>
      <c r="L39" s="25" t="inlineStr">
        <is>
          <t>✔ Solved</t>
        </is>
      </c>
      <c r="M39" s="20" t="inlineStr">
        <is>
          <t>2022-23 1(b); 2019-20 1(c); 2014-15 1(a)</t>
        </is>
      </c>
      <c r="N39" s="23" t="b">
        <v>0</v>
      </c>
      <c r="O39" s="19" t="n"/>
      <c r="P39" s="19" t="n"/>
      <c r="Q39" s="20" t="n"/>
    </row>
    <row r="40">
      <c r="A40" s="19" t="n">
        <v>37</v>
      </c>
      <c r="B40" s="19" t="inlineStr">
        <is>
          <t>2013-14</t>
        </is>
      </c>
      <c r="C40" s="19" t="inlineStr">
        <is>
          <t>CSE 211</t>
        </is>
      </c>
      <c r="D40" s="19" t="inlineStr">
        <is>
          <t>5(c)</t>
        </is>
      </c>
      <c r="E40" s="20" t="inlineStr">
        <is>
          <t>DFA for {a^p b^q | p + q even}</t>
        </is>
      </c>
      <c r="F40" s="20" t="inlineStr">
        <is>
          <t>Advanced DFAs and reading DFAs — Lec03 DFA, sl. 30–42</t>
        </is>
      </c>
      <c r="G40" s="19" t="inlineStr">
        <is>
          <t>L5</t>
        </is>
      </c>
      <c r="H40" s="19" t="n">
        <v>10.33</v>
      </c>
      <c r="I40" s="19" t="n">
        <v>20</v>
      </c>
      <c r="J40" s="26" t="inlineStr">
        <is>
          <t>★★ Medium</t>
        </is>
      </c>
      <c r="K40" s="19" t="inlineStr">
        <is>
          <t>Design</t>
        </is>
      </c>
      <c r="L40" s="25" t="inlineStr">
        <is>
          <t>✔ Solved</t>
        </is>
      </c>
      <c r="M40" s="20" t="inlineStr">
        <is>
          <t>2016-17 2(a); 2006-07 2(b)</t>
        </is>
      </c>
      <c r="N40" s="23" t="b">
        <v>0</v>
      </c>
      <c r="O40" s="19" t="n"/>
      <c r="P40" s="19" t="n"/>
      <c r="Q40" s="20" t="n"/>
    </row>
    <row r="41">
      <c r="A41" s="19" t="n">
        <v>38</v>
      </c>
      <c r="B41" s="19" t="inlineStr">
        <is>
          <t>2006-07</t>
        </is>
      </c>
      <c r="C41" s="19" t="inlineStr">
        <is>
          <t>CSE 211</t>
        </is>
      </c>
      <c r="D41" s="19" t="inlineStr">
        <is>
          <t>2(b)</t>
        </is>
      </c>
      <c r="E41" s="20" t="inlineStr">
        <is>
          <t>DFA for even number of 0s and odd number of 1s; verify with δ̂(q0, 11010)</t>
        </is>
      </c>
      <c r="F41" s="20" t="inlineStr">
        <is>
          <t>Advanced DFAs and reading DFAs — Lec03 DFA, sl. 30–42</t>
        </is>
      </c>
      <c r="G41" s="19" t="inlineStr">
        <is>
          <t>L5</t>
        </is>
      </c>
      <c r="H41" s="19" t="n">
        <v>8</v>
      </c>
      <c r="I41" s="19" t="n">
        <v>1</v>
      </c>
      <c r="J41" s="26" t="inlineStr">
        <is>
          <t>★★ Medium</t>
        </is>
      </c>
      <c r="K41" s="19" t="inlineStr">
        <is>
          <t>Design</t>
        </is>
      </c>
      <c r="L41" s="25" t="inlineStr">
        <is>
          <t>✔ Solved</t>
        </is>
      </c>
      <c r="M41" s="20" t="inlineStr">
        <is>
          <t>2016-17 2(a); 2013-14 5(c)</t>
        </is>
      </c>
      <c r="N41" s="23" t="b">
        <v>0</v>
      </c>
      <c r="O41" s="19" t="n"/>
      <c r="P41" s="19" t="n"/>
      <c r="Q41" s="20" t="n"/>
    </row>
  </sheetData>
  <autoFilter ref="A3:Q41"/>
  <conditionalFormatting sqref="A4:Q41">
    <cfRule type="expression" priority="1" dxfId="0">
      <formula>$N4=TRUE</formula>
    </cfRule>
  </conditionalFormatting>
  <conditionalFormatting sqref="O4:O4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41" showDropDown="0" showInputMessage="0" showErrorMessage="0" allowBlank="1" type="list">
      <formula1>"TRUE,FALSE"</formula1>
    </dataValidation>
    <dataValidation sqref="O4:O4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Lec04 — Nondeterminism and NFAs</t>
        </is>
      </c>
    </row>
    <row r="2">
      <c r="A2" s="2" t="inlineStr">
        <is>
          <t>Note file: CSE211_Hakim_NFA_Notes.docx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2012-13</t>
        </is>
      </c>
      <c r="C4" s="19" t="inlineStr">
        <is>
          <t>CSE 211</t>
        </is>
      </c>
      <c r="D4" s="19" t="inlineStr">
        <is>
          <t>8(a)</t>
        </is>
      </c>
      <c r="E4" s="20" t="inlineStr">
        <is>
          <t>Three differences between DFA and NFA with examples</t>
        </is>
      </c>
      <c r="F4" s="20" t="inlineStr">
        <is>
          <t>Nondeterminism and the NFA — Lec04 NFA, sl. 2–49</t>
        </is>
      </c>
      <c r="G4" s="19" t="inlineStr">
        <is>
          <t>L6</t>
        </is>
      </c>
      <c r="H4" s="19" t="n">
        <v>5</v>
      </c>
      <c r="I4" s="19" t="n">
        <v>18</v>
      </c>
      <c r="J4" s="26" t="inlineStr">
        <is>
          <t>★★ Medium</t>
        </is>
      </c>
      <c r="K4" s="19" t="inlineStr">
        <is>
          <t>Theory</t>
        </is>
      </c>
      <c r="L4" s="25" t="inlineStr">
        <is>
          <t>✔ Solved</t>
        </is>
      </c>
      <c r="M4" s="20" t="inlineStr">
        <is>
          <t>2011-12 5(a); 2008-09 5(c)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2011-12</t>
        </is>
      </c>
      <c r="C5" s="19" t="inlineStr">
        <is>
          <t>CSE 211</t>
        </is>
      </c>
      <c r="D5" s="19" t="inlineStr">
        <is>
          <t>5(a)</t>
        </is>
      </c>
      <c r="E5" s="20" t="inlineStr">
        <is>
          <t>Three differences between DFA and NFA with examples</t>
        </is>
      </c>
      <c r="F5" s="20" t="inlineStr">
        <is>
          <t>Nondeterminism and the NFA — Lec04 NFA, sl. 2–49</t>
        </is>
      </c>
      <c r="G5" s="19" t="inlineStr">
        <is>
          <t>L6</t>
        </is>
      </c>
      <c r="H5" s="19" t="n">
        <v>6</v>
      </c>
      <c r="I5" s="19" t="n">
        <v>15</v>
      </c>
      <c r="J5" s="26" t="inlineStr">
        <is>
          <t>★★ Medium</t>
        </is>
      </c>
      <c r="K5" s="19" t="inlineStr">
        <is>
          <t>Theory</t>
        </is>
      </c>
      <c r="L5" s="25" t="inlineStr">
        <is>
          <t>✔ Solved</t>
        </is>
      </c>
      <c r="M5" s="20" t="inlineStr">
        <is>
          <t>2012-13 8(a); 2008-09 5(c)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2008-09</t>
        </is>
      </c>
      <c r="C6" s="19" t="inlineStr">
        <is>
          <t>CSE 211</t>
        </is>
      </c>
      <c r="D6" s="19" t="inlineStr">
        <is>
          <t>5(c)</t>
        </is>
      </c>
      <c r="E6" s="20" t="inlineStr">
        <is>
          <t>Define a DFA and an NFA</t>
        </is>
      </c>
      <c r="F6" s="20" t="inlineStr">
        <is>
          <t>Nondeterminism and the NFA — Lec04 NFA, sl. 2–49</t>
        </is>
      </c>
      <c r="G6" s="19" t="inlineStr">
        <is>
          <t>L6</t>
        </is>
      </c>
      <c r="H6" s="19" t="n">
        <v>5.33</v>
      </c>
      <c r="I6" s="19" t="n">
        <v>7</v>
      </c>
      <c r="J6" s="26" t="inlineStr">
        <is>
          <t>★★ Medium</t>
        </is>
      </c>
      <c r="K6" s="19" t="inlineStr">
        <is>
          <t>Theory</t>
        </is>
      </c>
      <c r="L6" s="25" t="inlineStr">
        <is>
          <t>✔ Solved</t>
        </is>
      </c>
      <c r="M6" s="20" t="inlineStr">
        <is>
          <t>2012-13 8(a); 2011-12 5(a)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2006-07</t>
        </is>
      </c>
      <c r="C7" s="19" t="inlineStr">
        <is>
          <t>CSE 211</t>
        </is>
      </c>
      <c r="D7" s="19" t="inlineStr">
        <is>
          <t>2(c)</t>
        </is>
      </c>
      <c r="E7" s="20" t="inlineStr">
        <is>
          <t>'Nondeterministic computation is a tree of possibilities' — elaborate with example</t>
        </is>
      </c>
      <c r="F7" s="20" t="inlineStr">
        <is>
          <t>Nondeterminism and the NFA — Lec04 NFA, sl. 2–49</t>
        </is>
      </c>
      <c r="G7" s="19" t="inlineStr">
        <is>
          <t>L6</t>
        </is>
      </c>
      <c r="H7" s="19" t="n">
        <v>5.33</v>
      </c>
      <c r="I7" s="19" t="n">
        <v>1</v>
      </c>
      <c r="J7" s="25" t="inlineStr">
        <is>
          <t>★ Low</t>
        </is>
      </c>
      <c r="K7" s="19" t="inlineStr">
        <is>
          <t>Theory</t>
        </is>
      </c>
      <c r="L7" s="25" t="inlineStr">
        <is>
          <t>✔ Solved</t>
        </is>
      </c>
      <c r="M7" s="20" t="inlineStr">
        <is>
          <t>—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2023-24</t>
        </is>
      </c>
      <c r="C8" s="24" t="inlineStr">
        <is>
          <t>CSE 211</t>
        </is>
      </c>
      <c r="D8" s="24" t="inlineStr">
        <is>
          <t>3(a)</t>
        </is>
      </c>
      <c r="E8" s="6" t="inlineStr">
        <is>
          <t>3-state NFA for {a^n | n ≥ 1} ∪ {b^m a^k | m, k ≥ 0}; can fewer states work?</t>
        </is>
      </c>
      <c r="F8" s="6" t="inlineStr">
        <is>
          <t>Designing NFAs — Lec04 NFA, sl. 50–70</t>
        </is>
      </c>
      <c r="G8" s="24" t="inlineStr">
        <is>
          <t>L7</t>
        </is>
      </c>
      <c r="H8" s="24" t="n">
        <v>15</v>
      </c>
      <c r="I8" s="24" t="inlineStr">
        <is>
          <t>22 batch p.2</t>
        </is>
      </c>
      <c r="J8" s="21" t="inlineStr">
        <is>
          <t>★★★ High</t>
        </is>
      </c>
      <c r="K8" s="24" t="inlineStr">
        <is>
          <t>Design</t>
        </is>
      </c>
      <c r="L8" s="25" t="inlineStr">
        <is>
          <t>✔ Solved</t>
        </is>
      </c>
      <c r="M8" s="6" t="inlineStr">
        <is>
          <t>2023-24 4(a); 2022-23 4(b); 2021-22 3(b); 2020 (Jan term) 2(b); 2019-20 3(b); 2017-18 3(a)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2023-24</t>
        </is>
      </c>
      <c r="C9" s="24" t="inlineStr">
        <is>
          <t>CSE 211</t>
        </is>
      </c>
      <c r="D9" s="24" t="inlineStr">
        <is>
          <t>4(a)</t>
        </is>
      </c>
      <c r="E9" s="6" t="inlineStr">
        <is>
          <t>NFA for {a}∗ such that removing one edge leaves an NFA for {a}</t>
        </is>
      </c>
      <c r="F9" s="6" t="inlineStr">
        <is>
          <t>Designing NFAs — Lec04 NFA, sl. 50–70</t>
        </is>
      </c>
      <c r="G9" s="24" t="inlineStr">
        <is>
          <t>L7</t>
        </is>
      </c>
      <c r="H9" s="24" t="n">
        <v>10</v>
      </c>
      <c r="I9" s="24" t="inlineStr">
        <is>
          <t>22 batch p.2</t>
        </is>
      </c>
      <c r="J9" s="21" t="inlineStr">
        <is>
          <t>★★★ High</t>
        </is>
      </c>
      <c r="K9" s="24" t="inlineStr">
        <is>
          <t>Design</t>
        </is>
      </c>
      <c r="L9" s="25" t="inlineStr">
        <is>
          <t>✔ Solved</t>
        </is>
      </c>
      <c r="M9" s="6" t="inlineStr">
        <is>
          <t>2023-24 3(a); 2022-23 4(b); 2021-22 3(b); 2020 (Jan term) 2(b); 2019-20 3(b); 2017-18 3(a)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2022-23</t>
        </is>
      </c>
      <c r="C10" s="24" t="inlineStr">
        <is>
          <t>CSE 211</t>
        </is>
      </c>
      <c r="D10" s="24" t="inlineStr">
        <is>
          <t>4(b)</t>
        </is>
      </c>
      <c r="E10" s="6" t="inlineStr">
        <is>
          <t>NFA: binary strings that begin and end with different symbols and have odd length</t>
        </is>
      </c>
      <c r="F10" s="6" t="inlineStr">
        <is>
          <t>Designing NFAs — Lec04 NFA, sl. 50–70</t>
        </is>
      </c>
      <c r="G10" s="24" t="inlineStr">
        <is>
          <t>L7</t>
        </is>
      </c>
      <c r="H10" s="24" t="n">
        <v>15</v>
      </c>
      <c r="I10" s="24" t="n">
        <v>51</v>
      </c>
      <c r="J10" s="21" t="inlineStr">
        <is>
          <t>★★★ High</t>
        </is>
      </c>
      <c r="K10" s="24" t="inlineStr">
        <is>
          <t>Design</t>
        </is>
      </c>
      <c r="L10" s="25" t="inlineStr">
        <is>
          <t>✔ Solved</t>
        </is>
      </c>
      <c r="M10" s="6" t="inlineStr">
        <is>
          <t>2023-24 3(a); 2023-24 4(a); 2021-22 3(b); 2020 (Jan term) 2(b); 2019-20 3(b); 2017-18 3(a)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2021-22</t>
        </is>
      </c>
      <c r="C11" s="24" t="inlineStr">
        <is>
          <t>CSE 211</t>
        </is>
      </c>
      <c r="D11" s="24" t="inlineStr">
        <is>
          <t>3(b)</t>
        </is>
      </c>
      <c r="E11" s="6" t="inlineStr">
        <is>
          <t>NFA: binary strings with at least two 0s or exactly two 1s</t>
        </is>
      </c>
      <c r="F11" s="6" t="inlineStr">
        <is>
          <t>Designing NFAs — Lec04 NFA, sl. 50–70</t>
        </is>
      </c>
      <c r="G11" s="24" t="inlineStr">
        <is>
          <t>L7</t>
        </is>
      </c>
      <c r="H11" s="24" t="n">
        <v>10</v>
      </c>
      <c r="I11" s="24" t="n">
        <v>45</v>
      </c>
      <c r="J11" s="21" t="inlineStr">
        <is>
          <t>★★★ High</t>
        </is>
      </c>
      <c r="K11" s="24" t="inlineStr">
        <is>
          <t>Design</t>
        </is>
      </c>
      <c r="L11" s="25" t="inlineStr">
        <is>
          <t>✔ Solved</t>
        </is>
      </c>
      <c r="M11" s="6" t="inlineStr">
        <is>
          <t>2023-24 3(a); 2023-24 4(a); 2022-23 4(b); 2020 (Jan term) 2(b); 2019-20 3(b); 2017-18 3(a)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2020 (Jan term)</t>
        </is>
      </c>
      <c r="C12" s="24" t="inlineStr">
        <is>
          <t>CSE 211</t>
        </is>
      </c>
      <c r="D12" s="24" t="inlineStr">
        <is>
          <t>2(b)</t>
        </is>
      </c>
      <c r="E12" s="6" t="inlineStr">
        <is>
          <t>Equivalent NFA for the language of 2(a)</t>
        </is>
      </c>
      <c r="F12" s="6" t="inlineStr">
        <is>
          <t>Designing NFAs — Lec04 NFA, sl. 50–70</t>
        </is>
      </c>
      <c r="G12" s="24" t="inlineStr">
        <is>
          <t>L7</t>
        </is>
      </c>
      <c r="H12" s="24" t="n">
        <v>13</v>
      </c>
      <c r="I12" s="24" t="n">
        <v>36</v>
      </c>
      <c r="J12" s="21" t="inlineStr">
        <is>
          <t>★★★ High</t>
        </is>
      </c>
      <c r="K12" s="24" t="inlineStr">
        <is>
          <t>Design</t>
        </is>
      </c>
      <c r="L12" s="25" t="inlineStr">
        <is>
          <t>✔ Solved</t>
        </is>
      </c>
      <c r="M12" s="6" t="inlineStr">
        <is>
          <t>2023-24 3(a); 2023-24 4(a); 2022-23 4(b); 2021-22 3(b); 2019-20 3(b); 2017-18 3(a)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2019-20</t>
        </is>
      </c>
      <c r="C13" s="24" t="inlineStr">
        <is>
          <t>CSE 211</t>
        </is>
      </c>
      <c r="D13" s="24" t="inlineStr">
        <is>
          <t>3(b)</t>
        </is>
      </c>
      <c r="E13" s="6" t="inlineStr">
        <is>
          <t>Minimal NFA for {a^n b^n | n ≤ 3}</t>
        </is>
      </c>
      <c r="F13" s="6" t="inlineStr">
        <is>
          <t>Designing NFAs — Lec04 NFA, sl. 50–70</t>
        </is>
      </c>
      <c r="G13" s="24" t="inlineStr">
        <is>
          <t>L7</t>
        </is>
      </c>
      <c r="H13" s="24" t="n">
        <v>15</v>
      </c>
      <c r="I13" s="24" t="n">
        <v>40</v>
      </c>
      <c r="J13" s="21" t="inlineStr">
        <is>
          <t>★★★ High</t>
        </is>
      </c>
      <c r="K13" s="24" t="inlineStr">
        <is>
          <t>Design</t>
        </is>
      </c>
      <c r="L13" s="25" t="inlineStr">
        <is>
          <t>✔ Solved</t>
        </is>
      </c>
      <c r="M13" s="6" t="inlineStr">
        <is>
          <t>2023-24 3(a); 2023-24 4(a); 2022-23 4(b); 2021-22 3(b); 2020 (Jan term) 2(b); 2017-18 3(a)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2017-18</t>
        </is>
      </c>
      <c r="C14" s="24" t="inlineStr">
        <is>
          <t>CSE 211</t>
        </is>
      </c>
      <c r="D14" s="24" t="inlineStr">
        <is>
          <t>3(a)</t>
        </is>
      </c>
      <c r="E14" s="6" t="inlineStr">
        <is>
          <t>NFA: two 0s with a nonzero multiple-of-4 number of characters between; diagram + table</t>
        </is>
      </c>
      <c r="F14" s="6" t="inlineStr">
        <is>
          <t>Designing NFAs — Lec04 NFA, sl. 50–70</t>
        </is>
      </c>
      <c r="G14" s="24" t="inlineStr">
        <is>
          <t>L7</t>
        </is>
      </c>
      <c r="H14" s="24" t="n">
        <v>18</v>
      </c>
      <c r="I14" s="24" t="n">
        <v>32</v>
      </c>
      <c r="J14" s="26" t="inlineStr">
        <is>
          <t>★★ Medium</t>
        </is>
      </c>
      <c r="K14" s="24" t="inlineStr">
        <is>
          <t>Design</t>
        </is>
      </c>
      <c r="L14" s="25" t="inlineStr">
        <is>
          <t>✔ Solved</t>
        </is>
      </c>
      <c r="M14" s="6" t="inlineStr">
        <is>
          <t>2023-24 3(a); 2023-24 4(a); 2022-23 4(b); 2021-22 3(b); 2020 (Jan term) 2(b); 2019-20 3(b)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2016-17</t>
        </is>
      </c>
      <c r="C15" s="24" t="inlineStr">
        <is>
          <t>CSE 211</t>
        </is>
      </c>
      <c r="D15" s="24" t="inlineStr">
        <is>
          <t>3(a)</t>
        </is>
      </c>
      <c r="E15" s="6" t="inlineStr">
        <is>
          <t>NFAs: final digit appeared before; final digit not appeared before; two 0s separated by a multiple of 4 positions</t>
        </is>
      </c>
      <c r="F15" s="6" t="inlineStr">
        <is>
          <t>Designing NFAs — Lec04 NFA, sl. 50–70</t>
        </is>
      </c>
      <c r="G15" s="24" t="inlineStr">
        <is>
          <t>L7</t>
        </is>
      </c>
      <c r="H15" s="24" t="n">
        <v>20</v>
      </c>
      <c r="I15" s="24" t="n">
        <v>29</v>
      </c>
      <c r="J15" s="26" t="inlineStr">
        <is>
          <t>★★ Medium</t>
        </is>
      </c>
      <c r="K15" s="24" t="inlineStr">
        <is>
          <t>Design</t>
        </is>
      </c>
      <c r="L15" s="25" t="inlineStr">
        <is>
          <t>✔ Solved</t>
        </is>
      </c>
      <c r="M15" s="6" t="inlineStr">
        <is>
          <t>2023-24 3(a); 2023-24 4(a); 2022-23 4(b); 2021-22 3(b); 2020 (Jan term) 2(b); 2019-20 3(b)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2014-15</t>
        </is>
      </c>
      <c r="C16" s="24" t="inlineStr">
        <is>
          <t>CSE 211</t>
        </is>
      </c>
      <c r="D16" s="24" t="inlineStr">
        <is>
          <t>3(a)</t>
        </is>
      </c>
      <c r="E16" s="6" t="inlineStr">
        <is>
          <t>NFA: nonzero length strings with a nonzero even number of a's at the end</t>
        </is>
      </c>
      <c r="F16" s="6" t="inlineStr">
        <is>
          <t>Designing NFAs — Lec04 NFA, sl. 50–70</t>
        </is>
      </c>
      <c r="G16" s="24" t="inlineStr">
        <is>
          <t>L7</t>
        </is>
      </c>
      <c r="H16" s="24" t="n">
        <v>13.33</v>
      </c>
      <c r="I16" s="24" t="n">
        <v>22</v>
      </c>
      <c r="J16" s="26" t="inlineStr">
        <is>
          <t>★★ Medium</t>
        </is>
      </c>
      <c r="K16" s="24" t="inlineStr">
        <is>
          <t>Design</t>
        </is>
      </c>
      <c r="L16" s="25" t="inlineStr">
        <is>
          <t>✔ Solved</t>
        </is>
      </c>
      <c r="M16" s="6" t="inlineStr">
        <is>
          <t>2023-24 3(a); 2023-24 4(a); 2022-23 4(b); 2021-22 3(b); 2020 (Jan term) 2(b); 2019-20 3(b)</t>
        </is>
      </c>
      <c r="N16" s="23" t="b">
        <v>0</v>
      </c>
      <c r="O16" s="24" t="n"/>
      <c r="P16" s="24" t="n"/>
      <c r="Q16" s="6" t="n"/>
    </row>
    <row r="17">
      <c r="A17" s="19" t="n">
        <v>14</v>
      </c>
      <c r="B17" s="19" t="inlineStr">
        <is>
          <t>2013-14</t>
        </is>
      </c>
      <c r="C17" s="19" t="inlineStr">
        <is>
          <t>CSE 211</t>
        </is>
      </c>
      <c r="D17" s="19" t="inlineStr">
        <is>
          <t>7(a)</t>
        </is>
      </c>
      <c r="E17" s="20" t="inlineStr">
        <is>
          <t>Eliminate all ε-transitions from the given NFA (q0…q4)</t>
        </is>
      </c>
      <c r="F17" s="20" t="inlineStr">
        <is>
          <t>ε-transitions and removing them — Lec04 NFA, sl. 71–90</t>
        </is>
      </c>
      <c r="G17" s="19" t="inlineStr">
        <is>
          <t>L8</t>
        </is>
      </c>
      <c r="H17" s="19" t="n">
        <v>9</v>
      </c>
      <c r="I17" s="19" t="n">
        <v>20</v>
      </c>
      <c r="J17" s="25" t="inlineStr">
        <is>
          <t>★ Low</t>
        </is>
      </c>
      <c r="K17" s="19" t="inlineStr">
        <is>
          <t>Trace</t>
        </is>
      </c>
      <c r="L17" s="25" t="inlineStr">
        <is>
          <t>✔ Solved</t>
        </is>
      </c>
      <c r="M17" s="20" t="inlineStr">
        <is>
          <t>—</t>
        </is>
      </c>
      <c r="N17" s="23" t="b">
        <v>0</v>
      </c>
      <c r="O17" s="19" t="n"/>
      <c r="P17" s="19" t="n"/>
      <c r="Q17" s="20" t="n"/>
    </row>
    <row r="18">
      <c r="A18" s="24" t="n">
        <v>15</v>
      </c>
      <c r="B18" s="24" t="inlineStr">
        <is>
          <t>2021-22</t>
        </is>
      </c>
      <c r="C18" s="24" t="inlineStr">
        <is>
          <t>CSE 211</t>
        </is>
      </c>
      <c r="D18" s="24" t="inlineStr">
        <is>
          <t>2(a)</t>
        </is>
      </c>
      <c r="E18" s="6" t="inlineStr">
        <is>
          <t>Why is DFA/NFA equivalence surprising and useful?</t>
        </is>
      </c>
      <c r="F18" s="6" t="inlineStr">
        <is>
          <t>NFA → DFA: subset construction — Lec04 NFA, sl. 91–109</t>
        </is>
      </c>
      <c r="G18" s="24" t="inlineStr">
        <is>
          <t>L9</t>
        </is>
      </c>
      <c r="H18" s="24" t="n">
        <v>4</v>
      </c>
      <c r="I18" s="24" t="n">
        <v>45</v>
      </c>
      <c r="J18" s="21" t="inlineStr">
        <is>
          <t>★★★ High</t>
        </is>
      </c>
      <c r="K18" s="24" t="inlineStr">
        <is>
          <t>Theory</t>
        </is>
      </c>
      <c r="L18" s="25" t="inlineStr">
        <is>
          <t>✔ Solved</t>
        </is>
      </c>
      <c r="M18" s="6" t="inlineStr">
        <is>
          <t>2009-10 1; 2007-08 3(c)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2021-22</t>
        </is>
      </c>
      <c r="C19" s="24" t="inlineStr">
        <is>
          <t>CSE 211</t>
        </is>
      </c>
      <c r="D19" s="24" t="inlineStr">
        <is>
          <t>3(c)</t>
        </is>
      </c>
      <c r="E19" s="6" t="inlineStr">
        <is>
          <t>Convert the ε-NFA (q1, q2, q3 table) to a DFA</t>
        </is>
      </c>
      <c r="F19" s="6" t="inlineStr">
        <is>
          <t>NFA → DFA: subset construction — Lec04 NFA, sl. 91–109</t>
        </is>
      </c>
      <c r="G19" s="24" t="inlineStr">
        <is>
          <t>L9</t>
        </is>
      </c>
      <c r="H19" s="24" t="n">
        <v>9</v>
      </c>
      <c r="I19" s="24" t="inlineStr">
        <is>
          <t>45–46</t>
        </is>
      </c>
      <c r="J19" s="21" t="inlineStr">
        <is>
          <t>★★★ High</t>
        </is>
      </c>
      <c r="K19" s="24" t="inlineStr">
        <is>
          <t>Trace</t>
        </is>
      </c>
      <c r="L19" s="25" t="inlineStr">
        <is>
          <t>✔ Solved</t>
        </is>
      </c>
      <c r="M19" s="6" t="inlineStr">
        <is>
          <t>2020 (Jan term) 1(c); 2020 (Jan term) 4(b); 2017-18 4(a); 2016-17 2(b); 2009-10 3; 2008-09 6(c)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2020 (Jan term)</t>
        </is>
      </c>
      <c r="C20" s="24" t="inlineStr">
        <is>
          <t>CSE 211</t>
        </is>
      </c>
      <c r="D20" s="24" t="inlineStr">
        <is>
          <t>1(c)</t>
        </is>
      </c>
      <c r="E20" s="6" t="inlineStr">
        <is>
          <t>ε-NFA (p, q, r table): general forms of accepted strings of length ≤ 3</t>
        </is>
      </c>
      <c r="F20" s="6" t="inlineStr">
        <is>
          <t>NFA → DFA: subset construction — Lec04 NFA, sl. 91–109</t>
        </is>
      </c>
      <c r="G20" s="24" t="inlineStr">
        <is>
          <t>L9</t>
        </is>
      </c>
      <c r="H20" s="24" t="n">
        <v>12</v>
      </c>
      <c r="I20" s="24" t="n">
        <v>36</v>
      </c>
      <c r="J20" s="21" t="inlineStr">
        <is>
          <t>★★★ High</t>
        </is>
      </c>
      <c r="K20" s="24" t="inlineStr">
        <is>
          <t>Trace</t>
        </is>
      </c>
      <c r="L20" s="25" t="inlineStr">
        <is>
          <t>✔ Solved</t>
        </is>
      </c>
      <c r="M20" s="6" t="inlineStr">
        <is>
          <t>2021-22 3(c); 2020 (Jan term) 4(b); 2017-18 4(a); 2016-17 2(b); 2009-10 3; 2008-09 6(c)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2020 (Jan term)</t>
        </is>
      </c>
      <c r="C21" s="24" t="inlineStr">
        <is>
          <t>CSE 211</t>
        </is>
      </c>
      <c r="D21" s="24" t="inlineStr">
        <is>
          <t>4(b)</t>
        </is>
      </c>
      <c r="E21" s="6" t="inlineStr">
        <is>
          <t>Convert the ε-NFA (q0…q10 figure) to a DFA, showing computations</t>
        </is>
      </c>
      <c r="F21" s="6" t="inlineStr">
        <is>
          <t>NFA → DFA: subset construction — Lec04 NFA, sl. 91–109</t>
        </is>
      </c>
      <c r="G21" s="24" t="inlineStr">
        <is>
          <t>L9</t>
        </is>
      </c>
      <c r="H21" s="24" t="n">
        <v>20</v>
      </c>
      <c r="I21" s="24" t="n">
        <v>37</v>
      </c>
      <c r="J21" s="21" t="inlineStr">
        <is>
          <t>★★★ High</t>
        </is>
      </c>
      <c r="K21" s="24" t="inlineStr">
        <is>
          <t>Trace</t>
        </is>
      </c>
      <c r="L21" s="25" t="inlineStr">
        <is>
          <t>✔ Solved</t>
        </is>
      </c>
      <c r="M21" s="6" t="inlineStr">
        <is>
          <t>2021-22 3(c); 2020 (Jan term) 1(c); 2017-18 4(a); 2016-17 2(b); 2009-10 3; 2008-09 6(c)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2019-20</t>
        </is>
      </c>
      <c r="C22" s="24" t="inlineStr">
        <is>
          <t>CSE 211</t>
        </is>
      </c>
      <c r="D22" s="24" t="inlineStr">
        <is>
          <t>4(a)</t>
        </is>
      </c>
      <c r="E22" s="6" t="inlineStr">
        <is>
          <t>NFA with 5 states → DFA: minimum and maximum number of states</t>
        </is>
      </c>
      <c r="F22" s="6" t="inlineStr">
        <is>
          <t>NFA → DFA: subset construction — Lec04 NFA, sl. 91–109</t>
        </is>
      </c>
      <c r="G22" s="24" t="inlineStr">
        <is>
          <t>L9</t>
        </is>
      </c>
      <c r="H22" s="24" t="n">
        <v>5</v>
      </c>
      <c r="I22" s="24" t="n">
        <v>41</v>
      </c>
      <c r="J22" s="21" t="inlineStr">
        <is>
          <t>★★★ High</t>
        </is>
      </c>
      <c r="K22" s="24" t="inlineStr">
        <is>
          <t>Theory</t>
        </is>
      </c>
      <c r="L22" s="25" t="inlineStr">
        <is>
          <t>✔ Solved</t>
        </is>
      </c>
      <c r="M22" s="6" t="inlineStr">
        <is>
          <t>2008-09 6(b)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2017-18</t>
        </is>
      </c>
      <c r="C23" s="24" t="inlineStr">
        <is>
          <t>CSE 211</t>
        </is>
      </c>
      <c r="D23" s="24" t="inlineStr">
        <is>
          <t>4(a)</t>
        </is>
      </c>
      <c r="E23" s="6" t="inlineStr">
        <is>
          <t>ε-NFA (p, q, r table): strings of length ≤ 3 accepted; convert to DFA</t>
        </is>
      </c>
      <c r="F23" s="6" t="inlineStr">
        <is>
          <t>NFA → DFA: subset construction — Lec04 NFA, sl. 91–109</t>
        </is>
      </c>
      <c r="G23" s="24" t="inlineStr">
        <is>
          <t>L9</t>
        </is>
      </c>
      <c r="H23" s="24" t="n">
        <v>15</v>
      </c>
      <c r="I23" s="24" t="n">
        <v>33</v>
      </c>
      <c r="J23" s="26" t="inlineStr">
        <is>
          <t>★★ Medium</t>
        </is>
      </c>
      <c r="K23" s="24" t="inlineStr">
        <is>
          <t>Trace</t>
        </is>
      </c>
      <c r="L23" s="25" t="inlineStr">
        <is>
          <t>✔ Solved</t>
        </is>
      </c>
      <c r="M23" s="6" t="inlineStr">
        <is>
          <t>2021-22 3(c); 2020 (Jan term) 1(c); 2020 (Jan term) 4(b); 2016-17 2(b); 2009-10 3; 2008-09 6(c)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2016-17</t>
        </is>
      </c>
      <c r="C24" s="24" t="inlineStr">
        <is>
          <t>CSE 211</t>
        </is>
      </c>
      <c r="D24" s="24" t="inlineStr">
        <is>
          <t>2(b)</t>
        </is>
      </c>
      <c r="E24" s="6" t="inlineStr">
        <is>
          <t>Convert the ε-NFA (p, q, r, s figure) to a DFA</t>
        </is>
      </c>
      <c r="F24" s="6" t="inlineStr">
        <is>
          <t>NFA → DFA: subset construction — Lec04 NFA, sl. 91–109</t>
        </is>
      </c>
      <c r="G24" s="24" t="inlineStr">
        <is>
          <t>L9</t>
        </is>
      </c>
      <c r="H24" s="24" t="n">
        <v>8</v>
      </c>
      <c r="I24" s="24" t="n">
        <v>29</v>
      </c>
      <c r="J24" s="26" t="inlineStr">
        <is>
          <t>★★ Medium</t>
        </is>
      </c>
      <c r="K24" s="24" t="inlineStr">
        <is>
          <t>Trace</t>
        </is>
      </c>
      <c r="L24" s="25" t="inlineStr">
        <is>
          <t>✔ Solved</t>
        </is>
      </c>
      <c r="M24" s="6" t="inlineStr">
        <is>
          <t>2021-22 3(c); 2020 (Jan term) 1(c); 2020 (Jan term) 4(b); 2017-18 4(a); 2009-10 3; 2008-09 6(c)</t>
        </is>
      </c>
      <c r="N24" s="23" t="b">
        <v>0</v>
      </c>
      <c r="O24" s="24" t="n"/>
      <c r="P24" s="24" t="n"/>
      <c r="Q24" s="6" t="n"/>
    </row>
    <row r="25">
      <c r="A25" s="24" t="n">
        <v>22</v>
      </c>
      <c r="B25" s="24" t="inlineStr">
        <is>
          <t>2014-15</t>
        </is>
      </c>
      <c r="C25" s="24" t="inlineStr">
        <is>
          <t>CSE 211</t>
        </is>
      </c>
      <c r="D25" s="24" t="inlineStr">
        <is>
          <t>4(a)</t>
        </is>
      </c>
      <c r="E25" s="6" t="inlineStr">
        <is>
          <t>NFA for an even number of occurrences of 01; convert to DFA (reachable part)</t>
        </is>
      </c>
      <c r="F25" s="6" t="inlineStr">
        <is>
          <t>NFA → DFA: subset construction — Lec04 NFA, sl. 91–109</t>
        </is>
      </c>
      <c r="G25" s="24" t="inlineStr">
        <is>
          <t>L9</t>
        </is>
      </c>
      <c r="H25" s="24" t="n">
        <v>11.33</v>
      </c>
      <c r="I25" s="24" t="n">
        <v>22</v>
      </c>
      <c r="J25" s="26" t="inlineStr">
        <is>
          <t>★★ Medium</t>
        </is>
      </c>
      <c r="K25" s="24" t="inlineStr">
        <is>
          <t>Trace</t>
        </is>
      </c>
      <c r="L25" s="25" t="inlineStr">
        <is>
          <t>✔ Solved</t>
        </is>
      </c>
      <c r="M25" s="6" t="inlineStr">
        <is>
          <t>2011-12 7(b); 2010-11 3</t>
        </is>
      </c>
      <c r="N25" s="23" t="b">
        <v>0</v>
      </c>
      <c r="O25" s="24" t="n"/>
      <c r="P25" s="24" t="n"/>
      <c r="Q25" s="6" t="n"/>
    </row>
    <row r="26">
      <c r="A26" s="24" t="n">
        <v>23</v>
      </c>
      <c r="B26" s="24" t="inlineStr">
        <is>
          <t>2013-14</t>
        </is>
      </c>
      <c r="C26" s="24" t="inlineStr">
        <is>
          <t>CSE 211</t>
        </is>
      </c>
      <c r="D26" s="24" t="inlineStr">
        <is>
          <t>8(b)</t>
        </is>
      </c>
      <c r="E26" s="6" t="inlineStr">
        <is>
          <t>Prove every NFA has an equivalent DFA</t>
        </is>
      </c>
      <c r="F26" s="6" t="inlineStr">
        <is>
          <t>NFA → DFA: subset construction — Lec04 NFA, sl. 91–109</t>
        </is>
      </c>
      <c r="G26" s="24" t="inlineStr">
        <is>
          <t>L9</t>
        </is>
      </c>
      <c r="H26" s="24" t="n">
        <v>10.33</v>
      </c>
      <c r="I26" s="24" t="n">
        <v>21</v>
      </c>
      <c r="J26" s="26" t="inlineStr">
        <is>
          <t>★★ Medium</t>
        </is>
      </c>
      <c r="K26" s="24" t="inlineStr">
        <is>
          <t>Proof</t>
        </is>
      </c>
      <c r="L26" s="25" t="inlineStr">
        <is>
          <t>✔ Solved</t>
        </is>
      </c>
      <c r="M26" s="6" t="inlineStr">
        <is>
          <t>2010-11 1; 2007-08 2(a); 2006-07 2(a)</t>
        </is>
      </c>
      <c r="N26" s="23" t="b">
        <v>0</v>
      </c>
      <c r="O26" s="24" t="n"/>
      <c r="P26" s="24" t="n"/>
      <c r="Q26" s="6" t="n"/>
    </row>
    <row r="27">
      <c r="A27" s="24" t="n">
        <v>24</v>
      </c>
      <c r="B27" s="24" t="inlineStr">
        <is>
          <t>2011-12</t>
        </is>
      </c>
      <c r="C27" s="24" t="inlineStr">
        <is>
          <t>CSE 211</t>
        </is>
      </c>
      <c r="D27" s="24" t="inlineStr">
        <is>
          <t>7(b)</t>
        </is>
      </c>
      <c r="E27" s="6" t="inlineStr">
        <is>
          <t>Convert the NFA of 7(a) to a DFA (reachable states only)</t>
        </is>
      </c>
      <c r="F27" s="6" t="inlineStr">
        <is>
          <t>NFA → DFA: subset construction — Lec04 NFA, sl. 91–109</t>
        </is>
      </c>
      <c r="G27" s="24" t="inlineStr">
        <is>
          <t>L9</t>
        </is>
      </c>
      <c r="H27" s="24" t="n">
        <v>8</v>
      </c>
      <c r="I27" s="24" t="n">
        <v>16</v>
      </c>
      <c r="J27" s="26" t="inlineStr">
        <is>
          <t>★★ Medium</t>
        </is>
      </c>
      <c r="K27" s="24" t="inlineStr">
        <is>
          <t>Trace</t>
        </is>
      </c>
      <c r="L27" s="25" t="inlineStr">
        <is>
          <t>✔ Solved</t>
        </is>
      </c>
      <c r="M27" s="6" t="inlineStr">
        <is>
          <t>2014-15 4(a); 2010-11 3</t>
        </is>
      </c>
      <c r="N27" s="23" t="b">
        <v>0</v>
      </c>
      <c r="O27" s="24" t="n"/>
      <c r="P27" s="24" t="n"/>
      <c r="Q27" s="6" t="n"/>
    </row>
    <row r="28">
      <c r="A28" s="24" t="n">
        <v>25</v>
      </c>
      <c r="B28" s="24" t="inlineStr">
        <is>
          <t>2010-11</t>
        </is>
      </c>
      <c r="C28" s="24" t="inlineStr">
        <is>
          <t>CSE 211</t>
        </is>
      </c>
      <c r="D28" s="24" t="inlineStr">
        <is>
          <t>1</t>
        </is>
      </c>
      <c r="E28" s="6" t="inlineStr">
        <is>
          <t>Will the DFA built from an NFA by subset construction accept the same language? Justify</t>
        </is>
      </c>
      <c r="F28" s="6" t="inlineStr">
        <is>
          <t>NFA → DFA: subset construction — Lec04 NFA, sl. 91–109</t>
        </is>
      </c>
      <c r="G28" s="24" t="inlineStr">
        <is>
          <t>L9</t>
        </is>
      </c>
      <c r="H28" s="24" t="n">
        <v>10</v>
      </c>
      <c r="I28" s="24" t="n">
        <v>11</v>
      </c>
      <c r="J28" s="26" t="inlineStr">
        <is>
          <t>★★ Medium</t>
        </is>
      </c>
      <c r="K28" s="24" t="inlineStr">
        <is>
          <t>Proof</t>
        </is>
      </c>
      <c r="L28" s="25" t="inlineStr">
        <is>
          <t>✔ Solved</t>
        </is>
      </c>
      <c r="M28" s="6" t="inlineStr">
        <is>
          <t>2013-14 8(b); 2007-08 2(a); 2006-07 2(a)</t>
        </is>
      </c>
      <c r="N28" s="23" t="b">
        <v>0</v>
      </c>
      <c r="O28" s="24" t="n"/>
      <c r="P28" s="24" t="n"/>
      <c r="Q28" s="6" t="n"/>
    </row>
    <row r="29">
      <c r="A29" s="24" t="n">
        <v>26</v>
      </c>
      <c r="B29" s="24" t="inlineStr">
        <is>
          <t>2010-11</t>
        </is>
      </c>
      <c r="C29" s="24" t="inlineStr">
        <is>
          <t>CSE 211</t>
        </is>
      </c>
      <c r="D29" s="24" t="inlineStr">
        <is>
          <t>3</t>
        </is>
      </c>
      <c r="E29" s="6" t="inlineStr">
        <is>
          <t>Convert the NFA (p,q,r,s∗,t∗ table) to a DFA using lazy evaluation</t>
        </is>
      </c>
      <c r="F29" s="6" t="inlineStr">
        <is>
          <t>NFA → DFA: subset construction — Lec04 NFA, sl. 91–109</t>
        </is>
      </c>
      <c r="G29" s="24" t="inlineStr">
        <is>
          <t>L9</t>
        </is>
      </c>
      <c r="H29" s="24" t="n">
        <v>10</v>
      </c>
      <c r="I29" s="24" t="n">
        <v>11</v>
      </c>
      <c r="J29" s="26" t="inlineStr">
        <is>
          <t>★★ Medium</t>
        </is>
      </c>
      <c r="K29" s="24" t="inlineStr">
        <is>
          <t>Trace</t>
        </is>
      </c>
      <c r="L29" s="25" t="inlineStr">
        <is>
          <t>✔ Solved</t>
        </is>
      </c>
      <c r="M29" s="6" t="inlineStr">
        <is>
          <t>2014-15 4(a); 2011-12 7(b)</t>
        </is>
      </c>
      <c r="N29" s="23" t="b">
        <v>0</v>
      </c>
      <c r="O29" s="24" t="n"/>
      <c r="P29" s="24" t="n"/>
      <c r="Q29" s="6" t="n"/>
    </row>
    <row r="30">
      <c r="A30" s="24" t="n">
        <v>27</v>
      </c>
      <c r="B30" s="24" t="inlineStr">
        <is>
          <t>2009-10</t>
        </is>
      </c>
      <c r="C30" s="24" t="inlineStr">
        <is>
          <t>CSE 211</t>
        </is>
      </c>
      <c r="D30" s="24" t="inlineStr">
        <is>
          <t>1</t>
        </is>
      </c>
      <c r="E30" s="6" t="inlineStr">
        <is>
          <t>'Nondeterminism is an inessential feature of finite automata' — explain</t>
        </is>
      </c>
      <c r="F30" s="6" t="inlineStr">
        <is>
          <t>NFA → DFA: subset construction — Lec04 NFA, sl. 91–109</t>
        </is>
      </c>
      <c r="G30" s="24" t="inlineStr">
        <is>
          <t>L9</t>
        </is>
      </c>
      <c r="H30" s="24" t="n">
        <v>10</v>
      </c>
      <c r="I30" s="24" t="n">
        <v>8</v>
      </c>
      <c r="J30" s="26" t="inlineStr">
        <is>
          <t>★★ Medium</t>
        </is>
      </c>
      <c r="K30" s="24" t="inlineStr">
        <is>
          <t>Theory</t>
        </is>
      </c>
      <c r="L30" s="25" t="inlineStr">
        <is>
          <t>✔ Solved</t>
        </is>
      </c>
      <c r="M30" s="6" t="inlineStr">
        <is>
          <t>2021-22 2(a); 2007-08 3(c)</t>
        </is>
      </c>
      <c r="N30" s="23" t="b">
        <v>0</v>
      </c>
      <c r="O30" s="24" t="n"/>
      <c r="P30" s="24" t="n"/>
      <c r="Q30" s="6" t="n"/>
    </row>
    <row r="31">
      <c r="A31" s="24" t="n">
        <v>28</v>
      </c>
      <c r="B31" s="24" t="inlineStr">
        <is>
          <t>2009-10</t>
        </is>
      </c>
      <c r="C31" s="24" t="inlineStr">
        <is>
          <t>CSE 211</t>
        </is>
      </c>
      <c r="D31" s="24" t="inlineStr">
        <is>
          <t>3</t>
        </is>
      </c>
      <c r="E31" s="6" t="inlineStr">
        <is>
          <t>Convert the ε-NFA (q1…q5 figure) to a DFA using lazy evaluation</t>
        </is>
      </c>
      <c r="F31" s="6" t="inlineStr">
        <is>
          <t>NFA → DFA: subset construction — Lec04 NFA, sl. 91–109</t>
        </is>
      </c>
      <c r="G31" s="24" t="inlineStr">
        <is>
          <t>L9</t>
        </is>
      </c>
      <c r="H31" s="24" t="n">
        <v>10</v>
      </c>
      <c r="I31" s="24" t="n">
        <v>8</v>
      </c>
      <c r="J31" s="26" t="inlineStr">
        <is>
          <t>★★ Medium</t>
        </is>
      </c>
      <c r="K31" s="24" t="inlineStr">
        <is>
          <t>Trace</t>
        </is>
      </c>
      <c r="L31" s="25" t="inlineStr">
        <is>
          <t>✔ Solved</t>
        </is>
      </c>
      <c r="M31" s="6" t="inlineStr">
        <is>
          <t>2021-22 3(c); 2020 (Jan term) 1(c); 2020 (Jan term) 4(b); 2017-18 4(a); 2016-17 2(b); 2008-09 6(c)</t>
        </is>
      </c>
      <c r="N31" s="23" t="b">
        <v>0</v>
      </c>
      <c r="O31" s="24" t="n"/>
      <c r="P31" s="24" t="n"/>
      <c r="Q31" s="6" t="n"/>
    </row>
    <row r="32">
      <c r="A32" s="24" t="n">
        <v>29</v>
      </c>
      <c r="B32" s="24" t="inlineStr">
        <is>
          <t>2008-09</t>
        </is>
      </c>
      <c r="C32" s="24" t="inlineStr">
        <is>
          <t>CSE 211</t>
        </is>
      </c>
      <c r="D32" s="24" t="inlineStr">
        <is>
          <t>6(b)</t>
        </is>
      </c>
      <c r="E32" s="6" t="inlineStr">
        <is>
          <t>Example of an NFA with n+1 states that has no equivalent DFA with fewer than 2^n states</t>
        </is>
      </c>
      <c r="F32" s="6" t="inlineStr">
        <is>
          <t>NFA → DFA: subset construction — Lec04 NFA, sl. 91–109</t>
        </is>
      </c>
      <c r="G32" s="24" t="inlineStr">
        <is>
          <t>L9</t>
        </is>
      </c>
      <c r="H32" s="24" t="n">
        <v>9</v>
      </c>
      <c r="I32" s="24" t="n">
        <v>7</v>
      </c>
      <c r="J32" s="26" t="inlineStr">
        <is>
          <t>★★ Medium</t>
        </is>
      </c>
      <c r="K32" s="24" t="inlineStr">
        <is>
          <t>Theory</t>
        </is>
      </c>
      <c r="L32" s="25" t="inlineStr">
        <is>
          <t>✔ Solved</t>
        </is>
      </c>
      <c r="M32" s="6" t="inlineStr">
        <is>
          <t>2019-20 4(a)</t>
        </is>
      </c>
      <c r="N32" s="23" t="b">
        <v>0</v>
      </c>
      <c r="O32" s="24" t="n"/>
      <c r="P32" s="24" t="n"/>
      <c r="Q32" s="6" t="n"/>
    </row>
    <row r="33">
      <c r="A33" s="24" t="n">
        <v>30</v>
      </c>
      <c r="B33" s="24" t="inlineStr">
        <is>
          <t>2008-09</t>
        </is>
      </c>
      <c r="C33" s="24" t="inlineStr">
        <is>
          <t>CSE 211</t>
        </is>
      </c>
      <c r="D33" s="24" t="inlineStr">
        <is>
          <t>6(c)</t>
        </is>
      </c>
      <c r="E33" s="6" t="inlineStr">
        <is>
          <t>ε-NFA (p,q,r table): ε-closure of each state; convert to DFA</t>
        </is>
      </c>
      <c r="F33" s="6" t="inlineStr">
        <is>
          <t>NFA → DFA: subset construction — Lec04 NFA, sl. 91–109</t>
        </is>
      </c>
      <c r="G33" s="24" t="inlineStr">
        <is>
          <t>L9</t>
        </is>
      </c>
      <c r="H33" s="24" t="n">
        <v>5.33</v>
      </c>
      <c r="I33" s="24" t="n">
        <v>7</v>
      </c>
      <c r="J33" s="26" t="inlineStr">
        <is>
          <t>★★ Medium</t>
        </is>
      </c>
      <c r="K33" s="24" t="inlineStr">
        <is>
          <t>Trace</t>
        </is>
      </c>
      <c r="L33" s="25" t="inlineStr">
        <is>
          <t>✔ Solved</t>
        </is>
      </c>
      <c r="M33" s="6" t="inlineStr">
        <is>
          <t>2021-22 3(c); 2020 (Jan term) 1(c); 2020 (Jan term) 4(b); 2017-18 4(a); 2016-17 2(b); 2009-10 3</t>
        </is>
      </c>
      <c r="N33" s="23" t="b">
        <v>0</v>
      </c>
      <c r="O33" s="24" t="n"/>
      <c r="P33" s="24" t="n"/>
      <c r="Q33" s="6" t="n"/>
    </row>
    <row r="34">
      <c r="A34" s="24" t="n">
        <v>31</v>
      </c>
      <c r="B34" s="24" t="inlineStr">
        <is>
          <t>2007-08</t>
        </is>
      </c>
      <c r="C34" s="24" t="inlineStr">
        <is>
          <t>CSE 211</t>
        </is>
      </c>
      <c r="D34" s="24" t="inlineStr">
        <is>
          <t>2(a)</t>
        </is>
      </c>
      <c r="E34" s="6" t="inlineStr">
        <is>
          <t>Prove L(D) = L(N) for the DFA D obtained from NFA N by subset construction</t>
        </is>
      </c>
      <c r="F34" s="6" t="inlineStr">
        <is>
          <t>NFA → DFA: subset construction — Lec04 NFA, sl. 91–109</t>
        </is>
      </c>
      <c r="G34" s="24" t="inlineStr">
        <is>
          <t>L9</t>
        </is>
      </c>
      <c r="H34" s="24" t="n">
        <v>10</v>
      </c>
      <c r="I34" s="24" t="n">
        <v>4</v>
      </c>
      <c r="J34" s="26" t="inlineStr">
        <is>
          <t>★★ Medium</t>
        </is>
      </c>
      <c r="K34" s="24" t="inlineStr">
        <is>
          <t>Proof</t>
        </is>
      </c>
      <c r="L34" s="25" t="inlineStr">
        <is>
          <t>✔ Solved</t>
        </is>
      </c>
      <c r="M34" s="6" t="inlineStr">
        <is>
          <t>2013-14 8(b); 2010-11 1; 2006-07 2(a)</t>
        </is>
      </c>
      <c r="N34" s="23" t="b">
        <v>0</v>
      </c>
      <c r="O34" s="24" t="n"/>
      <c r="P34" s="24" t="n"/>
      <c r="Q34" s="6" t="n"/>
    </row>
    <row r="35">
      <c r="A35" s="24" t="n">
        <v>32</v>
      </c>
      <c r="B35" s="24" t="inlineStr">
        <is>
          <t>2007-08</t>
        </is>
      </c>
      <c r="C35" s="24" t="inlineStr">
        <is>
          <t>CSE 211</t>
        </is>
      </c>
      <c r="D35" s="24" t="inlineStr">
        <is>
          <t>3(c)</t>
        </is>
      </c>
      <c r="E35" s="6" t="inlineStr">
        <is>
          <t>'Nondeterminism is an inessential feature of finite automata' — explain</t>
        </is>
      </c>
      <c r="F35" s="6" t="inlineStr">
        <is>
          <t>NFA → DFA: subset construction — Lec04 NFA, sl. 91–109</t>
        </is>
      </c>
      <c r="G35" s="24" t="inlineStr">
        <is>
          <t>L9</t>
        </is>
      </c>
      <c r="H35" s="24" t="n">
        <v>5.33</v>
      </c>
      <c r="I35" s="24" t="n">
        <v>4</v>
      </c>
      <c r="J35" s="26" t="inlineStr">
        <is>
          <t>★★ Medium</t>
        </is>
      </c>
      <c r="K35" s="24" t="inlineStr">
        <is>
          <t>Theory</t>
        </is>
      </c>
      <c r="L35" s="25" t="inlineStr">
        <is>
          <t>✔ Solved</t>
        </is>
      </c>
      <c r="M35" s="6" t="inlineStr">
        <is>
          <t>2021-22 2(a); 2009-10 1</t>
        </is>
      </c>
      <c r="N35" s="23" t="b">
        <v>0</v>
      </c>
      <c r="O35" s="24" t="n"/>
      <c r="P35" s="24" t="n"/>
      <c r="Q35" s="6" t="n"/>
    </row>
    <row r="36">
      <c r="A36" s="24" t="n">
        <v>33</v>
      </c>
      <c r="B36" s="24" t="inlineStr">
        <is>
          <t>2006-07</t>
        </is>
      </c>
      <c r="C36" s="24" t="inlineStr">
        <is>
          <t>CSE 211</t>
        </is>
      </c>
      <c r="D36" s="24" t="inlineStr">
        <is>
          <t>2(a)</t>
        </is>
      </c>
      <c r="E36" s="6" t="inlineStr">
        <is>
          <t>Prove: if D is the DFA built from NFA N by subset construction then L(D) = L(N)</t>
        </is>
      </c>
      <c r="F36" s="6" t="inlineStr">
        <is>
          <t>NFA → DFA: subset construction — Lec04 NFA, sl. 91–109</t>
        </is>
      </c>
      <c r="G36" s="24" t="inlineStr">
        <is>
          <t>L9</t>
        </is>
      </c>
      <c r="H36" s="24" t="n">
        <v>10</v>
      </c>
      <c r="I36" s="24" t="n">
        <v>1</v>
      </c>
      <c r="J36" s="26" t="inlineStr">
        <is>
          <t>★★ Medium</t>
        </is>
      </c>
      <c r="K36" s="24" t="inlineStr">
        <is>
          <t>Proof</t>
        </is>
      </c>
      <c r="L36" s="25" t="inlineStr">
        <is>
          <t>✔ Solved</t>
        </is>
      </c>
      <c r="M36" s="6" t="inlineStr">
        <is>
          <t>2013-14 8(b); 2010-11 1; 2007-08 2(a)</t>
        </is>
      </c>
      <c r="N36" s="23" t="b">
        <v>0</v>
      </c>
      <c r="O36" s="24" t="n"/>
      <c r="P36" s="24" t="n"/>
      <c r="Q36" s="6" t="n"/>
    </row>
    <row r="37">
      <c r="A37" s="24" t="n">
        <v>34</v>
      </c>
      <c r="B37" s="24" t="inlineStr">
        <is>
          <t>2006-07</t>
        </is>
      </c>
      <c r="C37" s="24" t="inlineStr">
        <is>
          <t>CSE 211</t>
        </is>
      </c>
      <c r="D37" s="24" t="inlineStr">
        <is>
          <t>3(b)</t>
        </is>
      </c>
      <c r="E37" s="6" t="inlineStr">
        <is>
          <t>Steps to find the equivalent DFA of an ε-NFA using lazy evaluation</t>
        </is>
      </c>
      <c r="F37" s="6" t="inlineStr">
        <is>
          <t>NFA → DFA: subset construction — Lec04 NFA, sl. 91–109</t>
        </is>
      </c>
      <c r="G37" s="24" t="inlineStr">
        <is>
          <t>L9</t>
        </is>
      </c>
      <c r="H37" s="24" t="n">
        <v>8</v>
      </c>
      <c r="I37" s="24" t="n">
        <v>1</v>
      </c>
      <c r="J37" s="26" t="inlineStr">
        <is>
          <t>★★ Medium</t>
        </is>
      </c>
      <c r="K37" s="24" t="inlineStr">
        <is>
          <t>Theory</t>
        </is>
      </c>
      <c r="L37" s="25" t="inlineStr">
        <is>
          <t>✔ Solved</t>
        </is>
      </c>
      <c r="M37" s="6" t="inlineStr">
        <is>
          <t>2021-22 3(c); 2020 (Jan term) 1(c); 2020 (Jan term) 4(b); 2017-18 4(a); 2016-17 2(b); 2009-10 3</t>
        </is>
      </c>
      <c r="N37" s="23" t="b">
        <v>0</v>
      </c>
      <c r="O37" s="24" t="n"/>
      <c r="P37" s="24" t="n"/>
      <c r="Q37" s="6" t="n"/>
    </row>
  </sheetData>
  <autoFilter ref="A3:Q37"/>
  <conditionalFormatting sqref="A4:Q37">
    <cfRule type="expression" priority="1" dxfId="0">
      <formula>$N4=TRUE</formula>
    </cfRule>
  </conditionalFormatting>
  <conditionalFormatting sqref="O4:O37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37" showDropDown="0" showInputMessage="0" showErrorMessage="0" allowBlank="1" type="list">
      <formula1>"TRUE,FALSE"</formula1>
    </dataValidation>
    <dataValidation sqref="O4:O37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Lec05 — Closure Properties and Regular Expressions</t>
        </is>
      </c>
    </row>
    <row r="2">
      <c r="A2" s="2" t="inlineStr">
        <is>
          <t>Note file: CSE211_Hakim_Regular_Languages_Notes.docx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211</t>
        </is>
      </c>
      <c r="D4" s="19" t="inlineStr">
        <is>
          <t>1(c)</t>
        </is>
      </c>
      <c r="E4" s="20" t="inlineStr">
        <is>
          <t>NFAs for concatenation of {w | ≥ three 1s} with ∅, via the closure construction</t>
        </is>
      </c>
      <c r="F4" s="20" t="inlineStr">
        <is>
          <t>Regular operations, closure under ∪ ∘ ∗ — Lec05 Regulars, sl. 1–37</t>
        </is>
      </c>
      <c r="G4" s="19" t="inlineStr">
        <is>
          <t>L10</t>
        </is>
      </c>
      <c r="H4" s="19" t="n">
        <v>10</v>
      </c>
      <c r="I4" s="19" t="inlineStr">
        <is>
          <t>22 batch p.1</t>
        </is>
      </c>
      <c r="J4" s="21" t="inlineStr">
        <is>
          <t>★★★ High</t>
        </is>
      </c>
      <c r="K4" s="19" t="inlineStr">
        <is>
          <t>Design</t>
        </is>
      </c>
      <c r="L4" s="25" t="inlineStr">
        <is>
          <t>✔ Solved</t>
        </is>
      </c>
      <c r="M4" s="20" t="inlineStr">
        <is>
          <t>2016-17 4(b); 2015-16 2(b); 2012-13 5(c); 2011-12 5(b)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2023-24</t>
        </is>
      </c>
      <c r="C5" s="19" t="inlineStr">
        <is>
          <t>CSE 211</t>
        </is>
      </c>
      <c r="D5" s="19" t="inlineStr">
        <is>
          <t>3(b)</t>
        </is>
      </c>
      <c r="E5" s="20" t="inlineStr">
        <is>
          <t>Star construction without a new start state — why bad; counterexample</t>
        </is>
      </c>
      <c r="F5" s="20" t="inlineStr">
        <is>
          <t>Regular operations, closure under ∪ ∘ ∗ — Lec05 Regulars, sl. 1–37</t>
        </is>
      </c>
      <c r="G5" s="19" t="inlineStr">
        <is>
          <t>L10</t>
        </is>
      </c>
      <c r="H5" s="19" t="n">
        <v>13</v>
      </c>
      <c r="I5" s="19" t="inlineStr">
        <is>
          <t>22 batch p.2</t>
        </is>
      </c>
      <c r="J5" s="21" t="inlineStr">
        <is>
          <t>★★★ High</t>
        </is>
      </c>
      <c r="K5" s="19" t="inlineStr">
        <is>
          <t>Theory</t>
        </is>
      </c>
      <c r="L5" s="25" t="inlineStr">
        <is>
          <t>✔ Solved</t>
        </is>
      </c>
      <c r="M5" s="20" t="inlineStr">
        <is>
          <t>2020 (Jan term) 3(b); 2016-17 4(a)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2022-23</t>
        </is>
      </c>
      <c r="C6" s="19" t="inlineStr">
        <is>
          <t>CSE 211</t>
        </is>
      </c>
      <c r="D6" s="19" t="inlineStr">
        <is>
          <t>3(c)</t>
        </is>
      </c>
      <c r="E6" s="20" t="inlineStr">
        <is>
          <t>Why is the Kleene star of the empty set the empty string?</t>
        </is>
      </c>
      <c r="F6" s="20" t="inlineStr">
        <is>
          <t>Regular operations, closure under ∪ ∘ ∗ — Lec05 Regulars, sl. 1–37</t>
        </is>
      </c>
      <c r="G6" s="19" t="inlineStr">
        <is>
          <t>L10</t>
        </is>
      </c>
      <c r="H6" s="19" t="n">
        <v>8</v>
      </c>
      <c r="I6" s="19" t="n">
        <v>51</v>
      </c>
      <c r="J6" s="21" t="inlineStr">
        <is>
          <t>★★★ High</t>
        </is>
      </c>
      <c r="K6" s="19" t="inlineStr">
        <is>
          <t>Theory</t>
        </is>
      </c>
      <c r="L6" s="25" t="inlineStr">
        <is>
          <t>✔ Solved</t>
        </is>
      </c>
      <c r="M6" s="20" t="inlineStr">
        <is>
          <t>2021-22 3(a); 2016-17 2(c)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2021-22</t>
        </is>
      </c>
      <c r="C7" s="19" t="inlineStr">
        <is>
          <t>CSE 211</t>
        </is>
      </c>
      <c r="D7" s="19" t="inlineStr">
        <is>
          <t>2(c)</t>
        </is>
      </c>
      <c r="E7" s="20" t="inlineStr">
        <is>
          <t>Finite or infinite: L1∗∘L2∗, L1∘(L1∪L2), L2∘L3 (L1 = {a,aa,aaa}, L2 = {a,ab,aab,aabb}, L3 = #b multiple of 3)</t>
        </is>
      </c>
      <c r="F7" s="20" t="inlineStr">
        <is>
          <t>Regular operations, closure under ∪ ∘ ∗ — Lec05 Regulars, sl. 1–37</t>
        </is>
      </c>
      <c r="G7" s="19" t="inlineStr">
        <is>
          <t>L10</t>
        </is>
      </c>
      <c r="H7" s="19" t="n">
        <v>6</v>
      </c>
      <c r="I7" s="19" t="n">
        <v>45</v>
      </c>
      <c r="J7" s="21" t="inlineStr">
        <is>
          <t>★★★ High</t>
        </is>
      </c>
      <c r="K7" s="19" t="inlineStr">
        <is>
          <t>Theory</t>
        </is>
      </c>
      <c r="L7" s="25" t="inlineStr">
        <is>
          <t>✔ Solved</t>
        </is>
      </c>
      <c r="M7" s="20" t="inlineStr">
        <is>
          <t>—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2021-22</t>
        </is>
      </c>
      <c r="C8" s="19" t="inlineStr">
        <is>
          <t>CSE 211</t>
        </is>
      </c>
      <c r="D8" s="19" t="inlineStr">
        <is>
          <t>3(a)</t>
        </is>
      </c>
      <c r="E8" s="20" t="inlineStr">
        <is>
          <t>Why is the Kleene star of the empty set the empty string?</t>
        </is>
      </c>
      <c r="F8" s="20" t="inlineStr">
        <is>
          <t>Regular operations, closure under ∪ ∘ ∗ — Lec05 Regulars, sl. 1–37</t>
        </is>
      </c>
      <c r="G8" s="19" t="inlineStr">
        <is>
          <t>L10</t>
        </is>
      </c>
      <c r="H8" s="19" t="n">
        <v>4</v>
      </c>
      <c r="I8" s="19" t="n">
        <v>45</v>
      </c>
      <c r="J8" s="21" t="inlineStr">
        <is>
          <t>★★★ High</t>
        </is>
      </c>
      <c r="K8" s="19" t="inlineStr">
        <is>
          <t>Theory</t>
        </is>
      </c>
      <c r="L8" s="25" t="inlineStr">
        <is>
          <t>✔ Solved</t>
        </is>
      </c>
      <c r="M8" s="20" t="inlineStr">
        <is>
          <t>2022-23 3(c); 2016-17 2(c)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2021-22</t>
        </is>
      </c>
      <c r="C9" s="19" t="inlineStr">
        <is>
          <t>CSE 211</t>
        </is>
      </c>
      <c r="D9" s="19" t="inlineStr">
        <is>
          <t>4(b)</t>
        </is>
      </c>
      <c r="E9" s="20" t="inlineStr">
        <is>
          <t>Union NFA: start state, accept states, transitions from the start state — with reasons</t>
        </is>
      </c>
      <c r="F9" s="20" t="inlineStr">
        <is>
          <t>Regular operations, closure under ∪ ∘ ∗ — Lec05 Regulars, sl. 1–37</t>
        </is>
      </c>
      <c r="G9" s="19" t="inlineStr">
        <is>
          <t>L10</t>
        </is>
      </c>
      <c r="H9" s="19" t="n">
        <v>12</v>
      </c>
      <c r="I9" s="19" t="n">
        <v>46</v>
      </c>
      <c r="J9" s="21" t="inlineStr">
        <is>
          <t>★★★ High</t>
        </is>
      </c>
      <c r="K9" s="19" t="inlineStr">
        <is>
          <t>Theory</t>
        </is>
      </c>
      <c r="L9" s="25" t="inlineStr">
        <is>
          <t>✔ Solved</t>
        </is>
      </c>
      <c r="M9" s="20" t="inlineStr">
        <is>
          <t>2019-20 3(c)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2020 (Jan term)</t>
        </is>
      </c>
      <c r="C10" s="19" t="inlineStr">
        <is>
          <t>CSE 211</t>
        </is>
      </c>
      <c r="D10" s="19" t="inlineStr">
        <is>
          <t>3(b)</t>
        </is>
      </c>
      <c r="E10" s="20" t="inlineStr">
        <is>
          <t>Explain each case of δ in the star construction N for L1∗</t>
        </is>
      </c>
      <c r="F10" s="20" t="inlineStr">
        <is>
          <t>Regular operations, closure under ∪ ∘ ∗ — Lec05 Regulars, sl. 1–37</t>
        </is>
      </c>
      <c r="G10" s="19" t="inlineStr">
        <is>
          <t>L10</t>
        </is>
      </c>
      <c r="H10" s="19" t="n">
        <v>20</v>
      </c>
      <c r="I10" s="19" t="n">
        <v>37</v>
      </c>
      <c r="J10" s="21" t="inlineStr">
        <is>
          <t>★★★ High</t>
        </is>
      </c>
      <c r="K10" s="19" t="inlineStr">
        <is>
          <t>Theory</t>
        </is>
      </c>
      <c r="L10" s="25" t="inlineStr">
        <is>
          <t>✔ Solved</t>
        </is>
      </c>
      <c r="M10" s="20" t="inlineStr">
        <is>
          <t>2023-24 3(b); 2016-17 4(a)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2019-20</t>
        </is>
      </c>
      <c r="C11" s="19" t="inlineStr">
        <is>
          <t>CSE 211</t>
        </is>
      </c>
      <c r="D11" s="19" t="inlineStr">
        <is>
          <t>3(c)</t>
        </is>
      </c>
      <c r="E11" s="20" t="inlineStr">
        <is>
          <t>Union NFA N from N1, N2: write δ and justify each part</t>
        </is>
      </c>
      <c r="F11" s="20" t="inlineStr">
        <is>
          <t>Regular operations, closure under ∪ ∘ ∗ — Lec05 Regulars, sl. 1–37</t>
        </is>
      </c>
      <c r="G11" s="19" t="inlineStr">
        <is>
          <t>L10</t>
        </is>
      </c>
      <c r="H11" s="19" t="n">
        <v>15</v>
      </c>
      <c r="I11" s="19" t="n">
        <v>41</v>
      </c>
      <c r="J11" s="21" t="inlineStr">
        <is>
          <t>★★★ High</t>
        </is>
      </c>
      <c r="K11" s="19" t="inlineStr">
        <is>
          <t>Theory</t>
        </is>
      </c>
      <c r="L11" s="25" t="inlineStr">
        <is>
          <t>✔ Solved</t>
        </is>
      </c>
      <c r="M11" s="20" t="inlineStr">
        <is>
          <t>2021-22 4(b)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2016-17</t>
        </is>
      </c>
      <c r="C12" s="19" t="inlineStr">
        <is>
          <t>CSE 211</t>
        </is>
      </c>
      <c r="D12" s="19" t="inlineStr">
        <is>
          <t>2(c)</t>
        </is>
      </c>
      <c r="E12" s="20" t="inlineStr">
        <is>
          <t>Why is the Kleene star of the empty set the empty string?</t>
        </is>
      </c>
      <c r="F12" s="20" t="inlineStr">
        <is>
          <t>Regular operations, closure under ∪ ∘ ∗ — Lec05 Regulars, sl. 1–37</t>
        </is>
      </c>
      <c r="G12" s="19" t="inlineStr">
        <is>
          <t>L10</t>
        </is>
      </c>
      <c r="H12" s="19" t="n">
        <v>10</v>
      </c>
      <c r="I12" s="19" t="n">
        <v>29</v>
      </c>
      <c r="J12" s="26" t="inlineStr">
        <is>
          <t>★★ Medium</t>
        </is>
      </c>
      <c r="K12" s="19" t="inlineStr">
        <is>
          <t>Theory</t>
        </is>
      </c>
      <c r="L12" s="25" t="inlineStr">
        <is>
          <t>✔ Solved</t>
        </is>
      </c>
      <c r="M12" s="20" t="inlineStr">
        <is>
          <t>2022-23 3(c); 2021-22 3(a)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2016-17</t>
        </is>
      </c>
      <c r="C13" s="19" t="inlineStr">
        <is>
          <t>CSE 211</t>
        </is>
      </c>
      <c r="D13" s="19" t="inlineStr">
        <is>
          <t>4(a)</t>
        </is>
      </c>
      <c r="E13" s="20" t="inlineStr">
        <is>
          <t>Hasty's star construction (no new start state, old start accepting) — when does it fail?</t>
        </is>
      </c>
      <c r="F13" s="20" t="inlineStr">
        <is>
          <t>Regular operations, closure under ∪ ∘ ∗ — Lec05 Regulars, sl. 1–37</t>
        </is>
      </c>
      <c r="G13" s="19" t="inlineStr">
        <is>
          <t>L10</t>
        </is>
      </c>
      <c r="H13" s="19" t="n">
        <v>10</v>
      </c>
      <c r="I13" s="19" t="n">
        <v>30</v>
      </c>
      <c r="J13" s="26" t="inlineStr">
        <is>
          <t>★★ Medium</t>
        </is>
      </c>
      <c r="K13" s="19" t="inlineStr">
        <is>
          <t>Theory</t>
        </is>
      </c>
      <c r="L13" s="25" t="inlineStr">
        <is>
          <t>✔ Solved</t>
        </is>
      </c>
      <c r="M13" s="20" t="inlineStr">
        <is>
          <t>2023-24 3(b); 2020 (Jan term) 3(b)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2016-17</t>
        </is>
      </c>
      <c r="C14" s="19" t="inlineStr">
        <is>
          <t>CSE 211</t>
        </is>
      </c>
      <c r="D14" s="19" t="inlineStr">
        <is>
          <t>4(b)</t>
        </is>
      </c>
      <c r="E14" s="20" t="inlineStr">
        <is>
          <t>Prove closure under concatenation</t>
        </is>
      </c>
      <c r="F14" s="20" t="inlineStr">
        <is>
          <t>Regular operations, closure under ∪ ∘ ∗ — Lec05 Regulars, sl. 1–37</t>
        </is>
      </c>
      <c r="G14" s="19" t="inlineStr">
        <is>
          <t>L10</t>
        </is>
      </c>
      <c r="H14" s="19" t="n">
        <v>13</v>
      </c>
      <c r="I14" s="19" t="n">
        <v>30</v>
      </c>
      <c r="J14" s="26" t="inlineStr">
        <is>
          <t>★★ Medium</t>
        </is>
      </c>
      <c r="K14" s="19" t="inlineStr">
        <is>
          <t>Proof</t>
        </is>
      </c>
      <c r="L14" s="25" t="inlineStr">
        <is>
          <t>✔ Solved</t>
        </is>
      </c>
      <c r="M14" s="20" t="inlineStr">
        <is>
          <t>2023-24 1(c); 2015-16 2(b); 2012-13 5(c); 2011-12 5(b)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2015-16</t>
        </is>
      </c>
      <c r="C15" s="19" t="inlineStr">
        <is>
          <t>CSE 211</t>
        </is>
      </c>
      <c r="D15" s="19" t="inlineStr">
        <is>
          <t>2(b)</t>
        </is>
      </c>
      <c r="E15" s="20" t="inlineStr">
        <is>
          <t>Prove the regular languages are closed under the regular operations</t>
        </is>
      </c>
      <c r="F15" s="20" t="inlineStr">
        <is>
          <t>Regular operations, closure under ∪ ∘ ∗ — Lec05 Regulars, sl. 1–37</t>
        </is>
      </c>
      <c r="G15" s="19" t="inlineStr">
        <is>
          <t>L10</t>
        </is>
      </c>
      <c r="H15" s="19" t="n">
        <v>15</v>
      </c>
      <c r="I15" s="19" t="n">
        <v>25</v>
      </c>
      <c r="J15" s="26" t="inlineStr">
        <is>
          <t>★★ Medium</t>
        </is>
      </c>
      <c r="K15" s="19" t="inlineStr">
        <is>
          <t>Proof</t>
        </is>
      </c>
      <c r="L15" s="25" t="inlineStr">
        <is>
          <t>✔ Solved</t>
        </is>
      </c>
      <c r="M15" s="20" t="inlineStr">
        <is>
          <t>2023-24 1(c); 2016-17 4(b); 2012-13 5(c); 2011-12 5(b)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2012-13</t>
        </is>
      </c>
      <c r="C16" s="19" t="inlineStr">
        <is>
          <t>CSE 211</t>
        </is>
      </c>
      <c r="D16" s="19" t="inlineStr">
        <is>
          <t>5(c)</t>
        </is>
      </c>
      <c r="E16" s="20" t="inlineStr">
        <is>
          <t>Define regular language; prove closure under star and concatenation</t>
        </is>
      </c>
      <c r="F16" s="20" t="inlineStr">
        <is>
          <t>Regular operations, closure under ∪ ∘ ∗ — Lec05 Regulars, sl. 1–37</t>
        </is>
      </c>
      <c r="G16" s="19" t="inlineStr">
        <is>
          <t>L10</t>
        </is>
      </c>
      <c r="H16" s="19" t="n">
        <v>10</v>
      </c>
      <c r="I16" s="19" t="n">
        <v>18</v>
      </c>
      <c r="J16" s="26" t="inlineStr">
        <is>
          <t>★★ Medium</t>
        </is>
      </c>
      <c r="K16" s="19" t="inlineStr">
        <is>
          <t>Proof</t>
        </is>
      </c>
      <c r="L16" s="25" t="inlineStr">
        <is>
          <t>✔ Solved</t>
        </is>
      </c>
      <c r="M16" s="20" t="inlineStr">
        <is>
          <t>2023-24 1(c); 2016-17 4(b); 2015-16 2(b); 2011-12 5(b)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2011-12</t>
        </is>
      </c>
      <c r="C17" s="19" t="inlineStr">
        <is>
          <t>CSE 211</t>
        </is>
      </c>
      <c r="D17" s="19" t="inlineStr">
        <is>
          <t>5(b)</t>
        </is>
      </c>
      <c r="E17" s="20" t="inlineStr">
        <is>
          <t>Define regular language; prove closure under star and concatenation</t>
        </is>
      </c>
      <c r="F17" s="20" t="inlineStr">
        <is>
          <t>Regular operations, closure under ∪ ∘ ∗ — Lec05 Regulars, sl. 1–37</t>
        </is>
      </c>
      <c r="G17" s="19" t="inlineStr">
        <is>
          <t>L10</t>
        </is>
      </c>
      <c r="H17" s="19" t="n">
        <v>12</v>
      </c>
      <c r="I17" s="19" t="n">
        <v>15</v>
      </c>
      <c r="J17" s="26" t="inlineStr">
        <is>
          <t>★★ Medium</t>
        </is>
      </c>
      <c r="K17" s="19" t="inlineStr">
        <is>
          <t>Proof</t>
        </is>
      </c>
      <c r="L17" s="25" t="inlineStr">
        <is>
          <t>✔ Solved</t>
        </is>
      </c>
      <c r="M17" s="20" t="inlineStr">
        <is>
          <t>2023-24 1(c); 2016-17 4(b); 2015-16 2(b); 2012-13 5(c)</t>
        </is>
      </c>
      <c r="N17" s="23" t="b">
        <v>0</v>
      </c>
      <c r="O17" s="19" t="n"/>
      <c r="P17" s="19" t="n"/>
      <c r="Q17" s="20" t="n"/>
    </row>
    <row r="18">
      <c r="A18" s="24" t="n">
        <v>15</v>
      </c>
      <c r="B18" s="24" t="inlineStr">
        <is>
          <t>2022-23</t>
        </is>
      </c>
      <c r="C18" s="24" t="inlineStr">
        <is>
          <t>CSE 211</t>
        </is>
      </c>
      <c r="D18" s="24" t="inlineStr">
        <is>
          <t>3(b)</t>
        </is>
      </c>
      <c r="E18" s="6" t="inlineStr">
        <is>
          <t>Swapping accept states of an NFA: complement? Example</t>
        </is>
      </c>
      <c r="F18" s="6" t="inlineStr">
        <is>
          <t>Complement, intersection, difference, reverse — Lec05 Regulars, sl. 38–60</t>
        </is>
      </c>
      <c r="G18" s="24" t="inlineStr">
        <is>
          <t>L11</t>
        </is>
      </c>
      <c r="H18" s="24" t="n">
        <v>12</v>
      </c>
      <c r="I18" s="24" t="n">
        <v>51</v>
      </c>
      <c r="J18" s="21" t="inlineStr">
        <is>
          <t>★★★ High</t>
        </is>
      </c>
      <c r="K18" s="24" t="inlineStr">
        <is>
          <t>Theory</t>
        </is>
      </c>
      <c r="L18" s="25" t="inlineStr">
        <is>
          <t>✔ Solved</t>
        </is>
      </c>
      <c r="M18" s="6" t="inlineStr">
        <is>
          <t>2021-22 1(c); 2017-18 2(a); 2015-16 3(b)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2022-23</t>
        </is>
      </c>
      <c r="C19" s="24" t="inlineStr">
        <is>
          <t>CSE 211</t>
        </is>
      </c>
      <c r="D19" s="24" t="inlineStr">
        <is>
          <t>4(a)</t>
        </is>
      </c>
      <c r="E19" s="6" t="inlineStr">
        <is>
          <t>DFA D for L(D1) ∪ L(D2): L(D1) in English; start state + two reachable states</t>
        </is>
      </c>
      <c r="F19" s="6" t="inlineStr">
        <is>
          <t>Complement, intersection, difference, reverse — Lec05 Regulars, sl. 38–60</t>
        </is>
      </c>
      <c r="G19" s="24" t="inlineStr">
        <is>
          <t>L11</t>
        </is>
      </c>
      <c r="H19" s="24" t="n">
        <v>10</v>
      </c>
      <c r="I19" s="24" t="n">
        <v>51</v>
      </c>
      <c r="J19" s="21" t="inlineStr">
        <is>
          <t>★★★ High</t>
        </is>
      </c>
      <c r="K19" s="24" t="inlineStr">
        <is>
          <t>Design</t>
        </is>
      </c>
      <c r="L19" s="25" t="inlineStr">
        <is>
          <t>✔ Solved</t>
        </is>
      </c>
      <c r="M19" s="6" t="inlineStr">
        <is>
          <t>2013-14 8(a)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2021-22</t>
        </is>
      </c>
      <c r="C20" s="24" t="inlineStr">
        <is>
          <t>CSE 211</t>
        </is>
      </c>
      <c r="D20" s="24" t="inlineStr">
        <is>
          <t>1(c)</t>
        </is>
      </c>
      <c r="E20" s="6" t="inlineStr">
        <is>
          <t>Why swapping accept states of a DFA gives the complement; does it work for NFAs?</t>
        </is>
      </c>
      <c r="F20" s="6" t="inlineStr">
        <is>
          <t>Complement, intersection, difference, reverse — Lec05 Regulars, sl. 38–60</t>
        </is>
      </c>
      <c r="G20" s="24" t="inlineStr">
        <is>
          <t>L11</t>
        </is>
      </c>
      <c r="H20" s="24" t="n">
        <v>9</v>
      </c>
      <c r="I20" s="24" t="n">
        <v>44</v>
      </c>
      <c r="J20" s="21" t="inlineStr">
        <is>
          <t>★★★ High</t>
        </is>
      </c>
      <c r="K20" s="24" t="inlineStr">
        <is>
          <t>Theory</t>
        </is>
      </c>
      <c r="L20" s="25" t="inlineStr">
        <is>
          <t>✔ Solved</t>
        </is>
      </c>
      <c r="M20" s="6" t="inlineStr">
        <is>
          <t>2022-23 3(b); 2017-18 2(a); 2015-16 3(b)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2017-18</t>
        </is>
      </c>
      <c r="C21" s="24" t="inlineStr">
        <is>
          <t>CSE 211</t>
        </is>
      </c>
      <c r="D21" s="24" t="inlineStr">
        <is>
          <t>2(a)</t>
        </is>
      </c>
      <c r="E21" s="6" t="inlineStr">
        <is>
          <t>DFA for Σ∗ − L from DFA D; why it works; when not; does it work for NFAs?</t>
        </is>
      </c>
      <c r="F21" s="6" t="inlineStr">
        <is>
          <t>Complement, intersection, difference, reverse — Lec05 Regulars, sl. 38–60</t>
        </is>
      </c>
      <c r="G21" s="24" t="inlineStr">
        <is>
          <t>L11</t>
        </is>
      </c>
      <c r="H21" s="24" t="n">
        <v>10</v>
      </c>
      <c r="I21" s="24" t="n">
        <v>32</v>
      </c>
      <c r="J21" s="26" t="inlineStr">
        <is>
          <t>★★ Medium</t>
        </is>
      </c>
      <c r="K21" s="24" t="inlineStr">
        <is>
          <t>Theory</t>
        </is>
      </c>
      <c r="L21" s="25" t="inlineStr">
        <is>
          <t>✔ Solved</t>
        </is>
      </c>
      <c r="M21" s="6" t="inlineStr">
        <is>
          <t>2022-23 3(b); 2021-22 1(c); 2015-16 3(b)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2015-16</t>
        </is>
      </c>
      <c r="C22" s="24" t="inlineStr">
        <is>
          <t>CSE 211</t>
        </is>
      </c>
      <c r="D22" s="24" t="inlineStr">
        <is>
          <t>3(b)</t>
        </is>
      </c>
      <c r="E22" s="6" t="inlineStr">
        <is>
          <t>Example: swapping accept states of an NFA does not give the complement</t>
        </is>
      </c>
      <c r="F22" s="6" t="inlineStr">
        <is>
          <t>Complement, intersection, difference, reverse — Lec05 Regulars, sl. 38–60</t>
        </is>
      </c>
      <c r="G22" s="24" t="inlineStr">
        <is>
          <t>L11</t>
        </is>
      </c>
      <c r="H22" s="24" t="n">
        <v>5.33</v>
      </c>
      <c r="I22" s="24" t="n">
        <v>25</v>
      </c>
      <c r="J22" s="26" t="inlineStr">
        <is>
          <t>★★ Medium</t>
        </is>
      </c>
      <c r="K22" s="24" t="inlineStr">
        <is>
          <t>Theory</t>
        </is>
      </c>
      <c r="L22" s="25" t="inlineStr">
        <is>
          <t>✔ Solved</t>
        </is>
      </c>
      <c r="M22" s="6" t="inlineStr">
        <is>
          <t>2022-23 3(b); 2021-22 1(c); 2017-18 2(a)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2013-14</t>
        </is>
      </c>
      <c r="C23" s="24" t="inlineStr">
        <is>
          <t>CSE 211</t>
        </is>
      </c>
      <c r="D23" s="24" t="inlineStr">
        <is>
          <t>5(a)</t>
        </is>
      </c>
      <c r="E23" s="6" t="inlineStr">
        <is>
          <t>Regular languages are closed under difference L1 − L2</t>
        </is>
      </c>
      <c r="F23" s="6" t="inlineStr">
        <is>
          <t>Complement, intersection, difference, reverse — Lec05 Regulars, sl. 38–60</t>
        </is>
      </c>
      <c r="G23" s="24" t="inlineStr">
        <is>
          <t>L11</t>
        </is>
      </c>
      <c r="H23" s="24" t="n">
        <v>8</v>
      </c>
      <c r="I23" s="24" t="n">
        <v>20</v>
      </c>
      <c r="J23" s="26" t="inlineStr">
        <is>
          <t>★★ Medium</t>
        </is>
      </c>
      <c r="K23" s="24" t="inlineStr">
        <is>
          <t>Proof</t>
        </is>
      </c>
      <c r="L23" s="25" t="inlineStr">
        <is>
          <t>✔ Solved</t>
        </is>
      </c>
      <c r="M23" s="6" t="inlineStr">
        <is>
          <t>2013-14 8(c)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2013-14</t>
        </is>
      </c>
      <c r="C24" s="24" t="inlineStr">
        <is>
          <t>CSE 211</t>
        </is>
      </c>
      <c r="D24" s="24" t="inlineStr">
        <is>
          <t>8(a)</t>
        </is>
      </c>
      <c r="E24" s="6" t="inlineStr">
        <is>
          <t>Steps to construct a DFA for L1 ∪ L2 from DFAs M1, M2</t>
        </is>
      </c>
      <c r="F24" s="6" t="inlineStr">
        <is>
          <t>Complement, intersection, difference, reverse — Lec05 Regulars, sl. 38–60</t>
        </is>
      </c>
      <c r="G24" s="24" t="inlineStr">
        <is>
          <t>L11</t>
        </is>
      </c>
      <c r="H24" s="24" t="n">
        <v>7</v>
      </c>
      <c r="I24" s="24" t="n">
        <v>21</v>
      </c>
      <c r="J24" s="26" t="inlineStr">
        <is>
          <t>★★ Medium</t>
        </is>
      </c>
      <c r="K24" s="24" t="inlineStr">
        <is>
          <t>Theory</t>
        </is>
      </c>
      <c r="L24" s="25" t="inlineStr">
        <is>
          <t>✔ Solved</t>
        </is>
      </c>
      <c r="M24" s="6" t="inlineStr">
        <is>
          <t>2022-23 4(a)</t>
        </is>
      </c>
      <c r="N24" s="23" t="b">
        <v>0</v>
      </c>
      <c r="O24" s="24" t="n"/>
      <c r="P24" s="24" t="n"/>
      <c r="Q24" s="6" t="n"/>
    </row>
    <row r="25">
      <c r="A25" s="19" t="n">
        <v>22</v>
      </c>
      <c r="B25" s="19" t="inlineStr">
        <is>
          <t>2023-24</t>
        </is>
      </c>
      <c r="C25" s="19" t="inlineStr">
        <is>
          <t>CSE 211</t>
        </is>
      </c>
      <c r="D25" s="19" t="inlineStr">
        <is>
          <t>4(b)</t>
        </is>
      </c>
      <c r="E25" s="20" t="inlineStr">
        <is>
          <t>Which RE (A–D) gives strings with at most one occurrence of aa? Reasons</t>
        </is>
      </c>
      <c r="F25" s="20" t="inlineStr">
        <is>
          <t>Regular expressions — Lec05 Regulars, sl. 61–84</t>
        </is>
      </c>
      <c r="G25" s="19" t="inlineStr">
        <is>
          <t>L12</t>
        </is>
      </c>
      <c r="H25" s="19" t="n">
        <v>12</v>
      </c>
      <c r="I25" s="19" t="inlineStr">
        <is>
          <t>22 batch p.2</t>
        </is>
      </c>
      <c r="J25" s="21" t="inlineStr">
        <is>
          <t>★★★ High</t>
        </is>
      </c>
      <c r="K25" s="19" t="inlineStr">
        <is>
          <t>Theory</t>
        </is>
      </c>
      <c r="L25" s="25" t="inlineStr">
        <is>
          <t>✔ Solved</t>
        </is>
      </c>
      <c r="M25" s="20" t="inlineStr">
        <is>
          <t>2022-23 4(c); 2021-22 3(d)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2022-23</t>
        </is>
      </c>
      <c r="C26" s="19" t="inlineStr">
        <is>
          <t>CSE 211</t>
        </is>
      </c>
      <c r="D26" s="19" t="inlineStr">
        <is>
          <t>4(c)</t>
        </is>
      </c>
      <c r="E26" s="20" t="inlineStr">
        <is>
          <t>Which RE (A–C) represents the 2-state DFA? Explain each option</t>
        </is>
      </c>
      <c r="F26" s="20" t="inlineStr">
        <is>
          <t>Regular expressions — Lec05 Regulars, sl. 61–84</t>
        </is>
      </c>
      <c r="G26" s="19" t="inlineStr">
        <is>
          <t>L12</t>
        </is>
      </c>
      <c r="H26" s="19" t="n">
        <v>10</v>
      </c>
      <c r="I26" s="19" t="n">
        <v>51</v>
      </c>
      <c r="J26" s="21" t="inlineStr">
        <is>
          <t>★★★ High</t>
        </is>
      </c>
      <c r="K26" s="19" t="inlineStr">
        <is>
          <t>Theory</t>
        </is>
      </c>
      <c r="L26" s="25" t="inlineStr">
        <is>
          <t>✔ Solved</t>
        </is>
      </c>
      <c r="M26" s="20" t="inlineStr">
        <is>
          <t>2023-24 4(b); 2021-22 3(d)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2021-22</t>
        </is>
      </c>
      <c r="C27" s="19" t="inlineStr">
        <is>
          <t>CSE 211</t>
        </is>
      </c>
      <c r="D27" s="19" t="inlineStr">
        <is>
          <t>3(d)</t>
        </is>
      </c>
      <c r="E27" s="20" t="inlineStr">
        <is>
          <t>Which RE (A–D) gives strings with both 00 and 11? Justify each</t>
        </is>
      </c>
      <c r="F27" s="20" t="inlineStr">
        <is>
          <t>Regular expressions — Lec05 Regulars, sl. 61–84</t>
        </is>
      </c>
      <c r="G27" s="19" t="inlineStr">
        <is>
          <t>L12</t>
        </is>
      </c>
      <c r="H27" s="19" t="n">
        <v>12</v>
      </c>
      <c r="I27" s="19" t="n">
        <v>46</v>
      </c>
      <c r="J27" s="21" t="inlineStr">
        <is>
          <t>★★★ High</t>
        </is>
      </c>
      <c r="K27" s="19" t="inlineStr">
        <is>
          <t>Theory</t>
        </is>
      </c>
      <c r="L27" s="25" t="inlineStr">
        <is>
          <t>✔ Solved</t>
        </is>
      </c>
      <c r="M27" s="20" t="inlineStr">
        <is>
          <t>2023-24 4(b); 2022-23 4(c)</t>
        </is>
      </c>
      <c r="N27" s="23" t="b">
        <v>0</v>
      </c>
      <c r="O27" s="19" t="n"/>
      <c r="P27" s="19" t="n"/>
      <c r="Q27" s="20" t="n"/>
    </row>
    <row r="28">
      <c r="A28" s="19" t="n">
        <v>25</v>
      </c>
      <c r="B28" s="19" t="inlineStr">
        <is>
          <t>2020 (Jan term)</t>
        </is>
      </c>
      <c r="C28" s="19" t="inlineStr">
        <is>
          <t>CSE 211</t>
        </is>
      </c>
      <c r="D28" s="19" t="inlineStr">
        <is>
          <t>2(c)</t>
        </is>
      </c>
      <c r="E28" s="20" t="inlineStr">
        <is>
          <t>RE for the strings NOT in the language of 2(a)</t>
        </is>
      </c>
      <c r="F28" s="20" t="inlineStr">
        <is>
          <t>Regular expressions — Lec05 Regulars, sl. 61–84</t>
        </is>
      </c>
      <c r="G28" s="19" t="inlineStr">
        <is>
          <t>L12</t>
        </is>
      </c>
      <c r="H28" s="19" t="n">
        <v>10</v>
      </c>
      <c r="I28" s="19" t="n">
        <v>36</v>
      </c>
      <c r="J28" s="21" t="inlineStr">
        <is>
          <t>★★★ High</t>
        </is>
      </c>
      <c r="K28" s="19" t="inlineStr">
        <is>
          <t>Design</t>
        </is>
      </c>
      <c r="L28" s="25" t="inlineStr">
        <is>
          <t>✔ Solved</t>
        </is>
      </c>
      <c r="M28" s="20" t="inlineStr">
        <is>
          <t>2019-20 4(b); 2017-18 4(b); 2016-17 3(b); 2014-15 3(b); 2012-13 6(c); 2008-09 7(b)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2020 (Jan term)</t>
        </is>
      </c>
      <c r="C29" s="19" t="inlineStr">
        <is>
          <t>CSE 211</t>
        </is>
      </c>
      <c r="D29" s="19" t="inlineStr">
        <is>
          <t>3(a)</t>
        </is>
      </c>
      <c r="E29" s="20" t="inlineStr">
        <is>
          <t>Evaluate ∅∗∅∗∅∗∅∗, ∅∗∪{ε}, (∅∗∪1){0,1}, (11)∗∅(00)∗, (∅∗∪0){0,1,11}</t>
        </is>
      </c>
      <c r="F29" s="20" t="inlineStr">
        <is>
          <t>Regular expressions — Lec05 Regulars, sl. 61–84</t>
        </is>
      </c>
      <c r="G29" s="19" t="inlineStr">
        <is>
          <t>L12</t>
        </is>
      </c>
      <c r="H29" s="19" t="n">
        <v>10</v>
      </c>
      <c r="I29" s="19" t="n">
        <v>37</v>
      </c>
      <c r="J29" s="21" t="inlineStr">
        <is>
          <t>★★★ High</t>
        </is>
      </c>
      <c r="K29" s="19" t="inlineStr">
        <is>
          <t>Trace</t>
        </is>
      </c>
      <c r="L29" s="25" t="inlineStr">
        <is>
          <t>✔ Solved</t>
        </is>
      </c>
      <c r="M29" s="20" t="inlineStr">
        <is>
          <t>—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2020 (Jan term)</t>
        </is>
      </c>
      <c r="C30" s="19" t="inlineStr">
        <is>
          <t>CSE 211</t>
        </is>
      </c>
      <c r="D30" s="19" t="inlineStr">
        <is>
          <t>4(a)</t>
        </is>
      </c>
      <c r="E30" s="20" t="inlineStr">
        <is>
          <t>Describe the language of (1+ε)(00∗1)∗0∗</t>
        </is>
      </c>
      <c r="F30" s="20" t="inlineStr">
        <is>
          <t>Regular expressions — Lec05 Regulars, sl. 61–84</t>
        </is>
      </c>
      <c r="G30" s="19" t="inlineStr">
        <is>
          <t>L12</t>
        </is>
      </c>
      <c r="H30" s="19" t="n">
        <v>10</v>
      </c>
      <c r="I30" s="19" t="n">
        <v>37</v>
      </c>
      <c r="J30" s="21" t="inlineStr">
        <is>
          <t>★★★ High</t>
        </is>
      </c>
      <c r="K30" s="19" t="inlineStr">
        <is>
          <t>Theory</t>
        </is>
      </c>
      <c r="L30" s="25" t="inlineStr">
        <is>
          <t>✔ Solved</t>
        </is>
      </c>
      <c r="M30" s="20" t="inlineStr">
        <is>
          <t>2007-08 2(b); 2006-07 4(b)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2019-20</t>
        </is>
      </c>
      <c r="C31" s="19" t="inlineStr">
        <is>
          <t>CSE 211</t>
        </is>
      </c>
      <c r="D31" s="19" t="inlineStr">
        <is>
          <t>2(b)</t>
        </is>
      </c>
      <c r="E31" s="20" t="inlineStr">
        <is>
          <t>Simplify ∅∗∪a∗∪b∗∪(a∪b)∗; ((a∗b∗)∗(b∗a∗)∗)∗; (a∗b)∗∪(b∗a)∗</t>
        </is>
      </c>
      <c r="F31" s="20" t="inlineStr">
        <is>
          <t>Regular expressions — Lec05 Regulars, sl. 61–84</t>
        </is>
      </c>
      <c r="G31" s="19" t="inlineStr">
        <is>
          <t>L12</t>
        </is>
      </c>
      <c r="H31" s="19" t="n">
        <v>15</v>
      </c>
      <c r="I31" s="19" t="n">
        <v>40</v>
      </c>
      <c r="J31" s="21" t="inlineStr">
        <is>
          <t>★★★ High</t>
        </is>
      </c>
      <c r="K31" s="19" t="inlineStr">
        <is>
          <t>Trace</t>
        </is>
      </c>
      <c r="L31" s="25" t="inlineStr">
        <is>
          <t>✔ Solved</t>
        </is>
      </c>
      <c r="M31" s="20" t="inlineStr">
        <is>
          <t>—</t>
        </is>
      </c>
      <c r="N31" s="23" t="b">
        <v>0</v>
      </c>
      <c r="O31" s="19" t="n"/>
      <c r="P31" s="19" t="n"/>
      <c r="Q31" s="20" t="n"/>
    </row>
    <row r="32">
      <c r="A32" s="19" t="n">
        <v>29</v>
      </c>
      <c r="B32" s="19" t="inlineStr">
        <is>
          <t>2019-20</t>
        </is>
      </c>
      <c r="C32" s="19" t="inlineStr">
        <is>
          <t>CSE 211</t>
        </is>
      </c>
      <c r="D32" s="19" t="inlineStr">
        <is>
          <t>4(b)</t>
        </is>
      </c>
      <c r="E32" s="20" t="inlineStr">
        <is>
          <t>REs over {a,b}: #a divisible by 3; at most three a's; exactly one occurrence of aaa</t>
        </is>
      </c>
      <c r="F32" s="20" t="inlineStr">
        <is>
          <t>Regular expressions — Lec05 Regulars, sl. 61–84</t>
        </is>
      </c>
      <c r="G32" s="19" t="inlineStr">
        <is>
          <t>L12</t>
        </is>
      </c>
      <c r="H32" s="19" t="n">
        <v>15</v>
      </c>
      <c r="I32" s="19" t="n">
        <v>41</v>
      </c>
      <c r="J32" s="21" t="inlineStr">
        <is>
          <t>★★★ High</t>
        </is>
      </c>
      <c r="K32" s="19" t="inlineStr">
        <is>
          <t>Design</t>
        </is>
      </c>
      <c r="L32" s="25" t="inlineStr">
        <is>
          <t>✔ Solved</t>
        </is>
      </c>
      <c r="M32" s="20" t="inlineStr">
        <is>
          <t>2020 (Jan term) 2(c); 2017-18 4(b); 2016-17 3(b); 2014-15 3(b); 2012-13 6(c); 2008-09 7(b)</t>
        </is>
      </c>
      <c r="N32" s="23" t="b">
        <v>0</v>
      </c>
      <c r="O32" s="19" t="n"/>
      <c r="P32" s="19" t="n"/>
      <c r="Q32" s="20" t="n"/>
    </row>
    <row r="33">
      <c r="A33" s="19" t="n">
        <v>30</v>
      </c>
      <c r="B33" s="19" t="inlineStr">
        <is>
          <t>2017-18</t>
        </is>
      </c>
      <c r="C33" s="19" t="inlineStr">
        <is>
          <t>CSE 211</t>
        </is>
      </c>
      <c r="D33" s="19" t="inlineStr">
        <is>
          <t>4(b)</t>
        </is>
      </c>
      <c r="E33" s="20" t="inlineStr">
        <is>
          <t>REs: each of a,b,c occurs; a^nb^m n≥3 m odd; (n+m) odd; vwv with |v|=2; #a mod 3 = 0</t>
        </is>
      </c>
      <c r="F33" s="20" t="inlineStr">
        <is>
          <t>Regular expressions — Lec05 Regulars, sl. 61–84</t>
        </is>
      </c>
      <c r="G33" s="19" t="inlineStr">
        <is>
          <t>L12</t>
        </is>
      </c>
      <c r="H33" s="19" t="n">
        <v>20</v>
      </c>
      <c r="I33" s="19" t="n">
        <v>33</v>
      </c>
      <c r="J33" s="26" t="inlineStr">
        <is>
          <t>★★ Medium</t>
        </is>
      </c>
      <c r="K33" s="19" t="inlineStr">
        <is>
          <t>Design</t>
        </is>
      </c>
      <c r="L33" s="25" t="inlineStr">
        <is>
          <t>✔ Solved</t>
        </is>
      </c>
      <c r="M33" s="20" t="inlineStr">
        <is>
          <t>2020 (Jan term) 2(c); 2019-20 4(b); 2016-17 3(b); 2014-15 3(b); 2012-13 6(c); 2008-09 7(b)</t>
        </is>
      </c>
      <c r="N33" s="23" t="b">
        <v>0</v>
      </c>
      <c r="O33" s="19" t="n"/>
      <c r="P33" s="19" t="n"/>
      <c r="Q33" s="20" t="n"/>
    </row>
    <row r="34">
      <c r="A34" s="19" t="n">
        <v>31</v>
      </c>
      <c r="B34" s="19" t="inlineStr">
        <is>
          <t>2016-17</t>
        </is>
      </c>
      <c r="C34" s="19" t="inlineStr">
        <is>
          <t>CSE 211</t>
        </is>
      </c>
      <c r="D34" s="19" t="inlineStr">
        <is>
          <t>3(b)</t>
        </is>
      </c>
      <c r="E34" s="20" t="inlineStr">
        <is>
          <t>REs: alternating 0s and 1s; ≥1 a and ≥1 b over {a,b,c}; every 00 before any 11</t>
        </is>
      </c>
      <c r="F34" s="20" t="inlineStr">
        <is>
          <t>Regular expressions — Lec05 Regulars, sl. 61–84</t>
        </is>
      </c>
      <c r="G34" s="19" t="inlineStr">
        <is>
          <t>L12</t>
        </is>
      </c>
      <c r="H34" s="19" t="n">
        <v>15</v>
      </c>
      <c r="I34" s="19" t="n">
        <v>29</v>
      </c>
      <c r="J34" s="26" t="inlineStr">
        <is>
          <t>★★ Medium</t>
        </is>
      </c>
      <c r="K34" s="19" t="inlineStr">
        <is>
          <t>Design</t>
        </is>
      </c>
      <c r="L34" s="25" t="inlineStr">
        <is>
          <t>✔ Solved</t>
        </is>
      </c>
      <c r="M34" s="20" t="inlineStr">
        <is>
          <t>2020 (Jan term) 2(c); 2019-20 4(b); 2017-18 4(b); 2014-15 3(b); 2012-13 6(c); 2008-09 7(b)</t>
        </is>
      </c>
      <c r="N34" s="23" t="b">
        <v>0</v>
      </c>
      <c r="O34" s="19" t="n"/>
      <c r="P34" s="19" t="n"/>
      <c r="Q34" s="20" t="n"/>
    </row>
    <row r="35">
      <c r="A35" s="19" t="n">
        <v>32</v>
      </c>
      <c r="B35" s="19" t="inlineStr">
        <is>
          <t>2015-16</t>
        </is>
      </c>
      <c r="C35" s="19" t="inlineStr">
        <is>
          <t>CSE 211</t>
        </is>
      </c>
      <c r="D35" s="19" t="inlineStr">
        <is>
          <t>3(a)</t>
        </is>
      </c>
      <c r="E35" s="20" t="inlineStr">
        <is>
          <t>DFA and RE: begins 1 ends 0; 3rd symbol 0; even 0s or exactly two 1s; not 11/111; ≥2 0s and ≤1 1</t>
        </is>
      </c>
      <c r="F35" s="20" t="inlineStr">
        <is>
          <t>Regular expressions — Lec05 Regulars, sl. 61–84</t>
        </is>
      </c>
      <c r="G35" s="19" t="inlineStr">
        <is>
          <t>L12</t>
        </is>
      </c>
      <c r="H35" s="19" t="n">
        <v>18</v>
      </c>
      <c r="I35" s="19" t="n">
        <v>25</v>
      </c>
      <c r="J35" s="25" t="inlineStr">
        <is>
          <t>★ Low</t>
        </is>
      </c>
      <c r="K35" s="19" t="inlineStr">
        <is>
          <t>Design</t>
        </is>
      </c>
      <c r="L35" s="22" t="inlineStr">
        <is>
          <t>◐ Method</t>
        </is>
      </c>
      <c r="M35" s="20" t="inlineStr">
        <is>
          <t>—</t>
        </is>
      </c>
      <c r="N35" s="23" t="b">
        <v>0</v>
      </c>
      <c r="O35" s="19" t="n"/>
      <c r="P35" s="19" t="n"/>
      <c r="Q35" s="20" t="n"/>
    </row>
    <row r="36">
      <c r="A36" s="19" t="n">
        <v>33</v>
      </c>
      <c r="B36" s="19" t="inlineStr">
        <is>
          <t>2014-15</t>
        </is>
      </c>
      <c r="C36" s="19" t="inlineStr">
        <is>
          <t>CSE 211</t>
        </is>
      </c>
      <c r="D36" s="19" t="inlineStr">
        <is>
          <t>3(b)</t>
        </is>
      </c>
      <c r="E36" s="20" t="inlineStr">
        <is>
          <t>REs: decimal numbers divisible by 5 (no leading 0s); odd 0s or odd 1s; no 101</t>
        </is>
      </c>
      <c r="F36" s="20" t="inlineStr">
        <is>
          <t>Regular expressions — Lec05 Regulars, sl. 61–84</t>
        </is>
      </c>
      <c r="G36" s="19" t="inlineStr">
        <is>
          <t>L12</t>
        </is>
      </c>
      <c r="H36" s="19" t="n">
        <v>10</v>
      </c>
      <c r="I36" s="19" t="n">
        <v>22</v>
      </c>
      <c r="J36" s="26" t="inlineStr">
        <is>
          <t>★★ Medium</t>
        </is>
      </c>
      <c r="K36" s="19" t="inlineStr">
        <is>
          <t>Design</t>
        </is>
      </c>
      <c r="L36" s="25" t="inlineStr">
        <is>
          <t>✔ Solved</t>
        </is>
      </c>
      <c r="M36" s="20" t="inlineStr">
        <is>
          <t>2020 (Jan term) 2(c); 2019-20 4(b); 2017-18 4(b); 2016-17 3(b); 2012-13 6(c); 2008-09 7(b)</t>
        </is>
      </c>
      <c r="N36" s="23" t="b">
        <v>0</v>
      </c>
      <c r="O36" s="19" t="n"/>
      <c r="P36" s="19" t="n"/>
      <c r="Q36" s="20" t="n"/>
    </row>
    <row r="37">
      <c r="A37" s="19" t="n">
        <v>34</v>
      </c>
      <c r="B37" s="19" t="inlineStr">
        <is>
          <t>2013-14</t>
        </is>
      </c>
      <c r="C37" s="19" t="inlineStr">
        <is>
          <t>CSE 211</t>
        </is>
      </c>
      <c r="D37" s="19" t="inlineStr">
        <is>
          <t>5(b)</t>
        </is>
      </c>
      <c r="E37" s="20" t="inlineStr">
        <is>
          <t>Counter-example to (R1 ∪ R2)∗ = R1∗ ∪ R2∗ [mark not printed; 5 by section total]</t>
        </is>
      </c>
      <c r="F37" s="20" t="inlineStr">
        <is>
          <t>Regular expressions — Lec05 Regulars, sl. 61–84</t>
        </is>
      </c>
      <c r="G37" s="19" t="inlineStr">
        <is>
          <t>L12</t>
        </is>
      </c>
      <c r="H37" s="19" t="n"/>
      <c r="I37" s="19" t="n">
        <v>20</v>
      </c>
      <c r="J37" s="25" t="inlineStr">
        <is>
          <t>★ Low</t>
        </is>
      </c>
      <c r="K37" s="19" t="inlineStr">
        <is>
          <t>Proof</t>
        </is>
      </c>
      <c r="L37" s="25" t="inlineStr">
        <is>
          <t>✔ Solved</t>
        </is>
      </c>
      <c r="M37" s="20" t="inlineStr">
        <is>
          <t>—</t>
        </is>
      </c>
      <c r="N37" s="23" t="b">
        <v>0</v>
      </c>
      <c r="O37" s="19" t="n"/>
      <c r="P37" s="19" t="n"/>
      <c r="Q37" s="20" t="n"/>
    </row>
    <row r="38">
      <c r="A38" s="19" t="n">
        <v>35</v>
      </c>
      <c r="B38" s="19" t="inlineStr">
        <is>
          <t>2012-13</t>
        </is>
      </c>
      <c r="C38" s="19" t="inlineStr">
        <is>
          <t>CSE 211</t>
        </is>
      </c>
      <c r="D38" s="19" t="inlineStr">
        <is>
          <t>6(c)</t>
        </is>
      </c>
      <c r="E38" s="20" t="inlineStr">
        <is>
          <t>RE for strings with an even number of 1s</t>
        </is>
      </c>
      <c r="F38" s="20" t="inlineStr">
        <is>
          <t>Regular expressions — Lec05 Regulars, sl. 61–84</t>
        </is>
      </c>
      <c r="G38" s="19" t="inlineStr">
        <is>
          <t>L12</t>
        </is>
      </c>
      <c r="H38" s="19" t="n">
        <v>3</v>
      </c>
      <c r="I38" s="19" t="n">
        <v>18</v>
      </c>
      <c r="J38" s="26" t="inlineStr">
        <is>
          <t>★★ Medium</t>
        </is>
      </c>
      <c r="K38" s="19" t="inlineStr">
        <is>
          <t>Design</t>
        </is>
      </c>
      <c r="L38" s="25" t="inlineStr">
        <is>
          <t>✔ Solved</t>
        </is>
      </c>
      <c r="M38" s="20" t="inlineStr">
        <is>
          <t>2020 (Jan term) 2(c); 2019-20 4(b); 2017-18 4(b); 2016-17 3(b); 2014-15 3(b); 2008-09 7(b)</t>
        </is>
      </c>
      <c r="N38" s="23" t="b">
        <v>0</v>
      </c>
      <c r="O38" s="19" t="n"/>
      <c r="P38" s="19" t="n"/>
      <c r="Q38" s="20" t="n"/>
    </row>
    <row r="39">
      <c r="A39" s="19" t="n">
        <v>36</v>
      </c>
      <c r="B39" s="19" t="inlineStr">
        <is>
          <t>2009-10</t>
        </is>
      </c>
      <c r="C39" s="19" t="inlineStr">
        <is>
          <t>CSE 211</t>
        </is>
      </c>
      <c r="D39" s="19" t="inlineStr">
        <is>
          <t>4</t>
        </is>
      </c>
      <c r="E39" s="20" t="inlineStr">
        <is>
          <t>L1 = 1(1∪0)∗000, L2 = (1(01)∗0)∗: is each of 1000, 1000101010, 10000111000100000 in L1∘L2?</t>
        </is>
      </c>
      <c r="F39" s="20" t="inlineStr">
        <is>
          <t>Regular expressions — Lec05 Regulars, sl. 61–84</t>
        </is>
      </c>
      <c r="G39" s="19" t="inlineStr">
        <is>
          <t>L12</t>
        </is>
      </c>
      <c r="H39" s="19" t="n">
        <v>10</v>
      </c>
      <c r="I39" s="19" t="n">
        <v>8</v>
      </c>
      <c r="J39" s="25" t="inlineStr">
        <is>
          <t>★ Low</t>
        </is>
      </c>
      <c r="K39" s="19" t="inlineStr">
        <is>
          <t>Trace</t>
        </is>
      </c>
      <c r="L39" s="25" t="inlineStr">
        <is>
          <t>✔ Solved</t>
        </is>
      </c>
      <c r="M39" s="20" t="inlineStr">
        <is>
          <t>—</t>
        </is>
      </c>
      <c r="N39" s="23" t="b">
        <v>0</v>
      </c>
      <c r="O39" s="19" t="n"/>
      <c r="P39" s="19" t="n"/>
      <c r="Q39" s="20" t="n"/>
    </row>
    <row r="40">
      <c r="A40" s="19" t="n">
        <v>37</v>
      </c>
      <c r="B40" s="19" t="inlineStr">
        <is>
          <t>2008-09</t>
        </is>
      </c>
      <c r="C40" s="19" t="inlineStr">
        <is>
          <t>CSE 211</t>
        </is>
      </c>
      <c r="D40" s="19" t="inlineStr">
        <is>
          <t>7(b)</t>
        </is>
      </c>
      <c r="E40" s="20" t="inlineStr">
        <is>
          <t>REs: (i) ≥1 a and ≥1 c over {a,b,c}; (ii) no two consecutive 0s or no two consecutive 1s</t>
        </is>
      </c>
      <c r="F40" s="20" t="inlineStr">
        <is>
          <t>Regular expressions — Lec05 Regulars, sl. 61–84</t>
        </is>
      </c>
      <c r="G40" s="19" t="inlineStr">
        <is>
          <t>L12</t>
        </is>
      </c>
      <c r="H40" s="19" t="n">
        <v>5</v>
      </c>
      <c r="I40" s="19" t="n">
        <v>7</v>
      </c>
      <c r="J40" s="26" t="inlineStr">
        <is>
          <t>★★ Medium</t>
        </is>
      </c>
      <c r="K40" s="19" t="inlineStr">
        <is>
          <t>Design</t>
        </is>
      </c>
      <c r="L40" s="25" t="inlineStr">
        <is>
          <t>✔ Solved</t>
        </is>
      </c>
      <c r="M40" s="20" t="inlineStr">
        <is>
          <t>2020 (Jan term) 2(c); 2019-20 4(b); 2017-18 4(b); 2016-17 3(b); 2014-15 3(b); 2012-13 6(c)</t>
        </is>
      </c>
      <c r="N40" s="23" t="b">
        <v>0</v>
      </c>
      <c r="O40" s="19" t="n"/>
      <c r="P40" s="19" t="n"/>
      <c r="Q40" s="20" t="n"/>
    </row>
    <row r="41">
      <c r="A41" s="19" t="n">
        <v>38</v>
      </c>
      <c r="B41" s="19" t="inlineStr">
        <is>
          <t>2007-08</t>
        </is>
      </c>
      <c r="C41" s="19" t="inlineStr">
        <is>
          <t>CSE 211</t>
        </is>
      </c>
      <c r="D41" s="19" t="inlineStr">
        <is>
          <t>2(b)</t>
        </is>
      </c>
      <c r="E41" s="20" t="inlineStr">
        <is>
          <t>Languages of (0 ∪ 1)∗ and of (0Σ∗) ∪ (Σ∗1) over {0,1}</t>
        </is>
      </c>
      <c r="F41" s="20" t="inlineStr">
        <is>
          <t>Regular expressions — Lec05 Regulars, sl. 61–84</t>
        </is>
      </c>
      <c r="G41" s="19" t="inlineStr">
        <is>
          <t>L12</t>
        </is>
      </c>
      <c r="H41" s="19" t="n">
        <v>8</v>
      </c>
      <c r="I41" s="19" t="n">
        <v>4</v>
      </c>
      <c r="J41" s="26" t="inlineStr">
        <is>
          <t>★★ Medium</t>
        </is>
      </c>
      <c r="K41" s="19" t="inlineStr">
        <is>
          <t>Theory</t>
        </is>
      </c>
      <c r="L41" s="25" t="inlineStr">
        <is>
          <t>✔ Solved</t>
        </is>
      </c>
      <c r="M41" s="20" t="inlineStr">
        <is>
          <t>2020 (Jan term) 4(a); 2006-07 4(b)</t>
        </is>
      </c>
      <c r="N41" s="23" t="b">
        <v>0</v>
      </c>
      <c r="O41" s="19" t="n"/>
      <c r="P41" s="19" t="n"/>
      <c r="Q41" s="20" t="n"/>
    </row>
    <row r="42">
      <c r="A42" s="19" t="n">
        <v>39</v>
      </c>
      <c r="B42" s="19" t="inlineStr">
        <is>
          <t>2007-08</t>
        </is>
      </c>
      <c r="C42" s="19" t="inlineStr">
        <is>
          <t>CSE 211</t>
        </is>
      </c>
      <c r="D42" s="19" t="inlineStr">
        <is>
          <t>4(c)</t>
        </is>
      </c>
      <c r="E42" s="20" t="inlineStr">
        <is>
          <t>REs describe the same languages as automata — then why do we need REs?</t>
        </is>
      </c>
      <c r="F42" s="20" t="inlineStr">
        <is>
          <t>Regular expressions — Lec05 Regulars, sl. 61–84</t>
        </is>
      </c>
      <c r="G42" s="19" t="inlineStr">
        <is>
          <t>L12</t>
        </is>
      </c>
      <c r="H42" s="19" t="n">
        <v>5.33</v>
      </c>
      <c r="I42" s="19" t="n">
        <v>4</v>
      </c>
      <c r="J42" s="25" t="inlineStr">
        <is>
          <t>★ Low</t>
        </is>
      </c>
      <c r="K42" s="19" t="inlineStr">
        <is>
          <t>Theory</t>
        </is>
      </c>
      <c r="L42" s="25" t="inlineStr">
        <is>
          <t>✔ Solved</t>
        </is>
      </c>
      <c r="M42" s="20" t="inlineStr">
        <is>
          <t>—</t>
        </is>
      </c>
      <c r="N42" s="23" t="b">
        <v>0</v>
      </c>
      <c r="O42" s="19" t="n"/>
      <c r="P42" s="19" t="n"/>
      <c r="Q42" s="20" t="n"/>
    </row>
    <row r="43">
      <c r="A43" s="19" t="n">
        <v>40</v>
      </c>
      <c r="B43" s="19" t="inlineStr">
        <is>
          <t>2006-07</t>
        </is>
      </c>
      <c r="C43" s="19" t="inlineStr">
        <is>
          <t>CSE 211</t>
        </is>
      </c>
      <c r="D43" s="19" t="inlineStr">
        <is>
          <t>1(b)</t>
        </is>
      </c>
      <c r="E43" s="20" t="inlineStr">
        <is>
          <t>Regular expression for strings of alternating 0s and 1s</t>
        </is>
      </c>
      <c r="F43" s="20" t="inlineStr">
        <is>
          <t>Regular expressions — Lec05 Regulars, sl. 61–84</t>
        </is>
      </c>
      <c r="G43" s="19" t="inlineStr">
        <is>
          <t>L12</t>
        </is>
      </c>
      <c r="H43" s="19" t="n">
        <v>8</v>
      </c>
      <c r="I43" s="19" t="n">
        <v>1</v>
      </c>
      <c r="J43" s="26" t="inlineStr">
        <is>
          <t>★★ Medium</t>
        </is>
      </c>
      <c r="K43" s="19" t="inlineStr">
        <is>
          <t>Design</t>
        </is>
      </c>
      <c r="L43" s="25" t="inlineStr">
        <is>
          <t>✔ Solved</t>
        </is>
      </c>
      <c r="M43" s="20" t="inlineStr">
        <is>
          <t>2020 (Jan term) 2(c); 2019-20 4(b); 2017-18 4(b); 2016-17 3(b); 2014-15 3(b); 2012-13 6(c)</t>
        </is>
      </c>
      <c r="N43" s="23" t="b">
        <v>0</v>
      </c>
      <c r="O43" s="19" t="n"/>
      <c r="P43" s="19" t="n"/>
      <c r="Q43" s="20" t="n"/>
    </row>
    <row r="44">
      <c r="A44" s="19" t="n">
        <v>41</v>
      </c>
      <c r="B44" s="19" t="inlineStr">
        <is>
          <t>2006-07</t>
        </is>
      </c>
      <c r="C44" s="19" t="inlineStr">
        <is>
          <t>CSE 211</t>
        </is>
      </c>
      <c r="D44" s="19" t="inlineStr">
        <is>
          <t>4(b)</t>
        </is>
      </c>
      <c r="E44" s="20" t="inlineStr">
        <is>
          <t>Describe the languages of 8 REs: 0∗10∗, Σ∗1Σ∗, 1∗(01+)∗, (ΣΣΣ)∗, 0Σ∗0∪1Σ∗1∪0∪1, 01∪10, (0∪ε)1∗, (01∪010)∗</t>
        </is>
      </c>
      <c r="F44" s="20" t="inlineStr">
        <is>
          <t>Regular expressions — Lec05 Regulars, sl. 61–84</t>
        </is>
      </c>
      <c r="G44" s="19" t="inlineStr">
        <is>
          <t>L12</t>
        </is>
      </c>
      <c r="H44" s="19" t="n">
        <v>8</v>
      </c>
      <c r="I44" s="19" t="inlineStr">
        <is>
          <t>1–2</t>
        </is>
      </c>
      <c r="J44" s="26" t="inlineStr">
        <is>
          <t>★★ Medium</t>
        </is>
      </c>
      <c r="K44" s="19" t="inlineStr">
        <is>
          <t>Theory</t>
        </is>
      </c>
      <c r="L44" s="25" t="inlineStr">
        <is>
          <t>✔ Solved</t>
        </is>
      </c>
      <c r="M44" s="20" t="inlineStr">
        <is>
          <t>2020 (Jan term) 4(a); 2007-08 2(b)</t>
        </is>
      </c>
      <c r="N44" s="23" t="b">
        <v>0</v>
      </c>
      <c r="O44" s="19" t="n"/>
      <c r="P44" s="19" t="n"/>
      <c r="Q44" s="20" t="n"/>
    </row>
    <row r="45">
      <c r="A45" s="24" t="n">
        <v>42</v>
      </c>
      <c r="B45" s="24" t="inlineStr">
        <is>
          <t>2021-22</t>
        </is>
      </c>
      <c r="C45" s="24" t="inlineStr">
        <is>
          <t>CSE 211</t>
        </is>
      </c>
      <c r="D45" s="24" t="inlineStr">
        <is>
          <t>2(b)</t>
        </is>
      </c>
      <c r="E45" s="6" t="inlineStr">
        <is>
          <t>NFA for (((00)∗(11)) ∪ 01)∗ by basic principles</t>
        </is>
      </c>
      <c r="F45" s="6" t="inlineStr">
        <is>
          <t>RE → NFA (Thompson) — Lec05 Regulars, sl. 85–93</t>
        </is>
      </c>
      <c r="G45" s="24" t="inlineStr">
        <is>
          <t>L13</t>
        </is>
      </c>
      <c r="H45" s="24" t="n">
        <v>10</v>
      </c>
      <c r="I45" s="24" t="n">
        <v>45</v>
      </c>
      <c r="J45" s="21" t="inlineStr">
        <is>
          <t>★★★ High</t>
        </is>
      </c>
      <c r="K45" s="24" t="inlineStr">
        <is>
          <t>Design</t>
        </is>
      </c>
      <c r="L45" s="25" t="inlineStr">
        <is>
          <t>✔ Solved</t>
        </is>
      </c>
      <c r="M45" s="6" t="inlineStr">
        <is>
          <t>2019-20 3(a); 2017-18 2(c); 2011-12 7(a); 2008-09 7(c)</t>
        </is>
      </c>
      <c r="N45" s="23" t="b">
        <v>0</v>
      </c>
      <c r="O45" s="24" t="n"/>
      <c r="P45" s="24" t="n"/>
      <c r="Q45" s="6" t="n"/>
    </row>
    <row r="46">
      <c r="A46" s="24" t="n">
        <v>43</v>
      </c>
      <c r="B46" s="24" t="inlineStr">
        <is>
          <t>2019-20</t>
        </is>
      </c>
      <c r="C46" s="24" t="inlineStr">
        <is>
          <t>CSE 211</t>
        </is>
      </c>
      <c r="D46" s="24" t="inlineStr">
        <is>
          <t>3(a)</t>
        </is>
      </c>
      <c r="E46" s="6" t="inlineStr">
        <is>
          <t>NFA for ((a∗)a)∗ by basic principles</t>
        </is>
      </c>
      <c r="F46" s="6" t="inlineStr">
        <is>
          <t>RE → NFA (Thompson) — Lec05 Regulars, sl. 85–93</t>
        </is>
      </c>
      <c r="G46" s="24" t="inlineStr">
        <is>
          <t>L13</t>
        </is>
      </c>
      <c r="H46" s="24" t="n">
        <v>5</v>
      </c>
      <c r="I46" s="24" t="n">
        <v>40</v>
      </c>
      <c r="J46" s="21" t="inlineStr">
        <is>
          <t>★★★ High</t>
        </is>
      </c>
      <c r="K46" s="24" t="inlineStr">
        <is>
          <t>Design</t>
        </is>
      </c>
      <c r="L46" s="25" t="inlineStr">
        <is>
          <t>✔ Solved</t>
        </is>
      </c>
      <c r="M46" s="6" t="inlineStr">
        <is>
          <t>2021-22 2(b); 2017-18 2(c); 2011-12 7(a); 2008-09 7(c)</t>
        </is>
      </c>
      <c r="N46" s="23" t="b">
        <v>0</v>
      </c>
      <c r="O46" s="24" t="n"/>
      <c r="P46" s="24" t="n"/>
      <c r="Q46" s="6" t="n"/>
    </row>
    <row r="47">
      <c r="A47" s="24" t="n">
        <v>44</v>
      </c>
      <c r="B47" s="24" t="inlineStr">
        <is>
          <t>2017-18</t>
        </is>
      </c>
      <c r="C47" s="24" t="inlineStr">
        <is>
          <t>CSE 211</t>
        </is>
      </c>
      <c r="D47" s="24" t="inlineStr">
        <is>
          <t>2(c)</t>
        </is>
      </c>
      <c r="E47" s="6" t="inlineStr">
        <is>
          <t>NFA for (a ∪ b)∗aba using closure constructions</t>
        </is>
      </c>
      <c r="F47" s="6" t="inlineStr">
        <is>
          <t>RE → NFA (Thompson) — Lec05 Regulars, sl. 85–93</t>
        </is>
      </c>
      <c r="G47" s="24" t="inlineStr">
        <is>
          <t>L13</t>
        </is>
      </c>
      <c r="H47" s="24" t="n">
        <v>8</v>
      </c>
      <c r="I47" s="24" t="n">
        <v>32</v>
      </c>
      <c r="J47" s="26" t="inlineStr">
        <is>
          <t>★★ Medium</t>
        </is>
      </c>
      <c r="K47" s="24" t="inlineStr">
        <is>
          <t>Design</t>
        </is>
      </c>
      <c r="L47" s="25" t="inlineStr">
        <is>
          <t>✔ Solved</t>
        </is>
      </c>
      <c r="M47" s="6" t="inlineStr">
        <is>
          <t>2021-22 2(b); 2019-20 3(a); 2011-12 7(a); 2008-09 7(c)</t>
        </is>
      </c>
      <c r="N47" s="23" t="b">
        <v>0</v>
      </c>
      <c r="O47" s="24" t="n"/>
      <c r="P47" s="24" t="n"/>
      <c r="Q47" s="6" t="n"/>
    </row>
    <row r="48">
      <c r="A48" s="24" t="n">
        <v>45</v>
      </c>
      <c r="B48" s="24" t="inlineStr">
        <is>
          <t>2011-12</t>
        </is>
      </c>
      <c r="C48" s="24" t="inlineStr">
        <is>
          <t>CSE 211</t>
        </is>
      </c>
      <c r="D48" s="24" t="inlineStr">
        <is>
          <t>7(a)</t>
        </is>
      </c>
      <c r="E48" s="6" t="inlineStr">
        <is>
          <t>NFA for (01 ∪ 001 ∪ 010)∗</t>
        </is>
      </c>
      <c r="F48" s="6" t="inlineStr">
        <is>
          <t>RE → NFA (Thompson) — Lec05 Regulars, sl. 85–93</t>
        </is>
      </c>
      <c r="G48" s="24" t="inlineStr">
        <is>
          <t>L13</t>
        </is>
      </c>
      <c r="H48" s="24" t="n">
        <v>8</v>
      </c>
      <c r="I48" s="24" t="n">
        <v>16</v>
      </c>
      <c r="J48" s="26" t="inlineStr">
        <is>
          <t>★★ Medium</t>
        </is>
      </c>
      <c r="K48" s="24" t="inlineStr">
        <is>
          <t>Design</t>
        </is>
      </c>
      <c r="L48" s="25" t="inlineStr">
        <is>
          <t>✔ Solved</t>
        </is>
      </c>
      <c r="M48" s="6" t="inlineStr">
        <is>
          <t>2021-22 2(b); 2019-20 3(a); 2017-18 2(c); 2008-09 7(c)</t>
        </is>
      </c>
      <c r="N48" s="23" t="b">
        <v>0</v>
      </c>
      <c r="O48" s="24" t="n"/>
      <c r="P48" s="24" t="n"/>
      <c r="Q48" s="6" t="n"/>
    </row>
    <row r="49">
      <c r="A49" s="24" t="n">
        <v>46</v>
      </c>
      <c r="B49" s="24" t="inlineStr">
        <is>
          <t>2008-09</t>
        </is>
      </c>
      <c r="C49" s="24" t="inlineStr">
        <is>
          <t>CSE 211</t>
        </is>
      </c>
      <c r="D49" s="24" t="inlineStr">
        <is>
          <t>7(c)</t>
        </is>
      </c>
      <c r="E49" s="6" t="inlineStr">
        <is>
          <t>Convert (0+1)∗1(0+1) to an ε-NFA</t>
        </is>
      </c>
      <c r="F49" s="6" t="inlineStr">
        <is>
          <t>RE → NFA (Thompson) — Lec05 Regulars, sl. 85–93</t>
        </is>
      </c>
      <c r="G49" s="24" t="inlineStr">
        <is>
          <t>L13</t>
        </is>
      </c>
      <c r="H49" s="24" t="n">
        <v>4.33</v>
      </c>
      <c r="I49" s="24" t="n">
        <v>7</v>
      </c>
      <c r="J49" s="26" t="inlineStr">
        <is>
          <t>★★ Medium</t>
        </is>
      </c>
      <c r="K49" s="24" t="inlineStr">
        <is>
          <t>Design</t>
        </is>
      </c>
      <c r="L49" s="25" t="inlineStr">
        <is>
          <t>✔ Solved</t>
        </is>
      </c>
      <c r="M49" s="6" t="inlineStr">
        <is>
          <t>2021-22 2(b); 2019-20 3(a); 2017-18 2(c); 2011-12 7(a)</t>
        </is>
      </c>
      <c r="N49" s="23" t="b">
        <v>0</v>
      </c>
      <c r="O49" s="24" t="n"/>
      <c r="P49" s="24" t="n"/>
      <c r="Q49" s="6" t="n"/>
    </row>
    <row r="50">
      <c r="A50" s="19" t="n">
        <v>47</v>
      </c>
      <c r="B50" s="19" t="inlineStr">
        <is>
          <t>2013-14</t>
        </is>
      </c>
      <c r="C50" s="19" t="inlineStr">
        <is>
          <t>CSE 211</t>
        </is>
      </c>
      <c r="D50" s="19" t="inlineStr">
        <is>
          <t>6(c)</t>
        </is>
      </c>
      <c r="E50" s="20" t="inlineStr">
        <is>
          <t>RE from the given NFA (q0, q1, q2)</t>
        </is>
      </c>
      <c r="F50" s="20" t="inlineStr">
        <is>
          <t>DFA → RE (GNFA), Kleene — Lec05 Regulars, sl. 94–111</t>
        </is>
      </c>
      <c r="G50" s="19" t="inlineStr">
        <is>
          <t>L14</t>
        </is>
      </c>
      <c r="H50" s="19" t="n">
        <v>8</v>
      </c>
      <c r="I50" s="19" t="n">
        <v>20</v>
      </c>
      <c r="J50" s="26" t="inlineStr">
        <is>
          <t>★★ Medium</t>
        </is>
      </c>
      <c r="K50" s="19" t="inlineStr">
        <is>
          <t>Trace</t>
        </is>
      </c>
      <c r="L50" s="25" t="inlineStr">
        <is>
          <t>✔ Solved</t>
        </is>
      </c>
      <c r="M50" s="20" t="inlineStr">
        <is>
          <t>2012-13 7(b); 2011-12 7(c)</t>
        </is>
      </c>
      <c r="N50" s="23" t="b">
        <v>0</v>
      </c>
      <c r="O50" s="19" t="n"/>
      <c r="P50" s="19" t="n"/>
      <c r="Q50" s="20" t="n"/>
    </row>
    <row r="51">
      <c r="A51" s="19" t="n">
        <v>48</v>
      </c>
      <c r="B51" s="19" t="inlineStr">
        <is>
          <t>2012-13</t>
        </is>
      </c>
      <c r="C51" s="19" t="inlineStr">
        <is>
          <t>CSE 211</t>
        </is>
      </c>
      <c r="D51" s="19" t="inlineStr">
        <is>
          <t>7(b)</t>
        </is>
      </c>
      <c r="E51" s="20" t="inlineStr">
        <is>
          <t>Convert the given DFA (states 1, 2, 3) to a regular expression</t>
        </is>
      </c>
      <c r="F51" s="20" t="inlineStr">
        <is>
          <t>DFA → RE (GNFA), Kleene — Lec05 Regulars, sl. 94–111</t>
        </is>
      </c>
      <c r="G51" s="19" t="inlineStr">
        <is>
          <t>L14</t>
        </is>
      </c>
      <c r="H51" s="19" t="n">
        <v>7.33</v>
      </c>
      <c r="I51" s="19" t="n">
        <v>18</v>
      </c>
      <c r="J51" s="26" t="inlineStr">
        <is>
          <t>★★ Medium</t>
        </is>
      </c>
      <c r="K51" s="19" t="inlineStr">
        <is>
          <t>Trace</t>
        </is>
      </c>
      <c r="L51" s="25" t="inlineStr">
        <is>
          <t>✔ Solved</t>
        </is>
      </c>
      <c r="M51" s="20" t="inlineStr">
        <is>
          <t>2013-14 6(c); 2011-12 7(c)</t>
        </is>
      </c>
      <c r="N51" s="23" t="b">
        <v>0</v>
      </c>
      <c r="O51" s="19" t="n"/>
      <c r="P51" s="19" t="n"/>
      <c r="Q51" s="20" t="n"/>
    </row>
    <row r="52">
      <c r="A52" s="19" t="n">
        <v>49</v>
      </c>
      <c r="B52" s="19" t="inlineStr">
        <is>
          <t>2012-13</t>
        </is>
      </c>
      <c r="C52" s="19" t="inlineStr">
        <is>
          <t>CSE 211</t>
        </is>
      </c>
      <c r="D52" s="19" t="inlineStr">
        <is>
          <t>8(b)</t>
        </is>
      </c>
      <c r="E52" s="20" t="inlineStr">
        <is>
          <t>Prove a set is regular iff it can be described by a regular expression</t>
        </is>
      </c>
      <c r="F52" s="20" t="inlineStr">
        <is>
          <t>DFA → RE (GNFA), Kleene — Lec05 Regulars, sl. 94–111</t>
        </is>
      </c>
      <c r="G52" s="19" t="inlineStr">
        <is>
          <t>L14</t>
        </is>
      </c>
      <c r="H52" s="19" t="n">
        <v>12.33</v>
      </c>
      <c r="I52" s="19" t="n">
        <v>18</v>
      </c>
      <c r="J52" s="26" t="inlineStr">
        <is>
          <t>★★ Medium</t>
        </is>
      </c>
      <c r="K52" s="19" t="inlineStr">
        <is>
          <t>Proof</t>
        </is>
      </c>
      <c r="L52" s="25" t="inlineStr">
        <is>
          <t>✔ Solved</t>
        </is>
      </c>
      <c r="M52" s="20" t="inlineStr">
        <is>
          <t>2008-09 7(a)</t>
        </is>
      </c>
      <c r="N52" s="23" t="b">
        <v>0</v>
      </c>
      <c r="O52" s="19" t="n"/>
      <c r="P52" s="19" t="n"/>
      <c r="Q52" s="20" t="n"/>
    </row>
    <row r="53">
      <c r="A53" s="19" t="n">
        <v>50</v>
      </c>
      <c r="B53" s="19" t="inlineStr">
        <is>
          <t>2011-12</t>
        </is>
      </c>
      <c r="C53" s="19" t="inlineStr">
        <is>
          <t>CSE 211</t>
        </is>
      </c>
      <c r="D53" s="19" t="inlineStr">
        <is>
          <t>7(c)</t>
        </is>
      </c>
      <c r="E53" s="20" t="inlineStr">
        <is>
          <t>Regular expression for the given 3-state automaton (states 1, 2, 3)</t>
        </is>
      </c>
      <c r="F53" s="20" t="inlineStr">
        <is>
          <t>DFA → RE (GNFA), Kleene — Lec05 Regulars, sl. 94–111</t>
        </is>
      </c>
      <c r="G53" s="19" t="inlineStr">
        <is>
          <t>L14</t>
        </is>
      </c>
      <c r="H53" s="19" t="n">
        <v>7.33</v>
      </c>
      <c r="I53" s="19" t="n">
        <v>16</v>
      </c>
      <c r="J53" s="26" t="inlineStr">
        <is>
          <t>★★ Medium</t>
        </is>
      </c>
      <c r="K53" s="19" t="inlineStr">
        <is>
          <t>Trace</t>
        </is>
      </c>
      <c r="L53" s="25" t="inlineStr">
        <is>
          <t>✔ Solved</t>
        </is>
      </c>
      <c r="M53" s="20" t="inlineStr">
        <is>
          <t>2013-14 6(c); 2012-13 7(b)</t>
        </is>
      </c>
      <c r="N53" s="23" t="b">
        <v>0</v>
      </c>
      <c r="O53" s="19" t="n"/>
      <c r="P53" s="19" t="n"/>
      <c r="Q53" s="20" t="n"/>
    </row>
    <row r="54">
      <c r="A54" s="19" t="n">
        <v>51</v>
      </c>
      <c r="B54" s="19" t="inlineStr">
        <is>
          <t>2008-09</t>
        </is>
      </c>
      <c r="C54" s="19" t="inlineStr">
        <is>
          <t>CSE 211</t>
        </is>
      </c>
      <c r="D54" s="19" t="inlineStr">
        <is>
          <t>7(a)</t>
        </is>
      </c>
      <c r="E54" s="20" t="inlineStr">
        <is>
          <t>Prove: if L = L(A) for a DFA A then L = L(R) for some RE R</t>
        </is>
      </c>
      <c r="F54" s="20" t="inlineStr">
        <is>
          <t>DFA → RE (GNFA), Kleene — Lec05 Regulars, sl. 94–111</t>
        </is>
      </c>
      <c r="G54" s="19" t="inlineStr">
        <is>
          <t>L14</t>
        </is>
      </c>
      <c r="H54" s="19" t="n">
        <v>14</v>
      </c>
      <c r="I54" s="19" t="n">
        <v>7</v>
      </c>
      <c r="J54" s="26" t="inlineStr">
        <is>
          <t>★★ Medium</t>
        </is>
      </c>
      <c r="K54" s="19" t="inlineStr">
        <is>
          <t>Proof</t>
        </is>
      </c>
      <c r="L54" s="25" t="inlineStr">
        <is>
          <t>✔ Solved</t>
        </is>
      </c>
      <c r="M54" s="20" t="inlineStr">
        <is>
          <t>2012-13 8(b)</t>
        </is>
      </c>
      <c r="N54" s="23" t="b">
        <v>0</v>
      </c>
      <c r="O54" s="19" t="n"/>
      <c r="P54" s="19" t="n"/>
      <c r="Q54" s="20" t="n"/>
    </row>
  </sheetData>
  <autoFilter ref="A3:Q54"/>
  <conditionalFormatting sqref="A4:Q54">
    <cfRule type="expression" priority="1" dxfId="0">
      <formula>$N4=TRUE</formula>
    </cfRule>
  </conditionalFormatting>
  <conditionalFormatting sqref="O4:O5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54" showDropDown="0" showInputMessage="0" showErrorMessage="0" allowBlank="1" type="list">
      <formula1>"TRUE,FALSE"</formula1>
    </dataValidation>
    <dataValidation sqref="O4:O5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Lec06 — Non-Regular Languages</t>
        </is>
      </c>
    </row>
    <row r="2">
      <c r="A2" s="2" t="inlineStr">
        <is>
          <t>Note file: CSE211_Hakim_NonRegular_Notes.docx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211</t>
        </is>
      </c>
      <c r="D4" s="19" t="inlineStr">
        <is>
          <t>2(a)</t>
        </is>
      </c>
      <c r="E4" s="20" t="inlineStr">
        <is>
          <t>Why must |xy| ≤ p hold in the pumping lemma? Example language and automaton</t>
        </is>
      </c>
      <c r="F4" s="20" t="inlineStr">
        <is>
          <t>Pumping lemma: statement, proof, logic — Lec06 Non Regulars, sl. 1–11</t>
        </is>
      </c>
      <c r="G4" s="19" t="inlineStr">
        <is>
          <t>L15</t>
        </is>
      </c>
      <c r="H4" s="19" t="n">
        <v>15</v>
      </c>
      <c r="I4" s="19" t="inlineStr">
        <is>
          <t>22 batch p.1</t>
        </is>
      </c>
      <c r="J4" s="21" t="inlineStr">
        <is>
          <t>★★★ High</t>
        </is>
      </c>
      <c r="K4" s="19" t="inlineStr">
        <is>
          <t>Theory</t>
        </is>
      </c>
      <c r="L4" s="25" t="inlineStr">
        <is>
          <t>✔ Solved</t>
        </is>
      </c>
      <c r="M4" s="20" t="inlineStr">
        <is>
          <t>2021-22 4(a); 2014-15 4(b); 2013-14 6(a); 2012-13 6(b); 2011-12 6(a); 2010-11 5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2021-22</t>
        </is>
      </c>
      <c r="C5" s="19" t="inlineStr">
        <is>
          <t>CSE 211</t>
        </is>
      </c>
      <c r="D5" s="19" t="inlineStr">
        <is>
          <t>4(a)</t>
        </is>
      </c>
      <c r="E5" s="20" t="inlineStr">
        <is>
          <t>Why is the pumping lemma for regular languages useful only for negative proofs?</t>
        </is>
      </c>
      <c r="F5" s="20" t="inlineStr">
        <is>
          <t>Pumping lemma: statement, proof, logic — Lec06 Non Regulars, sl. 1–11</t>
        </is>
      </c>
      <c r="G5" s="19" t="inlineStr">
        <is>
          <t>L15</t>
        </is>
      </c>
      <c r="H5" s="19" t="n">
        <v>4</v>
      </c>
      <c r="I5" s="19" t="n">
        <v>46</v>
      </c>
      <c r="J5" s="21" t="inlineStr">
        <is>
          <t>★★★ High</t>
        </is>
      </c>
      <c r="K5" s="19" t="inlineStr">
        <is>
          <t>Theory</t>
        </is>
      </c>
      <c r="L5" s="25" t="inlineStr">
        <is>
          <t>✔ Solved</t>
        </is>
      </c>
      <c r="M5" s="20" t="inlineStr">
        <is>
          <t>2023-24 2(a); 2014-15 4(b); 2013-14 6(a); 2012-13 6(b); 2011-12 6(a); 2010-11 5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2014-15</t>
        </is>
      </c>
      <c r="C6" s="19" t="inlineStr">
        <is>
          <t>CSE 211</t>
        </is>
      </c>
      <c r="D6" s="19" t="inlineStr">
        <is>
          <t>4(b)</t>
        </is>
      </c>
      <c r="E6" s="20" t="inlineStr">
        <is>
          <t>State and prove the pumping lemma (idea first, then proof)</t>
        </is>
      </c>
      <c r="F6" s="20" t="inlineStr">
        <is>
          <t>Pumping lemma: statement, proof, logic — Lec06 Non Regulars, sl. 1–11</t>
        </is>
      </c>
      <c r="G6" s="19" t="inlineStr">
        <is>
          <t>L15</t>
        </is>
      </c>
      <c r="H6" s="19" t="n">
        <v>12</v>
      </c>
      <c r="I6" s="19" t="n">
        <v>22</v>
      </c>
      <c r="J6" s="26" t="inlineStr">
        <is>
          <t>★★ Medium</t>
        </is>
      </c>
      <c r="K6" s="19" t="inlineStr">
        <is>
          <t>Proof</t>
        </is>
      </c>
      <c r="L6" s="25" t="inlineStr">
        <is>
          <t>✔ Solved</t>
        </is>
      </c>
      <c r="M6" s="20" t="inlineStr">
        <is>
          <t>2023-24 2(a); 2021-22 4(a); 2013-14 6(a); 2012-13 6(b); 2011-12 6(a); 2010-11 5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2013-14</t>
        </is>
      </c>
      <c r="C7" s="19" t="inlineStr">
        <is>
          <t>CSE 211</t>
        </is>
      </c>
      <c r="D7" s="19" t="inlineStr">
        <is>
          <t>6(a)</t>
        </is>
      </c>
      <c r="E7" s="20" t="inlineStr">
        <is>
          <t>State and prove the pumping lemma for regular languages</t>
        </is>
      </c>
      <c r="F7" s="20" t="inlineStr">
        <is>
          <t>Pumping lemma: statement, proof, logic — Lec06 Non Regulars, sl. 1–11</t>
        </is>
      </c>
      <c r="G7" s="19" t="inlineStr">
        <is>
          <t>L15</t>
        </is>
      </c>
      <c r="H7" s="19" t="n">
        <v>7.33</v>
      </c>
      <c r="I7" s="19" t="n">
        <v>20</v>
      </c>
      <c r="J7" s="26" t="inlineStr">
        <is>
          <t>★★ Medium</t>
        </is>
      </c>
      <c r="K7" s="19" t="inlineStr">
        <is>
          <t>Proof</t>
        </is>
      </c>
      <c r="L7" s="25" t="inlineStr">
        <is>
          <t>✔ Solved</t>
        </is>
      </c>
      <c r="M7" s="20" t="inlineStr">
        <is>
          <t>2023-24 2(a); 2021-22 4(a); 2014-15 4(b); 2012-13 6(b); 2011-12 6(a); 2010-11 5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2012-13</t>
        </is>
      </c>
      <c r="C8" s="19" t="inlineStr">
        <is>
          <t>CSE 211</t>
        </is>
      </c>
      <c r="D8" s="19" t="inlineStr">
        <is>
          <t>6(b)</t>
        </is>
      </c>
      <c r="E8" s="20" t="inlineStr">
        <is>
          <t>Technique to test whether L is regular — state and prove it</t>
        </is>
      </c>
      <c r="F8" s="20" t="inlineStr">
        <is>
          <t>Pumping lemma: statement, proof, logic — Lec06 Non Regulars, sl. 1–11</t>
        </is>
      </c>
      <c r="G8" s="19" t="inlineStr">
        <is>
          <t>L15</t>
        </is>
      </c>
      <c r="H8" s="19" t="n">
        <v>12.33</v>
      </c>
      <c r="I8" s="19" t="n">
        <v>18</v>
      </c>
      <c r="J8" s="26" t="inlineStr">
        <is>
          <t>★★ Medium</t>
        </is>
      </c>
      <c r="K8" s="19" t="inlineStr">
        <is>
          <t>Proof</t>
        </is>
      </c>
      <c r="L8" s="25" t="inlineStr">
        <is>
          <t>✔ Solved</t>
        </is>
      </c>
      <c r="M8" s="20" t="inlineStr">
        <is>
          <t>2023-24 2(a); 2021-22 4(a); 2014-15 4(b); 2013-14 6(a); 2011-12 6(a); 2010-11 5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2011-12</t>
        </is>
      </c>
      <c r="C9" s="19" t="inlineStr">
        <is>
          <t>CSE 211</t>
        </is>
      </c>
      <c r="D9" s="19" t="inlineStr">
        <is>
          <t>6(a)</t>
        </is>
      </c>
      <c r="E9" s="20" t="inlineStr">
        <is>
          <t>Technique to test whether L is regular — state and prove it</t>
        </is>
      </c>
      <c r="F9" s="20" t="inlineStr">
        <is>
          <t>Pumping lemma: statement, proof, logic — Lec06 Non Regulars, sl. 1–11</t>
        </is>
      </c>
      <c r="G9" s="19" t="inlineStr">
        <is>
          <t>L15</t>
        </is>
      </c>
      <c r="H9" s="19" t="n">
        <v>13.33</v>
      </c>
      <c r="I9" s="19" t="n">
        <v>15</v>
      </c>
      <c r="J9" s="26" t="inlineStr">
        <is>
          <t>★★ Medium</t>
        </is>
      </c>
      <c r="K9" s="19" t="inlineStr">
        <is>
          <t>Proof</t>
        </is>
      </c>
      <c r="L9" s="25" t="inlineStr">
        <is>
          <t>✔ Solved</t>
        </is>
      </c>
      <c r="M9" s="20" t="inlineStr">
        <is>
          <t>2023-24 2(a); 2021-22 4(a); 2014-15 4(b); 2013-14 6(a); 2012-13 6(b); 2010-11 5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2010-11</t>
        </is>
      </c>
      <c r="C10" s="19" t="inlineStr">
        <is>
          <t>CSE 211</t>
        </is>
      </c>
      <c r="D10" s="19" t="inlineStr">
        <is>
          <t>5</t>
        </is>
      </c>
      <c r="E10" s="20" t="inlineStr">
        <is>
          <t>State and prove the pumping lemma</t>
        </is>
      </c>
      <c r="F10" s="20" t="inlineStr">
        <is>
          <t>Pumping lemma: statement, proof, logic — Lec06 Non Regulars, sl. 1–11</t>
        </is>
      </c>
      <c r="G10" s="19" t="inlineStr">
        <is>
          <t>L15</t>
        </is>
      </c>
      <c r="H10" s="19" t="n">
        <v>10</v>
      </c>
      <c r="I10" s="19" t="n">
        <v>11</v>
      </c>
      <c r="J10" s="26" t="inlineStr">
        <is>
          <t>★★ Medium</t>
        </is>
      </c>
      <c r="K10" s="19" t="inlineStr">
        <is>
          <t>Proof</t>
        </is>
      </c>
      <c r="L10" s="25" t="inlineStr">
        <is>
          <t>✔ Solved</t>
        </is>
      </c>
      <c r="M10" s="20" t="inlineStr">
        <is>
          <t>2023-24 2(a); 2021-22 4(a); 2014-15 4(b); 2013-14 6(a); 2012-13 6(b); 2011-12 6(a)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2008-09</t>
        </is>
      </c>
      <c r="C11" s="19" t="inlineStr">
        <is>
          <t>CSE 211</t>
        </is>
      </c>
      <c r="D11" s="19" t="inlineStr">
        <is>
          <t>5(a)</t>
        </is>
      </c>
      <c r="E11" s="20" t="inlineStr">
        <is>
          <t>Prove the pumping lemma for regular languages (statement given)</t>
        </is>
      </c>
      <c r="F11" s="20" t="inlineStr">
        <is>
          <t>Pumping lemma: statement, proof, logic — Lec06 Non Regulars, sl. 1–11</t>
        </is>
      </c>
      <c r="G11" s="19" t="inlineStr">
        <is>
          <t>L15</t>
        </is>
      </c>
      <c r="H11" s="19" t="n">
        <v>10</v>
      </c>
      <c r="I11" s="19" t="n">
        <v>7</v>
      </c>
      <c r="J11" s="26" t="inlineStr">
        <is>
          <t>★★ Medium</t>
        </is>
      </c>
      <c r="K11" s="19" t="inlineStr">
        <is>
          <t>Proof</t>
        </is>
      </c>
      <c r="L11" s="25" t="inlineStr">
        <is>
          <t>✔ Solved</t>
        </is>
      </c>
      <c r="M11" s="20" t="inlineStr">
        <is>
          <t>2023-24 2(a); 2021-22 4(a); 2014-15 4(b); 2013-14 6(a); 2012-13 6(b); 2011-12 6(a)</t>
        </is>
      </c>
      <c r="N11" s="23" t="b">
        <v>0</v>
      </c>
      <c r="O11" s="19" t="n"/>
      <c r="P11" s="19" t="n"/>
      <c r="Q11" s="20" t="n"/>
    </row>
    <row r="12">
      <c r="A12" s="24" t="n">
        <v>9</v>
      </c>
      <c r="B12" s="24" t="inlineStr">
        <is>
          <t>2023-24</t>
        </is>
      </c>
      <c r="C12" s="24" t="inlineStr">
        <is>
          <t>CSE 211</t>
        </is>
      </c>
      <c r="D12" s="24" t="inlineStr">
        <is>
          <t>4(c)</t>
        </is>
      </c>
      <c r="E12" s="6" t="inlineStr">
        <is>
          <t>{a^(n!) | n ≥ 1} is not regular</t>
        </is>
      </c>
      <c r="F12" s="6" t="inlineStr">
        <is>
          <t>Pumping-lemma proofs — Lec06 Non Regulars, sl. 12–28</t>
        </is>
      </c>
      <c r="G12" s="24" t="inlineStr">
        <is>
          <t>L16</t>
        </is>
      </c>
      <c r="H12" s="24" t="n">
        <v>13</v>
      </c>
      <c r="I12" s="24" t="inlineStr">
        <is>
          <t>22 batch p.2</t>
        </is>
      </c>
      <c r="J12" s="21" t="inlineStr">
        <is>
          <t>★★★ High</t>
        </is>
      </c>
      <c r="K12" s="24" t="inlineStr">
        <is>
          <t>Proof</t>
        </is>
      </c>
      <c r="L12" s="25" t="inlineStr">
        <is>
          <t>✔ Solved</t>
        </is>
      </c>
      <c r="M12" s="6" t="inlineStr">
        <is>
          <t>2019-20 4(c); 2015-16 4(c); 2014-15 2(a); 2013-14 6(b); 2012-13 5(b); 2012-13 8(c)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2019-20</t>
        </is>
      </c>
      <c r="C13" s="24" t="inlineStr">
        <is>
          <t>CSE 211</t>
        </is>
      </c>
      <c r="D13" s="24" t="inlineStr">
        <is>
          <t>4(c)</t>
        </is>
      </c>
      <c r="E13" s="6" t="inlineStr">
        <is>
          <t>{a^2n b^3n a^n | n ≥ 0} is not regular</t>
        </is>
      </c>
      <c r="F13" s="6" t="inlineStr">
        <is>
          <t>Pumping-lemma proofs — Lec06 Non Regulars, sl. 12–28</t>
        </is>
      </c>
      <c r="G13" s="24" t="inlineStr">
        <is>
          <t>L16</t>
        </is>
      </c>
      <c r="H13" s="24" t="n">
        <v>15</v>
      </c>
      <c r="I13" s="24" t="n">
        <v>41</v>
      </c>
      <c r="J13" s="21" t="inlineStr">
        <is>
          <t>★★★ High</t>
        </is>
      </c>
      <c r="K13" s="24" t="inlineStr">
        <is>
          <t>Proof</t>
        </is>
      </c>
      <c r="L13" s="25" t="inlineStr">
        <is>
          <t>✔ Solved</t>
        </is>
      </c>
      <c r="M13" s="6" t="inlineStr">
        <is>
          <t>2023-24 4(c); 2015-16 4(c); 2014-15 2(a); 2013-14 6(b); 2012-13 5(b); 2012-13 8(c)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2016-17</t>
        </is>
      </c>
      <c r="C14" s="24" t="inlineStr">
        <is>
          <t>CSE 211</t>
        </is>
      </c>
      <c r="D14" s="24" t="inlineStr">
        <is>
          <t>4(c)</t>
        </is>
      </c>
      <c r="E14" s="6" t="inlineStr">
        <is>
          <t>Strings of 1s of prime length are not regular</t>
        </is>
      </c>
      <c r="F14" s="6" t="inlineStr">
        <is>
          <t>Pumping-lemma proofs — Lec06 Non Regulars, sl. 12–28</t>
        </is>
      </c>
      <c r="G14" s="24" t="inlineStr">
        <is>
          <t>L16</t>
        </is>
      </c>
      <c r="H14" s="24" t="n">
        <v>12</v>
      </c>
      <c r="I14" s="24" t="n">
        <v>30</v>
      </c>
      <c r="J14" s="26" t="inlineStr">
        <is>
          <t>★★ Medium</t>
        </is>
      </c>
      <c r="K14" s="24" t="inlineStr">
        <is>
          <t>Proof</t>
        </is>
      </c>
      <c r="L14" s="25" t="inlineStr">
        <is>
          <t>✔ Solved</t>
        </is>
      </c>
      <c r="M14" s="6" t="inlineStr">
        <is>
          <t>2009-10 5; 2007-08 3(a)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2015-16</t>
        </is>
      </c>
      <c r="C15" s="24" t="inlineStr">
        <is>
          <t>CSE 211</t>
        </is>
      </c>
      <c r="D15" s="24" t="inlineStr">
        <is>
          <t>4(c)</t>
        </is>
      </c>
      <c r="E15" s="6" t="inlineStr">
        <is>
          <t>Not regular: {0^n1^n2^n} and {0^i1^j | i &gt; j}</t>
        </is>
      </c>
      <c r="F15" s="6" t="inlineStr">
        <is>
          <t>Pumping-lemma proofs — Lec06 Non Regulars, sl. 12–28</t>
        </is>
      </c>
      <c r="G15" s="24" t="inlineStr">
        <is>
          <t>L16</t>
        </is>
      </c>
      <c r="H15" s="24" t="n">
        <v>6</v>
      </c>
      <c r="I15" s="24" t="n">
        <v>26</v>
      </c>
      <c r="J15" s="26" t="inlineStr">
        <is>
          <t>★★ Medium</t>
        </is>
      </c>
      <c r="K15" s="24" t="inlineStr">
        <is>
          <t>Proof</t>
        </is>
      </c>
      <c r="L15" s="25" t="inlineStr">
        <is>
          <t>✔ Solved</t>
        </is>
      </c>
      <c r="M15" s="6" t="inlineStr">
        <is>
          <t>2023-24 4(c); 2019-20 4(c); 2014-15 2(a); 2013-14 6(b); 2012-13 5(b); 2012-13 8(c)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2014-15</t>
        </is>
      </c>
      <c r="C16" s="24" t="inlineStr">
        <is>
          <t>CSE 211</t>
        </is>
      </c>
      <c r="D16" s="24" t="inlineStr">
        <is>
          <t>2(a)</t>
        </is>
      </c>
      <c r="E16" s="6" t="inlineStr">
        <is>
          <t>Is {1^(n²) | n ≥ 0} regular? (pumping lemma)</t>
        </is>
      </c>
      <c r="F16" s="6" t="inlineStr">
        <is>
          <t>Pumping-lemma proofs — Lec06 Non Regulars, sl. 12–28</t>
        </is>
      </c>
      <c r="G16" s="24" t="inlineStr">
        <is>
          <t>L16</t>
        </is>
      </c>
      <c r="H16" s="24" t="n">
        <v>10</v>
      </c>
      <c r="I16" s="24" t="n">
        <v>22</v>
      </c>
      <c r="J16" s="26" t="inlineStr">
        <is>
          <t>★★ Medium</t>
        </is>
      </c>
      <c r="K16" s="24" t="inlineStr">
        <is>
          <t>Proof</t>
        </is>
      </c>
      <c r="L16" s="25" t="inlineStr">
        <is>
          <t>✔ Solved</t>
        </is>
      </c>
      <c r="M16" s="6" t="inlineStr">
        <is>
          <t>2023-24 4(c); 2019-20 4(c); 2015-16 4(c); 2013-14 6(b); 2012-13 5(b); 2012-13 8(c)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2013-14</t>
        </is>
      </c>
      <c r="C17" s="24" t="inlineStr">
        <is>
          <t>CSE 211</t>
        </is>
      </c>
      <c r="D17" s="24" t="inlineStr">
        <is>
          <t>6(b)</t>
        </is>
      </c>
      <c r="E17" s="6" t="inlineStr">
        <is>
          <t>Properly nested parentheses are not regular (pumping lemma)</t>
        </is>
      </c>
      <c r="F17" s="6" t="inlineStr">
        <is>
          <t>Pumping-lemma proofs — Lec06 Non Regulars, sl. 12–28</t>
        </is>
      </c>
      <c r="G17" s="24" t="inlineStr">
        <is>
          <t>L16</t>
        </is>
      </c>
      <c r="H17" s="24" t="n">
        <v>8</v>
      </c>
      <c r="I17" s="24" t="n">
        <v>20</v>
      </c>
      <c r="J17" s="26" t="inlineStr">
        <is>
          <t>★★ Medium</t>
        </is>
      </c>
      <c r="K17" s="24" t="inlineStr">
        <is>
          <t>Proof</t>
        </is>
      </c>
      <c r="L17" s="25" t="inlineStr">
        <is>
          <t>✔ Solved</t>
        </is>
      </c>
      <c r="M17" s="6" t="inlineStr">
        <is>
          <t>2023-24 4(c); 2019-20 4(c); 2015-16 4(c); 2014-15 2(a); 2012-13 5(b); 2012-13 8(c)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2012-13</t>
        </is>
      </c>
      <c r="C18" s="24" t="inlineStr">
        <is>
          <t>CSE 211</t>
        </is>
      </c>
      <c r="D18" s="24" t="inlineStr">
        <is>
          <t>5(b)</t>
        </is>
      </c>
      <c r="E18" s="6" t="inlineStr">
        <is>
          <t>Prove {0^n | n is a perfect square} is not regular</t>
        </is>
      </c>
      <c r="F18" s="6" t="inlineStr">
        <is>
          <t>Pumping-lemma proofs — Lec06 Non Regulars, sl. 12–28</t>
        </is>
      </c>
      <c r="G18" s="24" t="inlineStr">
        <is>
          <t>L16</t>
        </is>
      </c>
      <c r="H18" s="24" t="n">
        <v>5.33</v>
      </c>
      <c r="I18" s="24" t="n">
        <v>18</v>
      </c>
      <c r="J18" s="26" t="inlineStr">
        <is>
          <t>★★ Medium</t>
        </is>
      </c>
      <c r="K18" s="24" t="inlineStr">
        <is>
          <t>Proof</t>
        </is>
      </c>
      <c r="L18" s="25" t="inlineStr">
        <is>
          <t>✔ Solved</t>
        </is>
      </c>
      <c r="M18" s="6" t="inlineStr">
        <is>
          <t>2023-24 4(c); 2019-20 4(c); 2015-16 4(c); 2014-15 2(a); 2013-14 6(b); 2012-13 8(c)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2012-13</t>
        </is>
      </c>
      <c r="C19" s="24" t="inlineStr">
        <is>
          <t>CSE 211</t>
        </is>
      </c>
      <c r="D19" s="24" t="inlineStr">
        <is>
          <t>8(c)</t>
        </is>
      </c>
      <c r="E19" s="6" t="inlineStr">
        <is>
          <t>Prove {0^n 1 0^n | n &gt; 1} is not regular</t>
        </is>
      </c>
      <c r="F19" s="6" t="inlineStr">
        <is>
          <t>Pumping-lemma proofs — Lec06 Non Regulars, sl. 12–28</t>
        </is>
      </c>
      <c r="G19" s="24" t="inlineStr">
        <is>
          <t>L16</t>
        </is>
      </c>
      <c r="H19" s="24" t="n">
        <v>6</v>
      </c>
      <c r="I19" s="24" t="n">
        <v>18</v>
      </c>
      <c r="J19" s="26" t="inlineStr">
        <is>
          <t>★★ Medium</t>
        </is>
      </c>
      <c r="K19" s="24" t="inlineStr">
        <is>
          <t>Proof</t>
        </is>
      </c>
      <c r="L19" s="25" t="inlineStr">
        <is>
          <t>✔ Solved</t>
        </is>
      </c>
      <c r="M19" s="6" t="inlineStr">
        <is>
          <t>2023-24 4(c); 2019-20 4(c); 2015-16 4(c); 2014-15 2(a); 2013-14 6(b); 2012-13 5(b)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2011-12</t>
        </is>
      </c>
      <c r="C20" s="24" t="inlineStr">
        <is>
          <t>CSE 211</t>
        </is>
      </c>
      <c r="D20" s="24" t="inlineStr">
        <is>
          <t>6(b)</t>
        </is>
      </c>
      <c r="E20" s="6" t="inlineStr">
        <is>
          <t>Prove not regular: {www | w ∈ {0,1}∗} and {1^(n²) | n ≥ 0}</t>
        </is>
      </c>
      <c r="F20" s="6" t="inlineStr">
        <is>
          <t>Pumping-lemma proofs — Lec06 Non Regulars, sl. 12–28</t>
        </is>
      </c>
      <c r="G20" s="24" t="inlineStr">
        <is>
          <t>L16</t>
        </is>
      </c>
      <c r="H20" s="24" t="n">
        <v>10</v>
      </c>
      <c r="I20" s="24" t="n">
        <v>15</v>
      </c>
      <c r="J20" s="26" t="inlineStr">
        <is>
          <t>★★ Medium</t>
        </is>
      </c>
      <c r="K20" s="24" t="inlineStr">
        <is>
          <t>Proof</t>
        </is>
      </c>
      <c r="L20" s="25" t="inlineStr">
        <is>
          <t>✔ Solved</t>
        </is>
      </c>
      <c r="M20" s="6" t="inlineStr">
        <is>
          <t>2023-24 4(c); 2019-20 4(c); 2015-16 4(c); 2014-15 2(a); 2013-14 6(b); 2012-13 5(b)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2010-11</t>
        </is>
      </c>
      <c r="C21" s="24" t="inlineStr">
        <is>
          <t>CSE 211</t>
        </is>
      </c>
      <c r="D21" s="24" t="inlineStr">
        <is>
          <t>6</t>
        </is>
      </c>
      <c r="E21" s="6" t="inlineStr">
        <is>
          <t>Is {0^n 1^m 0^n | m, n ≥ 0} regular? (pumping lemma)</t>
        </is>
      </c>
      <c r="F21" s="6" t="inlineStr">
        <is>
          <t>Pumping-lemma proofs — Lec06 Non Regulars, sl. 12–28</t>
        </is>
      </c>
      <c r="G21" s="24" t="inlineStr">
        <is>
          <t>L16</t>
        </is>
      </c>
      <c r="H21" s="24" t="n">
        <v>10</v>
      </c>
      <c r="I21" s="24" t="n">
        <v>11</v>
      </c>
      <c r="J21" s="26" t="inlineStr">
        <is>
          <t>★★ Medium</t>
        </is>
      </c>
      <c r="K21" s="24" t="inlineStr">
        <is>
          <t>Proof</t>
        </is>
      </c>
      <c r="L21" s="25" t="inlineStr">
        <is>
          <t>✔ Solved</t>
        </is>
      </c>
      <c r="M21" s="6" t="inlineStr">
        <is>
          <t>2023-24 4(c); 2019-20 4(c); 2015-16 4(c); 2014-15 2(a); 2013-14 6(b); 2012-13 5(b)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2009-10</t>
        </is>
      </c>
      <c r="C22" s="24" t="inlineStr">
        <is>
          <t>CSE 211</t>
        </is>
      </c>
      <c r="D22" s="24" t="inlineStr">
        <is>
          <t>5</t>
        </is>
      </c>
      <c r="E22" s="6" t="inlineStr">
        <is>
          <t>Pumping lemma: strings of 1s of prime length — regular or not?</t>
        </is>
      </c>
      <c r="F22" s="6" t="inlineStr">
        <is>
          <t>Pumping-lemma proofs — Lec06 Non Regulars, sl. 12–28</t>
        </is>
      </c>
      <c r="G22" s="24" t="inlineStr">
        <is>
          <t>L16</t>
        </is>
      </c>
      <c r="H22" s="24" t="n">
        <v>10</v>
      </c>
      <c r="I22" s="24" t="n">
        <v>8</v>
      </c>
      <c r="J22" s="26" t="inlineStr">
        <is>
          <t>★★ Medium</t>
        </is>
      </c>
      <c r="K22" s="24" t="inlineStr">
        <is>
          <t>Proof</t>
        </is>
      </c>
      <c r="L22" s="25" t="inlineStr">
        <is>
          <t>✔ Solved</t>
        </is>
      </c>
      <c r="M22" s="6" t="inlineStr">
        <is>
          <t>2016-17 4(c); 2007-08 3(a)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2008-09</t>
        </is>
      </c>
      <c r="C23" s="24" t="inlineStr">
        <is>
          <t>CSE 211</t>
        </is>
      </c>
      <c r="D23" s="24" t="inlineStr">
        <is>
          <t>5(b)</t>
        </is>
      </c>
      <c r="E23" s="6" t="inlineStr">
        <is>
          <t>Prove {0^n 1 0^n | n ≥ 1} is not regular</t>
        </is>
      </c>
      <c r="F23" s="6" t="inlineStr">
        <is>
          <t>Pumping-lemma proofs — Lec06 Non Regulars, sl. 12–28</t>
        </is>
      </c>
      <c r="G23" s="24" t="inlineStr">
        <is>
          <t>L16</t>
        </is>
      </c>
      <c r="H23" s="24" t="n">
        <v>8</v>
      </c>
      <c r="I23" s="24" t="n">
        <v>7</v>
      </c>
      <c r="J23" s="26" t="inlineStr">
        <is>
          <t>★★ Medium</t>
        </is>
      </c>
      <c r="K23" s="24" t="inlineStr">
        <is>
          <t>Proof</t>
        </is>
      </c>
      <c r="L23" s="25" t="inlineStr">
        <is>
          <t>✔ Solved</t>
        </is>
      </c>
      <c r="M23" s="6" t="inlineStr">
        <is>
          <t>2023-24 4(c); 2019-20 4(c); 2015-16 4(c); 2014-15 2(a); 2013-14 6(b); 2012-13 5(b)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2007-08</t>
        </is>
      </c>
      <c r="C24" s="24" t="inlineStr">
        <is>
          <t>CSE 211</t>
        </is>
      </c>
      <c r="D24" s="24" t="inlineStr">
        <is>
          <t>3(a)</t>
        </is>
      </c>
      <c r="E24" s="6" t="inlineStr">
        <is>
          <t>Pumping lemma: strings of 1s of prime length are not regular</t>
        </is>
      </c>
      <c r="F24" s="6" t="inlineStr">
        <is>
          <t>Pumping-lemma proofs — Lec06 Non Regulars, sl. 12–28</t>
        </is>
      </c>
      <c r="G24" s="24" t="inlineStr">
        <is>
          <t>L16</t>
        </is>
      </c>
      <c r="H24" s="24" t="n">
        <v>10</v>
      </c>
      <c r="I24" s="24" t="n">
        <v>4</v>
      </c>
      <c r="J24" s="26" t="inlineStr">
        <is>
          <t>★★ Medium</t>
        </is>
      </c>
      <c r="K24" s="24" t="inlineStr">
        <is>
          <t>Proof</t>
        </is>
      </c>
      <c r="L24" s="25" t="inlineStr">
        <is>
          <t>✔ Solved</t>
        </is>
      </c>
      <c r="M24" s="6" t="inlineStr">
        <is>
          <t>2016-17 4(c); 2009-10 5</t>
        </is>
      </c>
      <c r="N24" s="23" t="b">
        <v>0</v>
      </c>
      <c r="O24" s="24" t="n"/>
      <c r="P24" s="24" t="n"/>
      <c r="Q24" s="6" t="n"/>
    </row>
    <row r="25">
      <c r="A25" s="19" t="n">
        <v>22</v>
      </c>
      <c r="B25" s="19" t="inlineStr">
        <is>
          <t>2022-23</t>
        </is>
      </c>
      <c r="C25" s="19" t="inlineStr">
        <is>
          <t>CSE 211</t>
        </is>
      </c>
      <c r="D25" s="19" t="inlineStr">
        <is>
          <t>2(b)</t>
        </is>
      </c>
      <c r="E25" s="20" t="inlineStr">
        <is>
          <t>L = a^(2+3k) ∪ b^(10+12k): can 3, 5, 9, 24 be pumping lengths? Minimum pumping length</t>
        </is>
      </c>
      <c r="F25" s="20" t="inlineStr">
        <is>
          <t>Closure arguments, faulty proofs, pumping lengths — Lec06 Non Regulars, sl. 24–50</t>
        </is>
      </c>
      <c r="G25" s="19" t="inlineStr">
        <is>
          <t>L17</t>
        </is>
      </c>
      <c r="H25" s="19" t="n">
        <v>15</v>
      </c>
      <c r="I25" s="19" t="n">
        <v>50</v>
      </c>
      <c r="J25" s="21" t="inlineStr">
        <is>
          <t>★★★ High</t>
        </is>
      </c>
      <c r="K25" s="19" t="inlineStr">
        <is>
          <t>Proof</t>
        </is>
      </c>
      <c r="L25" s="25" t="inlineStr">
        <is>
          <t>✔ Solved</t>
        </is>
      </c>
      <c r="M25" s="20" t="inlineStr">
        <is>
          <t>—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2021-22</t>
        </is>
      </c>
      <c r="C26" s="19" t="inlineStr">
        <is>
          <t>CSE 211</t>
        </is>
      </c>
      <c r="D26" s="19" t="inlineStr">
        <is>
          <t>1(d)</t>
        </is>
      </c>
      <c r="E26" s="20" t="inlineStr">
        <is>
          <t>BLP's pumping-lemma arguments: palindromes, equal 0s/1s, {0^2n} — acceptable?</t>
        </is>
      </c>
      <c r="F26" s="20" t="inlineStr">
        <is>
          <t>Closure arguments, faulty proofs, pumping lengths — Lec06 Non Regulars, sl. 24–50</t>
        </is>
      </c>
      <c r="G26" s="19" t="inlineStr">
        <is>
          <t>L17</t>
        </is>
      </c>
      <c r="H26" s="19" t="n">
        <v>9</v>
      </c>
      <c r="I26" s="19" t="inlineStr">
        <is>
          <t>44–45</t>
        </is>
      </c>
      <c r="J26" s="21" t="inlineStr">
        <is>
          <t>★★★ High</t>
        </is>
      </c>
      <c r="K26" s="19" t="inlineStr">
        <is>
          <t>Proof</t>
        </is>
      </c>
      <c r="L26" s="25" t="inlineStr">
        <is>
          <t>✔ Solved</t>
        </is>
      </c>
      <c r="M26" s="20" t="inlineStr">
        <is>
          <t>2020 (Jan term) 1(b); 2019-20 1(a); 2017-18 3(b)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2020 (Jan term)</t>
        </is>
      </c>
      <c r="C27" s="19" t="inlineStr">
        <is>
          <t>CSE 211</t>
        </is>
      </c>
      <c r="D27" s="19" t="inlineStr">
        <is>
          <t>1(b)</t>
        </is>
      </c>
      <c r="E27" s="20" t="inlineStr">
        <is>
          <t>Skye's opinions: {ww} with y = (00)^k; {n0 = 3n1} with y = 0001 — what is wrong?</t>
        </is>
      </c>
      <c r="F27" s="20" t="inlineStr">
        <is>
          <t>Closure arguments, faulty proofs, pumping lengths — Lec06 Non Regulars, sl. 24–50</t>
        </is>
      </c>
      <c r="G27" s="19" t="inlineStr">
        <is>
          <t>L17</t>
        </is>
      </c>
      <c r="H27" s="19" t="n">
        <v>12</v>
      </c>
      <c r="I27" s="19" t="n">
        <v>36</v>
      </c>
      <c r="J27" s="21" t="inlineStr">
        <is>
          <t>★★★ High</t>
        </is>
      </c>
      <c r="K27" s="19" t="inlineStr">
        <is>
          <t>Proof</t>
        </is>
      </c>
      <c r="L27" s="25" t="inlineStr">
        <is>
          <t>✔ Solved</t>
        </is>
      </c>
      <c r="M27" s="20" t="inlineStr">
        <is>
          <t>2021-22 1(d); 2019-20 1(a); 2017-18 3(b)</t>
        </is>
      </c>
      <c r="N27" s="23" t="b">
        <v>0</v>
      </c>
      <c r="O27" s="19" t="n"/>
      <c r="P27" s="19" t="n"/>
      <c r="Q27" s="20" t="n"/>
    </row>
    <row r="28">
      <c r="A28" s="19" t="n">
        <v>25</v>
      </c>
      <c r="B28" s="19" t="inlineStr">
        <is>
          <t>2019-20</t>
        </is>
      </c>
      <c r="C28" s="19" t="inlineStr">
        <is>
          <t>CSE 211</t>
        </is>
      </c>
      <c r="D28" s="19" t="inlineStr">
        <is>
          <t>1(a)</t>
        </is>
      </c>
      <c r="E28" s="20" t="inlineStr">
        <is>
          <t>Primes not regular: 'Given p, let w = a^p…' — acceptable?</t>
        </is>
      </c>
      <c r="F28" s="20" t="inlineStr">
        <is>
          <t>Closure arguments, faulty proofs, pumping lengths — Lec06 Non Regulars, sl. 24–50</t>
        </is>
      </c>
      <c r="G28" s="19" t="inlineStr">
        <is>
          <t>L17</t>
        </is>
      </c>
      <c r="H28" s="19" t="n">
        <v>5</v>
      </c>
      <c r="I28" s="19" t="n">
        <v>40</v>
      </c>
      <c r="J28" s="21" t="inlineStr">
        <is>
          <t>★★★ High</t>
        </is>
      </c>
      <c r="K28" s="19" t="inlineStr">
        <is>
          <t>Proof</t>
        </is>
      </c>
      <c r="L28" s="25" t="inlineStr">
        <is>
          <t>✔ Solved</t>
        </is>
      </c>
      <c r="M28" s="20" t="inlineStr">
        <is>
          <t>2021-22 1(d); 2020 (Jan term) 1(b); 2017-18 3(b)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2017-18</t>
        </is>
      </c>
      <c r="C29" s="19" t="inlineStr">
        <is>
          <t>CSE 211</t>
        </is>
      </c>
      <c r="D29" s="19" t="inlineStr">
        <is>
          <t>3(b)</t>
        </is>
      </c>
      <c r="E29" s="20" t="inlineStr">
        <is>
          <t>Skye's pumping-lemma opinions on {ww}, {n0 = 2n1}, {0^n1^n0^n} — what is wrong?</t>
        </is>
      </c>
      <c r="F29" s="20" t="inlineStr">
        <is>
          <t>Closure arguments, faulty proofs, pumping lengths — Lec06 Non Regulars, sl. 24–50</t>
        </is>
      </c>
      <c r="G29" s="19" t="inlineStr">
        <is>
          <t>L17</t>
        </is>
      </c>
      <c r="H29" s="19" t="n">
        <v>17</v>
      </c>
      <c r="I29" s="19" t="inlineStr">
        <is>
          <t>32–33</t>
        </is>
      </c>
      <c r="J29" s="26" t="inlineStr">
        <is>
          <t>★★ Medium</t>
        </is>
      </c>
      <c r="K29" s="19" t="inlineStr">
        <is>
          <t>Proof</t>
        </is>
      </c>
      <c r="L29" s="25" t="inlineStr">
        <is>
          <t>✔ Solved</t>
        </is>
      </c>
      <c r="M29" s="20" t="inlineStr">
        <is>
          <t>2021-22 1(d); 2020 (Jan term) 1(b); 2019-20 1(a)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2013-14</t>
        </is>
      </c>
      <c r="C30" s="19" t="inlineStr">
        <is>
          <t>CSE 211</t>
        </is>
      </c>
      <c r="D30" s="19" t="inlineStr">
        <is>
          <t>8(c)</t>
        </is>
      </c>
      <c r="E30" s="20" t="inlineStr">
        <is>
          <t>Counter-example: every subset of a regular language is regular</t>
        </is>
      </c>
      <c r="F30" s="20" t="inlineStr">
        <is>
          <t>Closure arguments, faulty proofs, pumping lengths — Lec06 Non Regulars, sl. 24–50</t>
        </is>
      </c>
      <c r="G30" s="19" t="inlineStr">
        <is>
          <t>L17</t>
        </is>
      </c>
      <c r="H30" s="19" t="n">
        <v>6</v>
      </c>
      <c r="I30" s="19" t="n">
        <v>21</v>
      </c>
      <c r="J30" s="26" t="inlineStr">
        <is>
          <t>★★ Medium</t>
        </is>
      </c>
      <c r="K30" s="19" t="inlineStr">
        <is>
          <t>Proof</t>
        </is>
      </c>
      <c r="L30" s="25" t="inlineStr">
        <is>
          <t>✔ Solved</t>
        </is>
      </c>
      <c r="M30" s="20" t="inlineStr">
        <is>
          <t>2013-14 5(a)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2006-07</t>
        </is>
      </c>
      <c r="C31" s="19" t="inlineStr">
        <is>
          <t>CSE 211</t>
        </is>
      </c>
      <c r="D31" s="19" t="inlineStr">
        <is>
          <t>3(a)</t>
        </is>
      </c>
      <c r="E31" s="20" t="inlineStr">
        <is>
          <t>Pumping lemma: strings with equal numbers of 0s and 1s (any order) are not regular</t>
        </is>
      </c>
      <c r="F31" s="20" t="inlineStr">
        <is>
          <t>Closure arguments, faulty proofs, pumping lengths — Lec06 Non Regulars, sl. 24–50</t>
        </is>
      </c>
      <c r="G31" s="19" t="inlineStr">
        <is>
          <t>L17</t>
        </is>
      </c>
      <c r="H31" s="19" t="n">
        <v>10</v>
      </c>
      <c r="I31" s="19" t="n">
        <v>1</v>
      </c>
      <c r="J31" s="26" t="inlineStr">
        <is>
          <t>★★ Medium</t>
        </is>
      </c>
      <c r="K31" s="19" t="inlineStr">
        <is>
          <t>Proof</t>
        </is>
      </c>
      <c r="L31" s="25" t="inlineStr">
        <is>
          <t>✔ Solved</t>
        </is>
      </c>
      <c r="M31" s="20" t="inlineStr">
        <is>
          <t>2023-24 4(c); 2019-20 4(c); 2015-16 4(c); 2014-15 2(a); 2013-14 6(b); 2012-13 5(b)</t>
        </is>
      </c>
      <c r="N31" s="23" t="b">
        <v>0</v>
      </c>
      <c r="O31" s="19" t="n"/>
      <c r="P31" s="19" t="n"/>
      <c r="Q31" s="20" t="n"/>
    </row>
  </sheetData>
  <autoFilter ref="A3:Q31"/>
  <conditionalFormatting sqref="A4:Q31">
    <cfRule type="expression" priority="1" dxfId="0">
      <formula>$N4=TRUE</formula>
    </cfRule>
  </conditionalFormatting>
  <conditionalFormatting sqref="O4:O3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31" showDropDown="0" showInputMessage="0" showErrorMessage="0" allowBlank="1" type="list">
      <formula1>"TRUE,FALSE"</formula1>
    </dataValidation>
    <dataValidation sqref="O4:O3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Lec07 — Context-Free Grammars</t>
        </is>
      </c>
    </row>
    <row r="2">
      <c r="A2" s="2" t="inlineStr">
        <is>
          <t>Note file: CSE211_Hakim_CFG_Notes.docx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211</t>
        </is>
      </c>
      <c r="D4" s="19" t="inlineStr">
        <is>
          <t>3(c)</t>
        </is>
      </c>
      <c r="E4" s="20" t="inlineStr">
        <is>
          <t>Why are CFGs called 'context free'? Examples</t>
        </is>
      </c>
      <c r="F4" s="20" t="inlineStr">
        <is>
          <t>Grammars, derivations, parse trees — Lec07 CFG, sl. 1–29</t>
        </is>
      </c>
      <c r="G4" s="19" t="inlineStr">
        <is>
          <t>L18</t>
        </is>
      </c>
      <c r="H4" s="19" t="n">
        <v>7</v>
      </c>
      <c r="I4" s="19" t="inlineStr">
        <is>
          <t>22 batch p.2</t>
        </is>
      </c>
      <c r="J4" s="21" t="inlineStr">
        <is>
          <t>★★★ High</t>
        </is>
      </c>
      <c r="K4" s="19" t="inlineStr">
        <is>
          <t>Theory</t>
        </is>
      </c>
      <c r="L4" s="25" t="inlineStr">
        <is>
          <t>✔ Solved</t>
        </is>
      </c>
      <c r="M4" s="20" t="inlineStr">
        <is>
          <t>2021-22 1(e)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2021-22</t>
        </is>
      </c>
      <c r="C5" s="19" t="inlineStr">
        <is>
          <t>CSE 211</t>
        </is>
      </c>
      <c r="D5" s="19" t="inlineStr">
        <is>
          <t>1(e)</t>
        </is>
      </c>
      <c r="E5" s="20" t="inlineStr">
        <is>
          <t>Why are context-free grammars called 'context free'?</t>
        </is>
      </c>
      <c r="F5" s="20" t="inlineStr">
        <is>
          <t>Grammars, derivations, parse trees — Lec07 CFG, sl. 1–29</t>
        </is>
      </c>
      <c r="G5" s="19" t="inlineStr">
        <is>
          <t>L18</t>
        </is>
      </c>
      <c r="H5" s="19" t="n">
        <v>3</v>
      </c>
      <c r="I5" s="19" t="n">
        <v>45</v>
      </c>
      <c r="J5" s="21" t="inlineStr">
        <is>
          <t>★★★ High</t>
        </is>
      </c>
      <c r="K5" s="19" t="inlineStr">
        <is>
          <t>Theory</t>
        </is>
      </c>
      <c r="L5" s="25" t="inlineStr">
        <is>
          <t>✔ Solved</t>
        </is>
      </c>
      <c r="M5" s="20" t="inlineStr">
        <is>
          <t>2023-24 3(c)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2016-17</t>
        </is>
      </c>
      <c r="C6" s="19" t="inlineStr">
        <is>
          <t>CSE 211</t>
        </is>
      </c>
      <c r="D6" s="19" t="inlineStr">
        <is>
          <t>8(c)</t>
        </is>
      </c>
      <c r="E6" s="20" t="inlineStr">
        <is>
          <t>CFG that generates the given EXPR/TERM/FACTOR parse tree of a + a × a</t>
        </is>
      </c>
      <c r="F6" s="20" t="inlineStr">
        <is>
          <t>Grammars, derivations, parse trees — Lec07 CFG, sl. 1–29</t>
        </is>
      </c>
      <c r="G6" s="19" t="inlineStr">
        <is>
          <t>L18</t>
        </is>
      </c>
      <c r="H6" s="19" t="n">
        <v>10</v>
      </c>
      <c r="I6" s="19" t="n">
        <v>31</v>
      </c>
      <c r="J6" s="26" t="inlineStr">
        <is>
          <t>★★ Medium</t>
        </is>
      </c>
      <c r="K6" s="19" t="inlineStr">
        <is>
          <t>Derivation</t>
        </is>
      </c>
      <c r="L6" s="22" t="inlineStr">
        <is>
          <t>◐ Method</t>
        </is>
      </c>
      <c r="M6" s="20" t="inlineStr">
        <is>
          <t>2009-10 6; 2007-08 1(a)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2015-16</t>
        </is>
      </c>
      <c r="C7" s="19" t="inlineStr">
        <is>
          <t>CSE 211</t>
        </is>
      </c>
      <c r="D7" s="19" t="inlineStr">
        <is>
          <t>4(a)</t>
        </is>
      </c>
      <c r="E7" s="20" t="inlineStr">
        <is>
          <t>G: R→XRX|S, S→aTb|bTa, T→XTX|X|ε, X→a|b — variables, terminals, strings in/not in L(G), description, T/F S1–S9</t>
        </is>
      </c>
      <c r="F7" s="20" t="inlineStr">
        <is>
          <t>Grammars, derivations, parse trees — Lec07 CFG, sl. 1–29</t>
        </is>
      </c>
      <c r="G7" s="19" t="inlineStr">
        <is>
          <t>L18</t>
        </is>
      </c>
      <c r="H7" s="19" t="n">
        <v>7.33</v>
      </c>
      <c r="I7" s="19" t="inlineStr">
        <is>
          <t>25–26</t>
        </is>
      </c>
      <c r="J7" s="26" t="inlineStr">
        <is>
          <t>★★ Medium</t>
        </is>
      </c>
      <c r="K7" s="19" t="inlineStr">
        <is>
          <t>Theory</t>
        </is>
      </c>
      <c r="L7" s="25" t="inlineStr">
        <is>
          <t>✔ Solved</t>
        </is>
      </c>
      <c r="M7" s="20" t="inlineStr">
        <is>
          <t>2014-15 5(a)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2014-15</t>
        </is>
      </c>
      <c r="C8" s="19" t="inlineStr">
        <is>
          <t>CSE 211</t>
        </is>
      </c>
      <c r="D8" s="19" t="inlineStr">
        <is>
          <t>5(a)</t>
        </is>
      </c>
      <c r="E8" s="20" t="inlineStr">
        <is>
          <t>Language of S→abScB|ε, B→bB|b</t>
        </is>
      </c>
      <c r="F8" s="20" t="inlineStr">
        <is>
          <t>Grammars, derivations, parse trees — Lec07 CFG, sl. 1–29</t>
        </is>
      </c>
      <c r="G8" s="19" t="inlineStr">
        <is>
          <t>L18</t>
        </is>
      </c>
      <c r="H8" s="19" t="n">
        <v>7</v>
      </c>
      <c r="I8" s="19" t="n">
        <v>23</v>
      </c>
      <c r="J8" s="26" t="inlineStr">
        <is>
          <t>★★ Medium</t>
        </is>
      </c>
      <c r="K8" s="19" t="inlineStr">
        <is>
          <t>Theory</t>
        </is>
      </c>
      <c r="L8" s="25" t="inlineStr">
        <is>
          <t>✔ Solved</t>
        </is>
      </c>
      <c r="M8" s="20" t="inlineStr">
        <is>
          <t>2015-16 4(a)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2011-12</t>
        </is>
      </c>
      <c r="C9" s="19" t="inlineStr">
        <is>
          <t>CSE 211</t>
        </is>
      </c>
      <c r="D9" s="19" t="inlineStr">
        <is>
          <t>8(c)</t>
        </is>
      </c>
      <c r="E9" s="20" t="inlineStr">
        <is>
          <t>E→E+T|T, T→E∗F|F, F→(E)|a|b: derivation and parse tree of ((a+b)∗b)</t>
        </is>
      </c>
      <c r="F9" s="20" t="inlineStr">
        <is>
          <t>Grammars, derivations, parse trees — Lec07 CFG, sl. 1–29</t>
        </is>
      </c>
      <c r="G9" s="19" t="inlineStr">
        <is>
          <t>L18</t>
        </is>
      </c>
      <c r="H9" s="19" t="n">
        <v>7.33</v>
      </c>
      <c r="I9" s="19" t="n">
        <v>16</v>
      </c>
      <c r="J9" s="26" t="inlineStr">
        <is>
          <t>★★ Medium</t>
        </is>
      </c>
      <c r="K9" s="19" t="inlineStr">
        <is>
          <t>Derivation</t>
        </is>
      </c>
      <c r="L9" s="25" t="inlineStr">
        <is>
          <t>✔ Solved</t>
        </is>
      </c>
      <c r="M9" s="20" t="inlineStr">
        <is>
          <t>2010-11 7; 2006-07 6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2010-11</t>
        </is>
      </c>
      <c r="C10" s="19" t="inlineStr">
        <is>
          <t>CSE 211</t>
        </is>
      </c>
      <c r="D10" s="19" t="inlineStr">
        <is>
          <t>7</t>
        </is>
      </c>
      <c r="E10" s="20" t="inlineStr">
        <is>
          <t>G: S→AA, A→AAA|a|bA|Ab — describe a derivation of b^m a b^n a b^p</t>
        </is>
      </c>
      <c r="F10" s="20" t="inlineStr">
        <is>
          <t>Grammars, derivations, parse trees — Lec07 CFG, sl. 1–29</t>
        </is>
      </c>
      <c r="G10" s="19" t="inlineStr">
        <is>
          <t>L18</t>
        </is>
      </c>
      <c r="H10" s="19" t="n">
        <v>10</v>
      </c>
      <c r="I10" s="19" t="n">
        <v>12</v>
      </c>
      <c r="J10" s="26" t="inlineStr">
        <is>
          <t>★★ Medium</t>
        </is>
      </c>
      <c r="K10" s="19" t="inlineStr">
        <is>
          <t>Derivation</t>
        </is>
      </c>
      <c r="L10" s="25" t="inlineStr">
        <is>
          <t>✔ Solved</t>
        </is>
      </c>
      <c r="M10" s="20" t="inlineStr">
        <is>
          <t>2011-12 8(c); 2006-07 6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2009-10</t>
        </is>
      </c>
      <c r="C11" s="19" t="inlineStr">
        <is>
          <t>CSE 211</t>
        </is>
      </c>
      <c r="D11" s="19" t="inlineStr">
        <is>
          <t>6</t>
        </is>
      </c>
      <c r="E11" s="20" t="inlineStr">
        <is>
          <t>Grammar &lt;pop&gt;→[&lt;bop&gt;,&lt;pop&gt;]|&lt;bop&gt;, &lt;bop&gt;→&lt;boop&gt;|(&lt;pop&gt;), &lt;boop&gt;→x|y|z: terminals/non-terminals, start symbol, parse tree for a sentence [sentence illegible]</t>
        </is>
      </c>
      <c r="F11" s="20" t="inlineStr">
        <is>
          <t>Grammars, derivations, parse trees — Lec07 CFG, sl. 1–29</t>
        </is>
      </c>
      <c r="G11" s="19" t="inlineStr">
        <is>
          <t>L18</t>
        </is>
      </c>
      <c r="H11" s="19" t="n">
        <v>10</v>
      </c>
      <c r="I11" s="19" t="inlineStr">
        <is>
          <t>8–9</t>
        </is>
      </c>
      <c r="J11" s="26" t="inlineStr">
        <is>
          <t>★★ Medium</t>
        </is>
      </c>
      <c r="K11" s="19" t="inlineStr">
        <is>
          <t>Derivation</t>
        </is>
      </c>
      <c r="L11" s="22" t="inlineStr">
        <is>
          <t>◐ Method</t>
        </is>
      </c>
      <c r="M11" s="20" t="inlineStr">
        <is>
          <t>2016-17 8(c); 2007-08 1(a)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2009-10</t>
        </is>
      </c>
      <c r="C12" s="19" t="inlineStr">
        <is>
          <t>CSE 211</t>
        </is>
      </c>
      <c r="D12" s="19" t="inlineStr">
        <is>
          <t>8</t>
        </is>
      </c>
      <c r="E12" s="20" t="inlineStr">
        <is>
          <t>Recursive inference vs derivation for CFGs</t>
        </is>
      </c>
      <c r="F12" s="20" t="inlineStr">
        <is>
          <t>Grammars, derivations, parse trees — Lec07 CFG, sl. 1–29</t>
        </is>
      </c>
      <c r="G12" s="19" t="inlineStr">
        <is>
          <t>L18</t>
        </is>
      </c>
      <c r="H12" s="19" t="n">
        <v>10</v>
      </c>
      <c r="I12" s="19" t="n">
        <v>9</v>
      </c>
      <c r="J12" s="26" t="inlineStr">
        <is>
          <t>★★ Medium</t>
        </is>
      </c>
      <c r="K12" s="19" t="inlineStr">
        <is>
          <t>Theory</t>
        </is>
      </c>
      <c r="L12" s="22" t="inlineStr">
        <is>
          <t>◐ Method</t>
        </is>
      </c>
      <c r="M12" s="20" t="inlineStr">
        <is>
          <t>2007-08 4(b)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2007-08</t>
        </is>
      </c>
      <c r="C13" s="19" t="inlineStr">
        <is>
          <t>CSE 211</t>
        </is>
      </c>
      <c r="D13" s="19" t="inlineStr">
        <is>
          <t>1(a)</t>
        </is>
      </c>
      <c r="E13" s="20" t="inlineStr">
        <is>
          <t>Properties of parse trees with examples</t>
        </is>
      </c>
      <c r="F13" s="20" t="inlineStr">
        <is>
          <t>Grammars, derivations, parse trees — Lec07 CFG, sl. 1–29</t>
        </is>
      </c>
      <c r="G13" s="19" t="inlineStr">
        <is>
          <t>L18</t>
        </is>
      </c>
      <c r="H13" s="19" t="n">
        <v>10</v>
      </c>
      <c r="I13" s="19" t="n">
        <v>4</v>
      </c>
      <c r="J13" s="26" t="inlineStr">
        <is>
          <t>★★ Medium</t>
        </is>
      </c>
      <c r="K13" s="19" t="inlineStr">
        <is>
          <t>Theory</t>
        </is>
      </c>
      <c r="L13" s="22" t="inlineStr">
        <is>
          <t>◐ Method</t>
        </is>
      </c>
      <c r="M13" s="20" t="inlineStr">
        <is>
          <t>2016-17 8(c); 2009-10 6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2007-08</t>
        </is>
      </c>
      <c r="C14" s="19" t="inlineStr">
        <is>
          <t>CSE 211</t>
        </is>
      </c>
      <c r="D14" s="19" t="inlineStr">
        <is>
          <t>4(b)</t>
        </is>
      </c>
      <c r="E14" s="20" t="inlineStr">
        <is>
          <t>Recursive inference vs derivation for CFGs — differences and similarities</t>
        </is>
      </c>
      <c r="F14" s="20" t="inlineStr">
        <is>
          <t>Grammars, derivations, parse trees — Lec07 CFG, sl. 1–29</t>
        </is>
      </c>
      <c r="G14" s="19" t="inlineStr">
        <is>
          <t>L18</t>
        </is>
      </c>
      <c r="H14" s="19" t="n">
        <v>8</v>
      </c>
      <c r="I14" s="19" t="n">
        <v>4</v>
      </c>
      <c r="J14" s="26" t="inlineStr">
        <is>
          <t>★★ Medium</t>
        </is>
      </c>
      <c r="K14" s="19" t="inlineStr">
        <is>
          <t>Theory</t>
        </is>
      </c>
      <c r="L14" s="22" t="inlineStr">
        <is>
          <t>◐ Method</t>
        </is>
      </c>
      <c r="M14" s="20" t="inlineStr">
        <is>
          <t>2009-10 8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2006-07</t>
        </is>
      </c>
      <c r="C15" s="19" t="inlineStr">
        <is>
          <t>CSE 211</t>
        </is>
      </c>
      <c r="D15" s="19" t="inlineStr">
        <is>
          <t>6</t>
        </is>
      </c>
      <c r="E15" s="20" t="inlineStr">
        <is>
          <t>Parse tree, yield; declaration grammar D→TL; … : leftmost derivation of bin_ab00=101,b1,b1 and rightmost of bin_a=10,b=1</t>
        </is>
      </c>
      <c r="F15" s="20" t="inlineStr">
        <is>
          <t>Grammars, derivations, parse trees — Lec07 CFG, sl. 1–29</t>
        </is>
      </c>
      <c r="G15" s="19" t="inlineStr">
        <is>
          <t>L18</t>
        </is>
      </c>
      <c r="H15" s="19" t="n">
        <v>10</v>
      </c>
      <c r="I15" s="19" t="n">
        <v>2</v>
      </c>
      <c r="J15" s="26" t="inlineStr">
        <is>
          <t>★★ Medium</t>
        </is>
      </c>
      <c r="K15" s="19" t="inlineStr">
        <is>
          <t>Derivation</t>
        </is>
      </c>
      <c r="L15" s="25" t="inlineStr">
        <is>
          <t>✔ Solved</t>
        </is>
      </c>
      <c r="M15" s="20" t="inlineStr">
        <is>
          <t>2011-12 8(c); 2010-11 7</t>
        </is>
      </c>
      <c r="N15" s="23" t="b">
        <v>0</v>
      </c>
      <c r="O15" s="19" t="n"/>
      <c r="P15" s="19" t="n"/>
      <c r="Q15" s="20" t="n"/>
    </row>
    <row r="16">
      <c r="A16" s="24" t="n">
        <v>13</v>
      </c>
      <c r="B16" s="24" t="inlineStr">
        <is>
          <t>2022-23</t>
        </is>
      </c>
      <c r="C16" s="24" t="inlineStr">
        <is>
          <t>CSE 211</t>
        </is>
      </c>
      <c r="D16" s="24" t="inlineStr">
        <is>
          <t>5</t>
        </is>
      </c>
      <c r="E16" s="6" t="inlineStr">
        <is>
          <t>CFGs: balanced parentheses; at least two 1s</t>
        </is>
      </c>
      <c r="F16" s="6" t="inlineStr">
        <is>
          <t>Designing CFGs — Lec07 CFG, sl. 30–52</t>
        </is>
      </c>
      <c r="G16" s="24" t="inlineStr">
        <is>
          <t>L19</t>
        </is>
      </c>
      <c r="H16" s="24" t="n">
        <v>15</v>
      </c>
      <c r="I16" s="24" t="n">
        <v>52</v>
      </c>
      <c r="J16" s="21" t="inlineStr">
        <is>
          <t>★★★ High</t>
        </is>
      </c>
      <c r="K16" s="24" t="inlineStr">
        <is>
          <t>Design</t>
        </is>
      </c>
      <c r="L16" s="25" t="inlineStr">
        <is>
          <t>✔ Solved</t>
        </is>
      </c>
      <c r="M16" s="6" t="inlineStr">
        <is>
          <t>2020 (Jan term) 5; 2019-20 5; 2017-18 5; 2009-10 9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2021-22</t>
        </is>
      </c>
      <c r="C17" s="24" t="inlineStr">
        <is>
          <t>CSE 211</t>
        </is>
      </c>
      <c r="D17" s="24" t="inlineStr">
        <is>
          <t>2(d)</t>
        </is>
      </c>
      <c r="E17" s="6" t="inlineStr">
        <is>
          <t>CFG for {a^i b^j c^k | i ≠ j + k}, with design idea</t>
        </is>
      </c>
      <c r="F17" s="6" t="inlineStr">
        <is>
          <t>Designing CFGs — Lec07 CFG, sl. 30–52</t>
        </is>
      </c>
      <c r="G17" s="24" t="inlineStr">
        <is>
          <t>L19</t>
        </is>
      </c>
      <c r="H17" s="24" t="n">
        <v>15</v>
      </c>
      <c r="I17" s="24" t="n">
        <v>45</v>
      </c>
      <c r="J17" s="21" t="inlineStr">
        <is>
          <t>★★★ High</t>
        </is>
      </c>
      <c r="K17" s="24" t="inlineStr">
        <is>
          <t>Design</t>
        </is>
      </c>
      <c r="L17" s="25" t="inlineStr">
        <is>
          <t>✔ Solved</t>
        </is>
      </c>
      <c r="M17" s="6" t="inlineStr">
        <is>
          <t>2016-17 5(a); 2015-16 4(b); 2014-15 5(b); 2013-14 7(b); 2011-12 8(b); 2010-11 8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2021-22</t>
        </is>
      </c>
      <c r="C18" s="24" t="inlineStr">
        <is>
          <t>CSE 211</t>
        </is>
      </c>
      <c r="D18" s="24" t="inlineStr">
        <is>
          <t>4(c)</t>
        </is>
      </c>
      <c r="E18" s="6" t="inlineStr">
        <is>
          <t>A B Sloppy's two CFGs for {a^ib^jc^k | i = j or j = k} — find the flaws</t>
        </is>
      </c>
      <c r="F18" s="6" t="inlineStr">
        <is>
          <t>Designing CFGs — Lec07 CFG, sl. 30–52</t>
        </is>
      </c>
      <c r="G18" s="24" t="inlineStr">
        <is>
          <t>L19</t>
        </is>
      </c>
      <c r="H18" s="24" t="n">
        <v>9</v>
      </c>
      <c r="I18" s="24" t="n">
        <v>46</v>
      </c>
      <c r="J18" s="21" t="inlineStr">
        <is>
          <t>★★★ High</t>
        </is>
      </c>
      <c r="K18" s="24" t="inlineStr">
        <is>
          <t>Design</t>
        </is>
      </c>
      <c r="L18" s="25" t="inlineStr">
        <is>
          <t>✔ Solved</t>
        </is>
      </c>
      <c r="M18" s="6" t="inlineStr">
        <is>
          <t>—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2020 (Jan term)</t>
        </is>
      </c>
      <c r="C19" s="24" t="inlineStr">
        <is>
          <t>CSE 211</t>
        </is>
      </c>
      <c r="D19" s="24" t="inlineStr">
        <is>
          <t>5</t>
        </is>
      </c>
      <c r="E19" s="6" t="inlineStr">
        <is>
          <t>CFGs: at least one 0 and one 1; equal numbers of 0s and 1s</t>
        </is>
      </c>
      <c r="F19" s="6" t="inlineStr">
        <is>
          <t>Designing CFGs — Lec07 CFG, sl. 30–52</t>
        </is>
      </c>
      <c r="G19" s="24" t="inlineStr">
        <is>
          <t>L19</t>
        </is>
      </c>
      <c r="H19" s="24" t="n">
        <v>15</v>
      </c>
      <c r="I19" s="24" t="n">
        <v>38</v>
      </c>
      <c r="J19" s="21" t="inlineStr">
        <is>
          <t>★★★ High</t>
        </is>
      </c>
      <c r="K19" s="24" t="inlineStr">
        <is>
          <t>Design</t>
        </is>
      </c>
      <c r="L19" s="25" t="inlineStr">
        <is>
          <t>✔ Solved</t>
        </is>
      </c>
      <c r="M19" s="6" t="inlineStr">
        <is>
          <t>2022-23 5; 2019-20 5; 2017-18 5; 2009-10 9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2019-20</t>
        </is>
      </c>
      <c r="C20" s="24" t="inlineStr">
        <is>
          <t>CSE 211</t>
        </is>
      </c>
      <c r="D20" s="24" t="inlineStr">
        <is>
          <t>5</t>
        </is>
      </c>
      <c r="E20" s="6" t="inlineStr">
        <is>
          <t>CFGs: balanced parentheses; equal numbers of 0s and 1s</t>
        </is>
      </c>
      <c r="F20" s="6" t="inlineStr">
        <is>
          <t>Designing CFGs — Lec07 CFG, sl. 30–52</t>
        </is>
      </c>
      <c r="G20" s="24" t="inlineStr">
        <is>
          <t>L19</t>
        </is>
      </c>
      <c r="H20" s="24" t="n">
        <v>15</v>
      </c>
      <c r="I20" s="24" t="n">
        <v>41</v>
      </c>
      <c r="J20" s="21" t="inlineStr">
        <is>
          <t>★★★ High</t>
        </is>
      </c>
      <c r="K20" s="24" t="inlineStr">
        <is>
          <t>Design</t>
        </is>
      </c>
      <c r="L20" s="25" t="inlineStr">
        <is>
          <t>✔ Solved</t>
        </is>
      </c>
      <c r="M20" s="6" t="inlineStr">
        <is>
          <t>2022-23 5; 2020 (Jan term) 5; 2017-18 5; 2009-10 9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2017-18</t>
        </is>
      </c>
      <c r="C21" s="24" t="inlineStr">
        <is>
          <t>CSE 211</t>
        </is>
      </c>
      <c r="D21" s="24" t="inlineStr">
        <is>
          <t>5</t>
        </is>
      </c>
      <c r="E21" s="6" t="inlineStr">
        <is>
          <t>CFGs: equal numbers of 0s and 1s; at least three 1s</t>
        </is>
      </c>
      <c r="F21" s="6" t="inlineStr">
        <is>
          <t>Designing CFGs — Lec07 CFG, sl. 30–52</t>
        </is>
      </c>
      <c r="G21" s="24" t="inlineStr">
        <is>
          <t>L19</t>
        </is>
      </c>
      <c r="H21" s="24" t="n">
        <v>15</v>
      </c>
      <c r="I21" s="24" t="n">
        <v>34</v>
      </c>
      <c r="J21" s="26" t="inlineStr">
        <is>
          <t>★★ Medium</t>
        </is>
      </c>
      <c r="K21" s="24" t="inlineStr">
        <is>
          <t>Design</t>
        </is>
      </c>
      <c r="L21" s="25" t="inlineStr">
        <is>
          <t>✔ Solved</t>
        </is>
      </c>
      <c r="M21" s="6" t="inlineStr">
        <is>
          <t>2022-23 5; 2020 (Jan term) 5; 2019-20 5; 2009-10 9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2016-17</t>
        </is>
      </c>
      <c r="C22" s="24" t="inlineStr">
        <is>
          <t>CSE 211</t>
        </is>
      </c>
      <c r="D22" s="24" t="inlineStr">
        <is>
          <t>5(a)</t>
        </is>
      </c>
      <c r="E22" s="6" t="inlineStr">
        <is>
          <t>CFGs over {0,1}: odd length; at least three 1s; odd length with middle 0</t>
        </is>
      </c>
      <c r="F22" s="6" t="inlineStr">
        <is>
          <t>Designing CFGs — Lec07 CFG, sl. 30–52</t>
        </is>
      </c>
      <c r="G22" s="24" t="inlineStr">
        <is>
          <t>L19</t>
        </is>
      </c>
      <c r="H22" s="24" t="n">
        <v>15</v>
      </c>
      <c r="I22" s="24" t="n">
        <v>30</v>
      </c>
      <c r="J22" s="26" t="inlineStr">
        <is>
          <t>★★ Medium</t>
        </is>
      </c>
      <c r="K22" s="24" t="inlineStr">
        <is>
          <t>Design</t>
        </is>
      </c>
      <c r="L22" s="25" t="inlineStr">
        <is>
          <t>✔ Solved</t>
        </is>
      </c>
      <c r="M22" s="6" t="inlineStr">
        <is>
          <t>2021-22 2(d); 2015-16 4(b); 2014-15 5(b); 2013-14 7(b); 2011-12 8(b); 2010-11 8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2016-17</t>
        </is>
      </c>
      <c r="C23" s="24" t="inlineStr">
        <is>
          <t>CSE 211</t>
        </is>
      </c>
      <c r="D23" s="24" t="inlineStr">
        <is>
          <t>8(b)</t>
        </is>
      </c>
      <c r="E23" s="6" t="inlineStr">
        <is>
          <t>CFG for {w ∈ {0,1}∗ | w = w^R and |w| divisible by 4}</t>
        </is>
      </c>
      <c r="F23" s="6" t="inlineStr">
        <is>
          <t>Designing CFGs — Lec07 CFG, sl. 30–52</t>
        </is>
      </c>
      <c r="G23" s="24" t="inlineStr">
        <is>
          <t>L19</t>
        </is>
      </c>
      <c r="H23" s="24" t="n">
        <v>10</v>
      </c>
      <c r="I23" s="24" t="n">
        <v>31</v>
      </c>
      <c r="J23" s="26" t="inlineStr">
        <is>
          <t>★★ Medium</t>
        </is>
      </c>
      <c r="K23" s="24" t="inlineStr">
        <is>
          <t>Design</t>
        </is>
      </c>
      <c r="L23" s="25" t="inlineStr">
        <is>
          <t>✔ Solved</t>
        </is>
      </c>
      <c r="M23" s="6" t="inlineStr">
        <is>
          <t>2009-10 7; 2007-08 4(a)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2015-16</t>
        </is>
      </c>
      <c r="C24" s="24" t="inlineStr">
        <is>
          <t>CSE 211</t>
        </is>
      </c>
      <c r="D24" s="24" t="inlineStr">
        <is>
          <t>4(b)</t>
        </is>
      </c>
      <c r="E24" s="6" t="inlineStr">
        <is>
          <t>CFGs: ≥3 1s; odd length with 0 in the middle; more 0s than 1s; {w#x | w^R substring of x}</t>
        </is>
      </c>
      <c r="F24" s="6" t="inlineStr">
        <is>
          <t>Designing CFGs — Lec07 CFG, sl. 30–52</t>
        </is>
      </c>
      <c r="G24" s="24" t="inlineStr">
        <is>
          <t>L19</t>
        </is>
      </c>
      <c r="H24" s="24" t="n">
        <v>10</v>
      </c>
      <c r="I24" s="24" t="n">
        <v>26</v>
      </c>
      <c r="J24" s="26" t="inlineStr">
        <is>
          <t>★★ Medium</t>
        </is>
      </c>
      <c r="K24" s="24" t="inlineStr">
        <is>
          <t>Design</t>
        </is>
      </c>
      <c r="L24" s="25" t="inlineStr">
        <is>
          <t>✔ Solved</t>
        </is>
      </c>
      <c r="M24" s="6" t="inlineStr">
        <is>
          <t>2021-22 2(d); 2016-17 5(a); 2014-15 5(b); 2013-14 7(b); 2011-12 8(b); 2010-11 8</t>
        </is>
      </c>
      <c r="N24" s="23" t="b">
        <v>0</v>
      </c>
      <c r="O24" s="24" t="n"/>
      <c r="P24" s="24" t="n"/>
      <c r="Q24" s="6" t="n"/>
    </row>
    <row r="25">
      <c r="A25" s="24" t="n">
        <v>22</v>
      </c>
      <c r="B25" s="24" t="inlineStr">
        <is>
          <t>2014-15</t>
        </is>
      </c>
      <c r="C25" s="24" t="inlineStr">
        <is>
          <t>CSE 211</t>
        </is>
      </c>
      <c r="D25" s="24" t="inlineStr">
        <is>
          <t>5(b)</t>
        </is>
      </c>
      <c r="E25" s="6" t="inlineStr">
        <is>
          <t>CFGs over {0,1}: starts and ends with the same symbol; odd length with middle 0</t>
        </is>
      </c>
      <c r="F25" s="6" t="inlineStr">
        <is>
          <t>Designing CFGs — Lec07 CFG, sl. 30–52</t>
        </is>
      </c>
      <c r="G25" s="24" t="inlineStr">
        <is>
          <t>L19</t>
        </is>
      </c>
      <c r="H25" s="24" t="n">
        <v>7</v>
      </c>
      <c r="I25" s="24" t="n">
        <v>23</v>
      </c>
      <c r="J25" s="26" t="inlineStr">
        <is>
          <t>★★ Medium</t>
        </is>
      </c>
      <c r="K25" s="24" t="inlineStr">
        <is>
          <t>Design</t>
        </is>
      </c>
      <c r="L25" s="25" t="inlineStr">
        <is>
          <t>✔ Solved</t>
        </is>
      </c>
      <c r="M25" s="6" t="inlineStr">
        <is>
          <t>2021-22 2(d); 2016-17 5(a); 2015-16 4(b); 2013-14 7(b); 2011-12 8(b); 2010-11 8</t>
        </is>
      </c>
      <c r="N25" s="23" t="b">
        <v>0</v>
      </c>
      <c r="O25" s="24" t="n"/>
      <c r="P25" s="24" t="n"/>
      <c r="Q25" s="6" t="n"/>
    </row>
    <row r="26">
      <c r="A26" s="24" t="n">
        <v>23</v>
      </c>
      <c r="B26" s="24" t="inlineStr">
        <is>
          <t>2013-14</t>
        </is>
      </c>
      <c r="C26" s="24" t="inlineStr">
        <is>
          <t>CSE 211</t>
        </is>
      </c>
      <c r="D26" s="24" t="inlineStr">
        <is>
          <t>7(b)</t>
        </is>
      </c>
      <c r="E26" s="6" t="inlineStr">
        <is>
          <t>CFG for {a^i b^j c^k | i,j,k ≥ 0}; parse tree for ab²c³</t>
        </is>
      </c>
      <c r="F26" s="6" t="inlineStr">
        <is>
          <t>Designing CFGs — Lec07 CFG, sl. 30–52</t>
        </is>
      </c>
      <c r="G26" s="24" t="inlineStr">
        <is>
          <t>L19</t>
        </is>
      </c>
      <c r="H26" s="24" t="n">
        <v>8.33</v>
      </c>
      <c r="I26" s="24" t="n">
        <v>21</v>
      </c>
      <c r="J26" s="26" t="inlineStr">
        <is>
          <t>★★ Medium</t>
        </is>
      </c>
      <c r="K26" s="24" t="inlineStr">
        <is>
          <t>Design</t>
        </is>
      </c>
      <c r="L26" s="25" t="inlineStr">
        <is>
          <t>✔ Solved</t>
        </is>
      </c>
      <c r="M26" s="6" t="inlineStr">
        <is>
          <t>2021-22 2(d); 2016-17 5(a); 2015-16 4(b); 2014-15 5(b); 2011-12 8(b); 2010-11 8</t>
        </is>
      </c>
      <c r="N26" s="23" t="b">
        <v>0</v>
      </c>
      <c r="O26" s="24" t="n"/>
      <c r="P26" s="24" t="n"/>
      <c r="Q26" s="6" t="n"/>
    </row>
    <row r="27">
      <c r="A27" s="24" t="n">
        <v>24</v>
      </c>
      <c r="B27" s="24" t="inlineStr">
        <is>
          <t>2012-13</t>
        </is>
      </c>
      <c r="C27" s="24" t="inlineStr">
        <is>
          <t>CSE 211</t>
        </is>
      </c>
      <c r="D27" s="24" t="inlineStr">
        <is>
          <t>7(a)</t>
        </is>
      </c>
      <c r="E27" s="6" t="inlineStr">
        <is>
          <t>CFG for 0∗1(0+1)∗; leftmost and rightmost derivations of 00101</t>
        </is>
      </c>
      <c r="F27" s="6" t="inlineStr">
        <is>
          <t>Designing CFGs — Lec07 CFG, sl. 30–52</t>
        </is>
      </c>
      <c r="G27" s="24" t="inlineStr">
        <is>
          <t>L19</t>
        </is>
      </c>
      <c r="H27" s="24" t="n">
        <v>8</v>
      </c>
      <c r="I27" s="24" t="n">
        <v>18</v>
      </c>
      <c r="J27" s="26" t="inlineStr">
        <is>
          <t>★★ Medium</t>
        </is>
      </c>
      <c r="K27" s="24" t="inlineStr">
        <is>
          <t>Derivation</t>
        </is>
      </c>
      <c r="L27" s="25" t="inlineStr">
        <is>
          <t>✔ Solved</t>
        </is>
      </c>
      <c r="M27" s="6" t="inlineStr">
        <is>
          <t>2008-09 8(b)</t>
        </is>
      </c>
      <c r="N27" s="23" t="b">
        <v>0</v>
      </c>
      <c r="O27" s="24" t="n"/>
      <c r="P27" s="24" t="n"/>
      <c r="Q27" s="6" t="n"/>
    </row>
    <row r="28">
      <c r="A28" s="24" t="n">
        <v>25</v>
      </c>
      <c r="B28" s="24" t="inlineStr">
        <is>
          <t>2011-12</t>
        </is>
      </c>
      <c r="C28" s="24" t="inlineStr">
        <is>
          <t>CSE 211</t>
        </is>
      </c>
      <c r="D28" s="24" t="inlineStr">
        <is>
          <t>8(b)</t>
        </is>
      </c>
      <c r="E28" s="6" t="inlineStr">
        <is>
          <t>CFGs: {0^n1^n ∪ 1^n0^n}; strings with at least three 1s</t>
        </is>
      </c>
      <c r="F28" s="6" t="inlineStr">
        <is>
          <t>Designing CFGs — Lec07 CFG, sl. 30–52</t>
        </is>
      </c>
      <c r="G28" s="24" t="inlineStr">
        <is>
          <t>L19</t>
        </is>
      </c>
      <c r="H28" s="24" t="n">
        <v>10</v>
      </c>
      <c r="I28" s="24" t="n">
        <v>16</v>
      </c>
      <c r="J28" s="26" t="inlineStr">
        <is>
          <t>★★ Medium</t>
        </is>
      </c>
      <c r="K28" s="24" t="inlineStr">
        <is>
          <t>Design</t>
        </is>
      </c>
      <c r="L28" s="25" t="inlineStr">
        <is>
          <t>✔ Solved</t>
        </is>
      </c>
      <c r="M28" s="6" t="inlineStr">
        <is>
          <t>2021-22 2(d); 2016-17 5(a); 2015-16 4(b); 2014-15 5(b); 2013-14 7(b); 2010-11 8</t>
        </is>
      </c>
      <c r="N28" s="23" t="b">
        <v>0</v>
      </c>
      <c r="O28" s="24" t="n"/>
      <c r="P28" s="24" t="n"/>
      <c r="Q28" s="6" t="n"/>
    </row>
    <row r="29">
      <c r="A29" s="24" t="n">
        <v>26</v>
      </c>
      <c r="B29" s="24" t="inlineStr">
        <is>
          <t>2010-11</t>
        </is>
      </c>
      <c r="C29" s="24" t="inlineStr">
        <is>
          <t>CSE 211</t>
        </is>
      </c>
      <c r="D29" s="24" t="inlineStr">
        <is>
          <t>8</t>
        </is>
      </c>
      <c r="E29" s="6" t="inlineStr">
        <is>
          <t>CFG generating all regular expressions over {a,b} (Σ = {a,b,(,),∪,∗,∅})</t>
        </is>
      </c>
      <c r="F29" s="6" t="inlineStr">
        <is>
          <t>Designing CFGs — Lec07 CFG, sl. 30–52</t>
        </is>
      </c>
      <c r="G29" s="24" t="inlineStr">
        <is>
          <t>L19</t>
        </is>
      </c>
      <c r="H29" s="24" t="n">
        <v>10</v>
      </c>
      <c r="I29" s="24" t="n">
        <v>12</v>
      </c>
      <c r="J29" s="26" t="inlineStr">
        <is>
          <t>★★ Medium</t>
        </is>
      </c>
      <c r="K29" s="24" t="inlineStr">
        <is>
          <t>Design</t>
        </is>
      </c>
      <c r="L29" s="25" t="inlineStr">
        <is>
          <t>✔ Solved</t>
        </is>
      </c>
      <c r="M29" s="6" t="inlineStr">
        <is>
          <t>2021-22 2(d); 2016-17 5(a); 2015-16 4(b); 2014-15 5(b); 2013-14 7(b); 2011-12 8(b)</t>
        </is>
      </c>
      <c r="N29" s="23" t="b">
        <v>0</v>
      </c>
      <c r="O29" s="24" t="n"/>
      <c r="P29" s="24" t="n"/>
      <c r="Q29" s="6" t="n"/>
    </row>
    <row r="30">
      <c r="A30" s="24" t="n">
        <v>27</v>
      </c>
      <c r="B30" s="24" t="inlineStr">
        <is>
          <t>2010-11</t>
        </is>
      </c>
      <c r="C30" s="24" t="inlineStr">
        <is>
          <t>CSE 211</t>
        </is>
      </c>
      <c r="D30" s="24" t="inlineStr">
        <is>
          <t>9</t>
        </is>
      </c>
      <c r="E30" s="6" t="inlineStr">
        <is>
          <t>CFGs: 0^n1^m0^m1^n; a^nb^mc^k with n=m+k; with n=2m+3k; a^nb^m with n ≤ m ≤ 2n</t>
        </is>
      </c>
      <c r="F30" s="6" t="inlineStr">
        <is>
          <t>Designing CFGs — Lec07 CFG, sl. 30–52</t>
        </is>
      </c>
      <c r="G30" s="24" t="inlineStr">
        <is>
          <t>L19</t>
        </is>
      </c>
      <c r="H30" s="24" t="n">
        <v>10</v>
      </c>
      <c r="I30" s="24" t="n">
        <v>12</v>
      </c>
      <c r="J30" s="26" t="inlineStr">
        <is>
          <t>★★ Medium</t>
        </is>
      </c>
      <c r="K30" s="24" t="inlineStr">
        <is>
          <t>Design</t>
        </is>
      </c>
      <c r="L30" s="25" t="inlineStr">
        <is>
          <t>✔ Solved</t>
        </is>
      </c>
      <c r="M30" s="6" t="inlineStr">
        <is>
          <t>2021-22 2(d); 2016-17 5(a); 2015-16 4(b); 2014-15 5(b); 2013-14 7(b); 2011-12 8(b)</t>
        </is>
      </c>
      <c r="N30" s="23" t="b">
        <v>0</v>
      </c>
      <c r="O30" s="24" t="n"/>
      <c r="P30" s="24" t="n"/>
      <c r="Q30" s="6" t="n"/>
    </row>
    <row r="31">
      <c r="A31" s="24" t="n">
        <v>28</v>
      </c>
      <c r="B31" s="24" t="inlineStr">
        <is>
          <t>2009-10</t>
        </is>
      </c>
      <c r="C31" s="24" t="inlineStr">
        <is>
          <t>CSE 211</t>
        </is>
      </c>
      <c r="D31" s="24" t="inlineStr">
        <is>
          <t>7</t>
        </is>
      </c>
      <c r="E31" s="6" t="inlineStr">
        <is>
          <t>Grammar for palindromes over {0,1}; modify for alphabet {0,1,a} and even length only</t>
        </is>
      </c>
      <c r="F31" s="6" t="inlineStr">
        <is>
          <t>Designing CFGs — Lec07 CFG, sl. 30–52</t>
        </is>
      </c>
      <c r="G31" s="24" t="inlineStr">
        <is>
          <t>L19</t>
        </is>
      </c>
      <c r="H31" s="24" t="n">
        <v>10</v>
      </c>
      <c r="I31" s="24" t="n">
        <v>9</v>
      </c>
      <c r="J31" s="26" t="inlineStr">
        <is>
          <t>★★ Medium</t>
        </is>
      </c>
      <c r="K31" s="24" t="inlineStr">
        <is>
          <t>Design</t>
        </is>
      </c>
      <c r="L31" s="25" t="inlineStr">
        <is>
          <t>✔ Solved</t>
        </is>
      </c>
      <c r="M31" s="6" t="inlineStr">
        <is>
          <t>2016-17 8(b); 2007-08 4(a)</t>
        </is>
      </c>
      <c r="N31" s="23" t="b">
        <v>0</v>
      </c>
      <c r="O31" s="24" t="n"/>
      <c r="P31" s="24" t="n"/>
      <c r="Q31" s="6" t="n"/>
    </row>
    <row r="32">
      <c r="A32" s="24" t="n">
        <v>29</v>
      </c>
      <c r="B32" s="24" t="inlineStr">
        <is>
          <t>2009-10</t>
        </is>
      </c>
      <c r="C32" s="24" t="inlineStr">
        <is>
          <t>CSE 211</t>
        </is>
      </c>
      <c r="D32" s="24" t="inlineStr">
        <is>
          <t>9</t>
        </is>
      </c>
      <c r="E32" s="6" t="inlineStr">
        <is>
          <t>CFG for equal numbers of a's and b's; leftmost derivation of aabbab</t>
        </is>
      </c>
      <c r="F32" s="6" t="inlineStr">
        <is>
          <t>Designing CFGs — Lec07 CFG, sl. 30–52</t>
        </is>
      </c>
      <c r="G32" s="24" t="inlineStr">
        <is>
          <t>L19</t>
        </is>
      </c>
      <c r="H32" s="24" t="n">
        <v>10</v>
      </c>
      <c r="I32" s="24" t="n">
        <v>9</v>
      </c>
      <c r="J32" s="26" t="inlineStr">
        <is>
          <t>★★ Medium</t>
        </is>
      </c>
      <c r="K32" s="24" t="inlineStr">
        <is>
          <t>Derivation</t>
        </is>
      </c>
      <c r="L32" s="25" t="inlineStr">
        <is>
          <t>✔ Solved</t>
        </is>
      </c>
      <c r="M32" s="6" t="inlineStr">
        <is>
          <t>2022-23 5; 2020 (Jan term) 5; 2019-20 5; 2017-18 5</t>
        </is>
      </c>
      <c r="N32" s="23" t="b">
        <v>0</v>
      </c>
      <c r="O32" s="24" t="n"/>
      <c r="P32" s="24" t="n"/>
      <c r="Q32" s="6" t="n"/>
    </row>
    <row r="33">
      <c r="A33" s="24" t="n">
        <v>30</v>
      </c>
      <c r="B33" s="24" t="inlineStr">
        <is>
          <t>2008-09</t>
        </is>
      </c>
      <c r="C33" s="24" t="inlineStr">
        <is>
          <t>CSE 211</t>
        </is>
      </c>
      <c r="D33" s="24" t="inlineStr">
        <is>
          <t>8(b)</t>
        </is>
      </c>
      <c r="E33" s="6" t="inlineStr">
        <is>
          <t>CFG for 0∗1(0+1)∗; leftmost and rightmost derivations of 00101</t>
        </is>
      </c>
      <c r="F33" s="6" t="inlineStr">
        <is>
          <t>Designing CFGs — Lec07 CFG, sl. 30–52</t>
        </is>
      </c>
      <c r="G33" s="24" t="inlineStr">
        <is>
          <t>L19</t>
        </is>
      </c>
      <c r="H33" s="24" t="n">
        <v>9</v>
      </c>
      <c r="I33" s="24" t="n">
        <v>7</v>
      </c>
      <c r="J33" s="26" t="inlineStr">
        <is>
          <t>★★ Medium</t>
        </is>
      </c>
      <c r="K33" s="24" t="inlineStr">
        <is>
          <t>Derivation</t>
        </is>
      </c>
      <c r="L33" s="25" t="inlineStr">
        <is>
          <t>✔ Solved</t>
        </is>
      </c>
      <c r="M33" s="6" t="inlineStr">
        <is>
          <t>2012-13 7(a)</t>
        </is>
      </c>
      <c r="N33" s="23" t="b">
        <v>0</v>
      </c>
      <c r="O33" s="24" t="n"/>
      <c r="P33" s="24" t="n"/>
      <c r="Q33" s="6" t="n"/>
    </row>
    <row r="34">
      <c r="A34" s="24" t="n">
        <v>31</v>
      </c>
      <c r="B34" s="24" t="inlineStr">
        <is>
          <t>2007-08</t>
        </is>
      </c>
      <c r="C34" s="24" t="inlineStr">
        <is>
          <t>CSE 211</t>
        </is>
      </c>
      <c r="D34" s="24" t="inlineStr">
        <is>
          <t>4(a)</t>
        </is>
      </c>
      <c r="E34" s="6" t="inlineStr">
        <is>
          <t>Grammar for palindromes over {0,1}; prove it correct by induction</t>
        </is>
      </c>
      <c r="F34" s="6" t="inlineStr">
        <is>
          <t>Designing CFGs — Lec07 CFG, sl. 30–52</t>
        </is>
      </c>
      <c r="G34" s="24" t="inlineStr">
        <is>
          <t>L19</t>
        </is>
      </c>
      <c r="H34" s="24" t="n">
        <v>10</v>
      </c>
      <c r="I34" s="24" t="n">
        <v>4</v>
      </c>
      <c r="J34" s="26" t="inlineStr">
        <is>
          <t>★★ Medium</t>
        </is>
      </c>
      <c r="K34" s="24" t="inlineStr">
        <is>
          <t>Proof</t>
        </is>
      </c>
      <c r="L34" s="25" t="inlineStr">
        <is>
          <t>✔ Solved</t>
        </is>
      </c>
      <c r="M34" s="6" t="inlineStr">
        <is>
          <t>2016-17 8(b); 2009-10 7</t>
        </is>
      </c>
      <c r="N34" s="23" t="b">
        <v>0</v>
      </c>
      <c r="O34" s="24" t="n"/>
      <c r="P34" s="24" t="n"/>
      <c r="Q34" s="6" t="n"/>
    </row>
    <row r="35">
      <c r="A35" s="24" t="n">
        <v>32</v>
      </c>
      <c r="B35" s="24" t="inlineStr">
        <is>
          <t>2006-07</t>
        </is>
      </c>
      <c r="C35" s="24" t="inlineStr">
        <is>
          <t>CSE 211</t>
        </is>
      </c>
      <c r="D35" s="24" t="inlineStr">
        <is>
          <t>5</t>
        </is>
      </c>
      <c r="E35" s="6" t="inlineStr">
        <is>
          <t>Define CFG; CFG for {a^m b^n | m &gt; n, n ≥ 1}</t>
        </is>
      </c>
      <c r="F35" s="6" t="inlineStr">
        <is>
          <t>Designing CFGs — Lec07 CFG, sl. 30–52</t>
        </is>
      </c>
      <c r="G35" s="24" t="inlineStr">
        <is>
          <t>L19</t>
        </is>
      </c>
      <c r="H35" s="24" t="n">
        <v>10</v>
      </c>
      <c r="I35" s="24" t="n">
        <v>2</v>
      </c>
      <c r="J35" s="26" t="inlineStr">
        <is>
          <t>★★ Medium</t>
        </is>
      </c>
      <c r="K35" s="24" t="inlineStr">
        <is>
          <t>Design</t>
        </is>
      </c>
      <c r="L35" s="25" t="inlineStr">
        <is>
          <t>✔ Solved</t>
        </is>
      </c>
      <c r="M35" s="6" t="inlineStr">
        <is>
          <t>2021-22 2(d); 2016-17 5(a); 2015-16 4(b); 2014-15 5(b); 2013-14 7(b); 2011-12 8(b)</t>
        </is>
      </c>
      <c r="N35" s="23" t="b">
        <v>0</v>
      </c>
      <c r="O35" s="24" t="n"/>
      <c r="P35" s="24" t="n"/>
      <c r="Q35" s="6" t="n"/>
    </row>
    <row r="36">
      <c r="A36" s="19" t="n">
        <v>33</v>
      </c>
      <c r="B36" s="19" t="inlineStr">
        <is>
          <t>2023-24</t>
        </is>
      </c>
      <c r="C36" s="19" t="inlineStr">
        <is>
          <t>CSE 211</t>
        </is>
      </c>
      <c r="D36" s="19" t="inlineStr">
        <is>
          <t>5</t>
        </is>
      </c>
      <c r="E36" s="20" t="inlineStr">
        <is>
          <t>CFG for {a^ib^jc^k | i = j or i = k; i,j,k ≥ 1}; show it is ambiguous</t>
        </is>
      </c>
      <c r="F36" s="20" t="inlineStr">
        <is>
          <t>Ambiguity, inherent ambiguity — Lec07 CFG, sl. 53–63</t>
        </is>
      </c>
      <c r="G36" s="19" t="inlineStr">
        <is>
          <t>L20</t>
        </is>
      </c>
      <c r="H36" s="19" t="n">
        <v>15</v>
      </c>
      <c r="I36" s="19" t="inlineStr">
        <is>
          <t>22 batch p.3</t>
        </is>
      </c>
      <c r="J36" s="21" t="inlineStr">
        <is>
          <t>★★★ High</t>
        </is>
      </c>
      <c r="K36" s="19" t="inlineStr">
        <is>
          <t>Design</t>
        </is>
      </c>
      <c r="L36" s="25" t="inlineStr">
        <is>
          <t>✔ Solved</t>
        </is>
      </c>
      <c r="M36" s="20" t="inlineStr">
        <is>
          <t>2022-23 6; 2020 (Jan term) 6; 2012-13 6(a); 2008-09 8(a)</t>
        </is>
      </c>
      <c r="N36" s="23" t="b">
        <v>0</v>
      </c>
      <c r="O36" s="19" t="n"/>
      <c r="P36" s="19" t="n"/>
      <c r="Q36" s="20" t="n"/>
    </row>
    <row r="37">
      <c r="A37" s="19" t="n">
        <v>34</v>
      </c>
      <c r="B37" s="19" t="inlineStr">
        <is>
          <t>2022-23</t>
        </is>
      </c>
      <c r="C37" s="19" t="inlineStr">
        <is>
          <t>CSE 211</t>
        </is>
      </c>
      <c r="D37" s="19" t="inlineStr">
        <is>
          <t>6</t>
        </is>
      </c>
      <c r="E37" s="20" t="inlineStr">
        <is>
          <t>CFG for {a^nb^nc^md^m} ∪ {a^nb^mc^md^n}; show it is ambiguous</t>
        </is>
      </c>
      <c r="F37" s="20" t="inlineStr">
        <is>
          <t>Ambiguity, inherent ambiguity — Lec07 CFG, sl. 53–63</t>
        </is>
      </c>
      <c r="G37" s="19" t="inlineStr">
        <is>
          <t>L20</t>
        </is>
      </c>
      <c r="H37" s="19" t="n">
        <v>15</v>
      </c>
      <c r="I37" s="19" t="n">
        <v>52</v>
      </c>
      <c r="J37" s="21" t="inlineStr">
        <is>
          <t>★★★ High</t>
        </is>
      </c>
      <c r="K37" s="19" t="inlineStr">
        <is>
          <t>Design</t>
        </is>
      </c>
      <c r="L37" s="25" t="inlineStr">
        <is>
          <t>✔ Solved</t>
        </is>
      </c>
      <c r="M37" s="20" t="inlineStr">
        <is>
          <t>2023-24 5; 2020 (Jan term) 6; 2012-13 6(a); 2008-09 8(a)</t>
        </is>
      </c>
      <c r="N37" s="23" t="b">
        <v>0</v>
      </c>
      <c r="O37" s="19" t="n"/>
      <c r="P37" s="19" t="n"/>
      <c r="Q37" s="20" t="n"/>
    </row>
    <row r="38">
      <c r="A38" s="19" t="n">
        <v>35</v>
      </c>
      <c r="B38" s="19" t="inlineStr">
        <is>
          <t>2021-22</t>
        </is>
      </c>
      <c r="C38" s="19" t="inlineStr">
        <is>
          <t>CSE 211</t>
        </is>
      </c>
      <c r="D38" s="19" t="inlineStr">
        <is>
          <t>4(d)</t>
        </is>
      </c>
      <c r="E38" s="20" t="inlineStr">
        <is>
          <t>Ambiguity of s and of the grammar in three parse-tree scenarios</t>
        </is>
      </c>
      <c r="F38" s="20" t="inlineStr">
        <is>
          <t>Ambiguity, inherent ambiguity — Lec07 CFG, sl. 53–63</t>
        </is>
      </c>
      <c r="G38" s="19" t="inlineStr">
        <is>
          <t>L20</t>
        </is>
      </c>
      <c r="H38" s="19" t="n">
        <v>10</v>
      </c>
      <c r="I38" s="19" t="n">
        <v>47</v>
      </c>
      <c r="J38" s="21" t="inlineStr">
        <is>
          <t>★★★ High</t>
        </is>
      </c>
      <c r="K38" s="19" t="inlineStr">
        <is>
          <t>Theory</t>
        </is>
      </c>
      <c r="L38" s="25" t="inlineStr">
        <is>
          <t>✔ Solved</t>
        </is>
      </c>
      <c r="M38" s="20" t="inlineStr">
        <is>
          <t>2011-12 8(a); 2007-08 3(b)</t>
        </is>
      </c>
      <c r="N38" s="23" t="b">
        <v>0</v>
      </c>
      <c r="O38" s="19" t="n"/>
      <c r="P38" s="19" t="n"/>
      <c r="Q38" s="20" t="n"/>
    </row>
    <row r="39">
      <c r="A39" s="19" t="n">
        <v>36</v>
      </c>
      <c r="B39" s="19" t="inlineStr">
        <is>
          <t>2021-22</t>
        </is>
      </c>
      <c r="C39" s="19" t="inlineStr">
        <is>
          <t>CSE 211</t>
        </is>
      </c>
      <c r="D39" s="19" t="inlineStr">
        <is>
          <t>6</t>
        </is>
      </c>
      <c r="E39" s="20" t="inlineStr">
        <is>
          <t>Ambiguous grammar / inherently ambiguous language; is S→AB|C, A→aAb|ab, B→cB|c, C→aCc|aDc, D→bD|b ambiguous?</t>
        </is>
      </c>
      <c r="F39" s="20" t="inlineStr">
        <is>
          <t>Ambiguity, inherent ambiguity — Lec07 CFG, sl. 53–63</t>
        </is>
      </c>
      <c r="G39" s="19" t="inlineStr">
        <is>
          <t>L20</t>
        </is>
      </c>
      <c r="H39" s="19" t="n">
        <v>15</v>
      </c>
      <c r="I39" s="19" t="n">
        <v>47</v>
      </c>
      <c r="J39" s="21" t="inlineStr">
        <is>
          <t>★★★ High</t>
        </is>
      </c>
      <c r="K39" s="19" t="inlineStr">
        <is>
          <t>Proof</t>
        </is>
      </c>
      <c r="L39" s="25" t="inlineStr">
        <is>
          <t>✔ Solved</t>
        </is>
      </c>
      <c r="M39" s="20" t="inlineStr">
        <is>
          <t>2019-20 6</t>
        </is>
      </c>
      <c r="N39" s="23" t="b">
        <v>0</v>
      </c>
      <c r="O39" s="19" t="n"/>
      <c r="P39" s="19" t="n"/>
      <c r="Q39" s="20" t="n"/>
    </row>
    <row r="40">
      <c r="A40" s="19" t="n">
        <v>37</v>
      </c>
      <c r="B40" s="19" t="inlineStr">
        <is>
          <t>2020 (Jan term)</t>
        </is>
      </c>
      <c r="C40" s="19" t="inlineStr">
        <is>
          <t>CSE 211</t>
        </is>
      </c>
      <c r="D40" s="19" t="inlineStr">
        <is>
          <t>6</t>
        </is>
      </c>
      <c r="E40" s="20" t="inlineStr">
        <is>
          <t>CFG for {a^nb^nc^md^m} ∪ {a^nb^mc^md^n}; show it is ambiguous</t>
        </is>
      </c>
      <c r="F40" s="20" t="inlineStr">
        <is>
          <t>Ambiguity, inherent ambiguity — Lec07 CFG, sl. 53–63</t>
        </is>
      </c>
      <c r="G40" s="19" t="inlineStr">
        <is>
          <t>L20</t>
        </is>
      </c>
      <c r="H40" s="19" t="n">
        <v>15</v>
      </c>
      <c r="I40" s="19" t="n">
        <v>38</v>
      </c>
      <c r="J40" s="21" t="inlineStr">
        <is>
          <t>★★★ High</t>
        </is>
      </c>
      <c r="K40" s="19" t="inlineStr">
        <is>
          <t>Design</t>
        </is>
      </c>
      <c r="L40" s="25" t="inlineStr">
        <is>
          <t>✔ Solved</t>
        </is>
      </c>
      <c r="M40" s="20" t="inlineStr">
        <is>
          <t>2023-24 5; 2022-23 6; 2012-13 6(a); 2008-09 8(a)</t>
        </is>
      </c>
      <c r="N40" s="23" t="b">
        <v>0</v>
      </c>
      <c r="O40" s="19" t="n"/>
      <c r="P40" s="19" t="n"/>
      <c r="Q40" s="20" t="n"/>
    </row>
    <row r="41">
      <c r="A41" s="19" t="n">
        <v>38</v>
      </c>
      <c r="B41" s="19" t="inlineStr">
        <is>
          <t>2019-20</t>
        </is>
      </c>
      <c r="C41" s="19" t="inlineStr">
        <is>
          <t>CSE 211</t>
        </is>
      </c>
      <c r="D41" s="19" t="inlineStr">
        <is>
          <t>6</t>
        </is>
      </c>
      <c r="E41" s="20" t="inlineStr">
        <is>
          <t>Ambiguous grammar, inherently ambiguous language; is S→AB|C, A→aAb|ab, B→cB|c, C→aCc|aDc, D→bD|b ambiguous?</t>
        </is>
      </c>
      <c r="F41" s="20" t="inlineStr">
        <is>
          <t>Ambiguity, inherent ambiguity — Lec07 CFG, sl. 53–63</t>
        </is>
      </c>
      <c r="G41" s="19" t="inlineStr">
        <is>
          <t>L20</t>
        </is>
      </c>
      <c r="H41" s="19" t="n">
        <v>15</v>
      </c>
      <c r="I41" s="19" t="n">
        <v>41</v>
      </c>
      <c r="J41" s="21" t="inlineStr">
        <is>
          <t>★★★ High</t>
        </is>
      </c>
      <c r="K41" s="19" t="inlineStr">
        <is>
          <t>Proof</t>
        </is>
      </c>
      <c r="L41" s="25" t="inlineStr">
        <is>
          <t>✔ Solved</t>
        </is>
      </c>
      <c r="M41" s="20" t="inlineStr">
        <is>
          <t>2021-22 6</t>
        </is>
      </c>
      <c r="N41" s="23" t="b">
        <v>0</v>
      </c>
      <c r="O41" s="19" t="n"/>
      <c r="P41" s="19" t="n"/>
      <c r="Q41" s="20" t="n"/>
    </row>
    <row r="42">
      <c r="A42" s="19" t="n">
        <v>39</v>
      </c>
      <c r="B42" s="19" t="inlineStr">
        <is>
          <t>2017-18</t>
        </is>
      </c>
      <c r="C42" s="19" t="inlineStr">
        <is>
          <t>CSE 211</t>
        </is>
      </c>
      <c r="D42" s="19" t="inlineStr">
        <is>
          <t>6</t>
        </is>
      </c>
      <c r="E42" s="20" t="inlineStr">
        <is>
          <t>E→E+E|E×E|(E)|a: two parse trees; remove the ambiguity</t>
        </is>
      </c>
      <c r="F42" s="20" t="inlineStr">
        <is>
          <t>Ambiguity, inherent ambiguity — Lec07 CFG, sl. 53–63</t>
        </is>
      </c>
      <c r="G42" s="19" t="inlineStr">
        <is>
          <t>L20</t>
        </is>
      </c>
      <c r="H42" s="19" t="n">
        <v>15</v>
      </c>
      <c r="I42" s="19" t="n">
        <v>34</v>
      </c>
      <c r="J42" s="26" t="inlineStr">
        <is>
          <t>★★ Medium</t>
        </is>
      </c>
      <c r="K42" s="19" t="inlineStr">
        <is>
          <t>Proof</t>
        </is>
      </c>
      <c r="L42" s="25" t="inlineStr">
        <is>
          <t>✔ Solved</t>
        </is>
      </c>
      <c r="M42" s="20" t="inlineStr">
        <is>
          <t>2012-13 5(a); 2006-07 7</t>
        </is>
      </c>
      <c r="N42" s="23" t="b">
        <v>0</v>
      </c>
      <c r="O42" s="19" t="n"/>
      <c r="P42" s="19" t="n"/>
      <c r="Q42" s="20" t="n"/>
    </row>
    <row r="43">
      <c r="A43" s="19" t="n">
        <v>40</v>
      </c>
      <c r="B43" s="19" t="inlineStr">
        <is>
          <t>2014-15</t>
        </is>
      </c>
      <c r="C43" s="19" t="inlineStr">
        <is>
          <t>CSE 211</t>
        </is>
      </c>
      <c r="D43" s="19" t="inlineStr">
        <is>
          <t>6(a)</t>
        </is>
      </c>
      <c r="E43" s="20" t="inlineStr">
        <is>
          <t>Why S→0A|1B, A→0AA|1S|1, B→1BB|0S|0 is ambiguous</t>
        </is>
      </c>
      <c r="F43" s="20" t="inlineStr">
        <is>
          <t>Ambiguity, inherent ambiguity — Lec07 CFG, sl. 53–63</t>
        </is>
      </c>
      <c r="G43" s="19" t="inlineStr">
        <is>
          <t>L20</t>
        </is>
      </c>
      <c r="H43" s="19" t="n">
        <v>7</v>
      </c>
      <c r="I43" s="19" t="n">
        <v>23</v>
      </c>
      <c r="J43" s="26" t="inlineStr">
        <is>
          <t>★★ Medium</t>
        </is>
      </c>
      <c r="K43" s="19" t="inlineStr">
        <is>
          <t>Proof</t>
        </is>
      </c>
      <c r="L43" s="25" t="inlineStr">
        <is>
          <t>✔ Solved</t>
        </is>
      </c>
      <c r="M43" s="20" t="inlineStr">
        <is>
          <t>2008-09 8(c)</t>
        </is>
      </c>
      <c r="N43" s="23" t="b">
        <v>0</v>
      </c>
      <c r="O43" s="19" t="n"/>
      <c r="P43" s="19" t="n"/>
      <c r="Q43" s="20" t="n"/>
    </row>
    <row r="44">
      <c r="A44" s="19" t="n">
        <v>41</v>
      </c>
      <c r="B44" s="19" t="inlineStr">
        <is>
          <t>2012-13</t>
        </is>
      </c>
      <c r="C44" s="19" t="inlineStr">
        <is>
          <t>CSE 211</t>
        </is>
      </c>
      <c r="D44" s="19" t="inlineStr">
        <is>
          <t>5(a)</t>
        </is>
      </c>
      <c r="E44" s="20" t="inlineStr">
        <is>
          <t>Is E→E+E|E∗E|(E)|a ambiguous? Explain with a+a∗a</t>
        </is>
      </c>
      <c r="F44" s="20" t="inlineStr">
        <is>
          <t>Ambiguity, inherent ambiguity — Lec07 CFG, sl. 53–63</t>
        </is>
      </c>
      <c r="G44" s="19" t="inlineStr">
        <is>
          <t>L20</t>
        </is>
      </c>
      <c r="H44" s="19" t="n">
        <v>8</v>
      </c>
      <c r="I44" s="19" t="n">
        <v>18</v>
      </c>
      <c r="J44" s="26" t="inlineStr">
        <is>
          <t>★★ Medium</t>
        </is>
      </c>
      <c r="K44" s="19" t="inlineStr">
        <is>
          <t>Proof</t>
        </is>
      </c>
      <c r="L44" s="25" t="inlineStr">
        <is>
          <t>✔ Solved</t>
        </is>
      </c>
      <c r="M44" s="20" t="inlineStr">
        <is>
          <t>2017-18 6; 2006-07 7</t>
        </is>
      </c>
      <c r="N44" s="23" t="b">
        <v>0</v>
      </c>
      <c r="O44" s="19" t="n"/>
      <c r="P44" s="19" t="n"/>
      <c r="Q44" s="20" t="n"/>
    </row>
    <row r="45">
      <c r="A45" s="19" t="n">
        <v>42</v>
      </c>
      <c r="B45" s="19" t="inlineStr">
        <is>
          <t>2012-13</t>
        </is>
      </c>
      <c r="C45" s="19" t="inlineStr">
        <is>
          <t>CSE 211</t>
        </is>
      </c>
      <c r="D45" s="19" t="inlineStr">
        <is>
          <t>6(a)</t>
        </is>
      </c>
      <c r="E45" s="20" t="inlineStr">
        <is>
          <t>L = {a^nb^nc^m} ∪ {a^nb^mc^m}: explain why all grammars for L are ambiguous</t>
        </is>
      </c>
      <c r="F45" s="20" t="inlineStr">
        <is>
          <t>Ambiguity, inherent ambiguity — Lec07 CFG, sl. 53–63</t>
        </is>
      </c>
      <c r="G45" s="19" t="inlineStr">
        <is>
          <t>L20</t>
        </is>
      </c>
      <c r="H45" s="19" t="n">
        <v>8</v>
      </c>
      <c r="I45" s="19" t="n">
        <v>18</v>
      </c>
      <c r="J45" s="26" t="inlineStr">
        <is>
          <t>★★ Medium</t>
        </is>
      </c>
      <c r="K45" s="19" t="inlineStr">
        <is>
          <t>Proof</t>
        </is>
      </c>
      <c r="L45" s="22" t="inlineStr">
        <is>
          <t>◐ Method</t>
        </is>
      </c>
      <c r="M45" s="20" t="inlineStr">
        <is>
          <t>2023-24 5; 2022-23 6; 2020 (Jan term) 6; 2008-09 8(a)</t>
        </is>
      </c>
      <c r="N45" s="23" t="b">
        <v>0</v>
      </c>
      <c r="O45" s="19" t="n"/>
      <c r="P45" s="19" t="n"/>
      <c r="Q45" s="20" t="n"/>
    </row>
    <row r="46">
      <c r="A46" s="19" t="n">
        <v>43</v>
      </c>
      <c r="B46" s="19" t="inlineStr">
        <is>
          <t>2011-12</t>
        </is>
      </c>
      <c r="C46" s="19" t="inlineStr">
        <is>
          <t>CSE 211</t>
        </is>
      </c>
      <c r="D46" s="19" t="inlineStr">
        <is>
          <t>8(a)</t>
        </is>
      </c>
      <c r="E46" s="20" t="inlineStr">
        <is>
          <t>Formal definition of CFG; ambiguous grammar with example</t>
        </is>
      </c>
      <c r="F46" s="20" t="inlineStr">
        <is>
          <t>Ambiguity, inherent ambiguity — Lec07 CFG, sl. 53–63</t>
        </is>
      </c>
      <c r="G46" s="19" t="inlineStr">
        <is>
          <t>L20</t>
        </is>
      </c>
      <c r="H46" s="19" t="n">
        <v>6</v>
      </c>
      <c r="I46" s="19" t="n">
        <v>16</v>
      </c>
      <c r="J46" s="26" t="inlineStr">
        <is>
          <t>★★ Medium</t>
        </is>
      </c>
      <c r="K46" s="19" t="inlineStr">
        <is>
          <t>Theory</t>
        </is>
      </c>
      <c r="L46" s="25" t="inlineStr">
        <is>
          <t>✔ Solved</t>
        </is>
      </c>
      <c r="M46" s="20" t="inlineStr">
        <is>
          <t>2021-22 4(d); 2007-08 3(b)</t>
        </is>
      </c>
      <c r="N46" s="23" t="b">
        <v>0</v>
      </c>
      <c r="O46" s="19" t="n"/>
      <c r="P46" s="19" t="n"/>
      <c r="Q46" s="20" t="n"/>
    </row>
    <row r="47">
      <c r="A47" s="19" t="n">
        <v>44</v>
      </c>
      <c r="B47" s="19" t="inlineStr">
        <is>
          <t>2008-09</t>
        </is>
      </c>
      <c r="C47" s="19" t="inlineStr">
        <is>
          <t>CSE 211</t>
        </is>
      </c>
      <c r="D47" s="19" t="inlineStr">
        <is>
          <t>8(a)</t>
        </is>
      </c>
      <c r="E47" s="20" t="inlineStr">
        <is>
          <t>L = {a^nb^nc^md^m} ∪ {a^nb^mc^md^n}: explain why all grammars for L are ambiguous</t>
        </is>
      </c>
      <c r="F47" s="20" t="inlineStr">
        <is>
          <t>Ambiguity, inherent ambiguity — Lec07 CFG, sl. 53–63</t>
        </is>
      </c>
      <c r="G47" s="19" t="inlineStr">
        <is>
          <t>L20</t>
        </is>
      </c>
      <c r="H47" s="19" t="n">
        <v>9</v>
      </c>
      <c r="I47" s="19" t="n">
        <v>7</v>
      </c>
      <c r="J47" s="26" t="inlineStr">
        <is>
          <t>★★ Medium</t>
        </is>
      </c>
      <c r="K47" s="19" t="inlineStr">
        <is>
          <t>Proof</t>
        </is>
      </c>
      <c r="L47" s="22" t="inlineStr">
        <is>
          <t>◐ Method</t>
        </is>
      </c>
      <c r="M47" s="20" t="inlineStr">
        <is>
          <t>2023-24 5; 2022-23 6; 2020 (Jan term) 6; 2012-13 6(a)</t>
        </is>
      </c>
      <c r="N47" s="23" t="b">
        <v>0</v>
      </c>
      <c r="O47" s="19" t="n"/>
      <c r="P47" s="19" t="n"/>
      <c r="Q47" s="20" t="n"/>
    </row>
    <row r="48">
      <c r="A48" s="19" t="n">
        <v>45</v>
      </c>
      <c r="B48" s="19" t="inlineStr">
        <is>
          <t>2008-09</t>
        </is>
      </c>
      <c r="C48" s="19" t="inlineStr">
        <is>
          <t>CSE 211</t>
        </is>
      </c>
      <c r="D48" s="19" t="inlineStr">
        <is>
          <t>8(c)</t>
        </is>
      </c>
      <c r="E48" s="20" t="inlineStr">
        <is>
          <t>S→aS|aSbS|ε: show aab has two parse trees, two leftmost and two rightmost derivations</t>
        </is>
      </c>
      <c r="F48" s="20" t="inlineStr">
        <is>
          <t>Ambiguity, inherent ambiguity — Lec07 CFG, sl. 53–63</t>
        </is>
      </c>
      <c r="G48" s="19" t="inlineStr">
        <is>
          <t>L20</t>
        </is>
      </c>
      <c r="H48" s="19" t="n">
        <v>5.33</v>
      </c>
      <c r="I48" s="19" t="n">
        <v>7</v>
      </c>
      <c r="J48" s="26" t="inlineStr">
        <is>
          <t>★★ Medium</t>
        </is>
      </c>
      <c r="K48" s="19" t="inlineStr">
        <is>
          <t>Derivation</t>
        </is>
      </c>
      <c r="L48" s="25" t="inlineStr">
        <is>
          <t>✔ Solved</t>
        </is>
      </c>
      <c r="M48" s="20" t="inlineStr">
        <is>
          <t>2014-15 6(a)</t>
        </is>
      </c>
      <c r="N48" s="23" t="b">
        <v>0</v>
      </c>
      <c r="O48" s="19" t="n"/>
      <c r="P48" s="19" t="n"/>
      <c r="Q48" s="20" t="n"/>
    </row>
    <row r="49">
      <c r="A49" s="19" t="n">
        <v>46</v>
      </c>
      <c r="B49" s="19" t="inlineStr">
        <is>
          <t>2007-08</t>
        </is>
      </c>
      <c r="C49" s="19" t="inlineStr">
        <is>
          <t>CSE 211</t>
        </is>
      </c>
      <c r="D49" s="19" t="inlineStr">
        <is>
          <t>3(b)</t>
        </is>
      </c>
      <c r="E49" s="20" t="inlineStr">
        <is>
          <t>Ambiguity in grammars; how to remove it; inherent ambiguity</t>
        </is>
      </c>
      <c r="F49" s="20" t="inlineStr">
        <is>
          <t>Ambiguity, inherent ambiguity — Lec07 CFG, sl. 53–63</t>
        </is>
      </c>
      <c r="G49" s="19" t="inlineStr">
        <is>
          <t>L20</t>
        </is>
      </c>
      <c r="H49" s="19" t="n">
        <v>8</v>
      </c>
      <c r="I49" s="19" t="n">
        <v>4</v>
      </c>
      <c r="J49" s="26" t="inlineStr">
        <is>
          <t>★★ Medium</t>
        </is>
      </c>
      <c r="K49" s="19" t="inlineStr">
        <is>
          <t>Theory</t>
        </is>
      </c>
      <c r="L49" s="25" t="inlineStr">
        <is>
          <t>✔ Solved</t>
        </is>
      </c>
      <c r="M49" s="20" t="inlineStr">
        <is>
          <t>2021-22 4(d); 2011-12 8(a)</t>
        </is>
      </c>
      <c r="N49" s="23" t="b">
        <v>0</v>
      </c>
      <c r="O49" s="19" t="n"/>
      <c r="P49" s="19" t="n"/>
      <c r="Q49" s="20" t="n"/>
    </row>
    <row r="50">
      <c r="A50" s="19" t="n">
        <v>47</v>
      </c>
      <c r="B50" s="19" t="inlineStr">
        <is>
          <t>2006-07</t>
        </is>
      </c>
      <c r="C50" s="19" t="inlineStr">
        <is>
          <t>CSE 211</t>
        </is>
      </c>
      <c r="D50" s="19" t="inlineStr">
        <is>
          <t>7</t>
        </is>
      </c>
      <c r="E50" s="20" t="inlineStr">
        <is>
          <t>Show E→E+E|E∗E|(E)|I, I→a|b|Ia|Ib|I0|I1 is ambiguous; remove the ambiguity</t>
        </is>
      </c>
      <c r="F50" s="20" t="inlineStr">
        <is>
          <t>Ambiguity, inherent ambiguity — Lec07 CFG, sl. 53–63</t>
        </is>
      </c>
      <c r="G50" s="19" t="inlineStr">
        <is>
          <t>L20</t>
        </is>
      </c>
      <c r="H50" s="19" t="n">
        <v>10</v>
      </c>
      <c r="I50" s="19" t="n">
        <v>2</v>
      </c>
      <c r="J50" s="26" t="inlineStr">
        <is>
          <t>★★ Medium</t>
        </is>
      </c>
      <c r="K50" s="19" t="inlineStr">
        <is>
          <t>Proof</t>
        </is>
      </c>
      <c r="L50" s="25" t="inlineStr">
        <is>
          <t>✔ Solved</t>
        </is>
      </c>
      <c r="M50" s="20" t="inlineStr">
        <is>
          <t>2017-18 6; 2012-13 5(a)</t>
        </is>
      </c>
      <c r="N50" s="23" t="b">
        <v>0</v>
      </c>
      <c r="O50" s="19" t="n"/>
      <c r="P50" s="19" t="n"/>
      <c r="Q50" s="20" t="n"/>
    </row>
    <row r="51">
      <c r="A51" s="24" t="n">
        <v>48</v>
      </c>
      <c r="B51" s="24" t="inlineStr">
        <is>
          <t>2013-14</t>
        </is>
      </c>
      <c r="C51" s="24" t="inlineStr">
        <is>
          <t>CSE 211</t>
        </is>
      </c>
      <c r="D51" s="24" t="inlineStr">
        <is>
          <t>7(c)</t>
        </is>
      </c>
      <c r="E51" s="6" t="inlineStr">
        <is>
          <t>{a^n b^2n c^3n | n ≥ 0} is not context-free</t>
        </is>
      </c>
      <c r="F51" s="6" t="inlineStr">
        <is>
          <t>Pumping lemma for CFLs — Lec07 CFG, sl. 64–97</t>
        </is>
      </c>
      <c r="G51" s="24" t="inlineStr">
        <is>
          <t>L21</t>
        </is>
      </c>
      <c r="H51" s="24" t="n">
        <v>6</v>
      </c>
      <c r="I51" s="24" t="n">
        <v>21</v>
      </c>
      <c r="J51" s="25" t="inlineStr">
        <is>
          <t>★ Low</t>
        </is>
      </c>
      <c r="K51" s="24" t="inlineStr">
        <is>
          <t>Proof</t>
        </is>
      </c>
      <c r="L51" s="25" t="inlineStr">
        <is>
          <t>✔ Solved</t>
        </is>
      </c>
      <c r="M51" s="6" t="inlineStr">
        <is>
          <t>—</t>
        </is>
      </c>
      <c r="N51" s="23" t="b">
        <v>0</v>
      </c>
      <c r="O51" s="24" t="n"/>
      <c r="P51" s="24" t="n"/>
      <c r="Q51" s="6" t="n"/>
    </row>
  </sheetData>
  <autoFilter ref="A3:Q51"/>
  <conditionalFormatting sqref="A4:Q51">
    <cfRule type="expression" priority="1" dxfId="0">
      <formula>$N4=TRUE</formula>
    </cfRule>
  </conditionalFormatting>
  <conditionalFormatting sqref="O4:O5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51" showDropDown="0" showInputMessage="0" showErrorMessage="0" allowBlank="1" type="list">
      <formula1>"TRUE,FALSE"</formula1>
    </dataValidation>
    <dataValidation sqref="O4:O5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lec_08 — Pushdown Automata (design workshop; all PDA questions are tracked in the Atif tracker)</t>
        </is>
      </c>
    </row>
    <row r="2">
      <c r="A2" s="2" t="inlineStr">
        <is>
          <t>Note file: CSE211_Hakim_PDA_Notes.docx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</sheetData>
  <autoFilter ref="A3:Q4"/>
  <conditionalFormatting sqref="A4:Q4">
    <cfRule type="expression" priority="1" dxfId="0">
      <formula>$N4=TRUE</formula>
    </cfRule>
  </conditionalFormatting>
  <conditionalFormatting sqref="O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" showDropDown="0" showInputMessage="0" showErrorMessage="0" allowBlank="1" type="list">
      <formula1>"TRUE,FALSE"</formula1>
    </dataValidation>
    <dataValidation sqref="O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2026-10-21T15:40:33Z</dcterms:created>
  <dcterms:modified xmlns:dcterms="http://purl.org/dc/terms/" xmlns:xsi="http://www.w3.org/2001/XMLSchema-instance" xsi:type="dcterms:W3CDTF">2026-10-21T15:40:34Z</dcterms:modified>
</cp:coreProperties>
</file>