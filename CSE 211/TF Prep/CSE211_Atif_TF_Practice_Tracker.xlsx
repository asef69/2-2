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Intro + CNF" sheetId="3" state="visible" r:id="rId3"/>
    <sheet xmlns:r="http://schemas.openxmlformats.org/officeDocument/2006/relationships" name="2 PDA" sheetId="4" state="visible" r:id="rId4"/>
    <sheet xmlns:r="http://schemas.openxmlformats.org/officeDocument/2006/relationships" name="3 TM Basics" sheetId="5" state="visible" r:id="rId5"/>
    <sheet xmlns:r="http://schemas.openxmlformats.org/officeDocument/2006/relationships" name="4 TM Techniques" sheetId="6" state="visible" r:id="rId6"/>
    <sheet xmlns:r="http://schemas.openxmlformats.org/officeDocument/2006/relationships" name="5 TM Variants" sheetId="7" state="visible" r:id="rId7"/>
    <sheet xmlns:r="http://schemas.openxmlformats.org/officeDocument/2006/relationships" name="6 Undecidability" sheetId="8" state="visible" r:id="rId8"/>
    <sheet xmlns:r="http://schemas.openxmlformats.org/officeDocument/2006/relationships" name="7 Complexity" sheetId="9" state="visible" r:id="rId9"/>
    <sheet xmlns:r="http://schemas.openxmlformats.org/officeDocument/2006/relationships" name="Outside Notes" sheetId="10" state="visible" r:id="rId10"/>
  </sheets>
  <definedNames>
    <definedName name="_xlnm._FilterDatabase" localSheetId="2" hidden="1">'1 Intro + CNF'!$A$3:$Q$16</definedName>
    <definedName name="_xlnm._FilterDatabase" localSheetId="3" hidden="1">'2 PDA'!$A$3:$Q$51</definedName>
    <definedName name="_xlnm._FilterDatabase" localSheetId="4" hidden="1">'3 TM Basics'!$A$3:$Q$22</definedName>
    <definedName name="_xlnm._FilterDatabase" localSheetId="5" hidden="1">'4 TM Techniques'!$A$3:$Q$14</definedName>
    <definedName name="_xlnm._FilterDatabase" localSheetId="6" hidden="1">'5 TM Variants'!$A$3:$Q$22</definedName>
    <definedName name="_xlnm._FilterDatabase" localSheetId="7" hidden="1">'6 Undecidability'!$A$3:$Q$42</definedName>
    <definedName name="_xlnm._FilterDatabase" localSheetId="8" hidden="1">'7 Complexity'!$A$3:$Q$20</definedName>
    <definedName name="_xlnm._FilterDatabase" localSheetId="9" hidden="1">'Outside Notes'!$A$3:$J$4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/>
    </xf>
    <xf numFmtId="9" fontId="5" fillId="10" borderId="1" applyAlignment="1" pivotButton="0" quotePrefix="0" xfId="0">
      <alignment horizontal="center"/>
    </xf>
    <xf numFmtId="0" fontId="6" fillId="0" borderId="0" pivotButton="0" quotePrefix="0" xfId="0"/>
    <xf numFmtId="0" fontId="0" fillId="11" borderId="1" applyAlignment="1" pivotButton="0" quotePrefix="0" xfId="0">
      <alignment horizontal="center"/>
    </xf>
    <xf numFmtId="9" fontId="0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CSE 211 (Atif Sir part) — TF Practice Tracker</t>
        </is>
      </c>
    </row>
    <row r="3">
      <c r="B3" s="2" t="inlineStr">
        <is>
          <t>Every Atif-part question in CSE 211 All Merged Questions.pdf (2023-24 rows: CSE 211 (22 batch).pdf),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1–7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CSE 211 All Merged Questions.pdf (2023-24 rows: CSE 211 (22 batch).pdf)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Every paper in the collection carries the code CSE 211.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  <row r="26">
      <c r="B26" s="5" t="inlineStr">
        <is>
          <t>Outside Notes tab</t>
        </is>
      </c>
      <c r="C26" s="6" t="inlineStr">
        <is>
          <t>Atif-section questions from older papers on topics not in the current slides. Check with your teacher before spending time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1–7.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Intro + CNF</t>
        </is>
      </c>
      <c r="C5" s="8">
        <f>COUNTA('1 Intro + CNF'!$E$4:$E$16)</f>
        <v/>
      </c>
      <c r="D5" s="8">
        <f>COUNTIF('1 Intro + CNF'!$N$4:$N$16,TRUE())</f>
        <v/>
      </c>
      <c r="E5" s="10">
        <f>IF(C5=0,0,D5/C5)</f>
        <v/>
      </c>
      <c r="F5" s="8">
        <f>SUM('1 Intro + CNF'!$H$4:$H$16)</f>
        <v/>
      </c>
      <c r="G5" s="8">
        <f>SUMIF('1 Intro + CNF'!$N$4:$N$16,TRUE(),'1 Intro + CNF'!$H$4:$H$16)</f>
        <v/>
      </c>
      <c r="H5" s="8">
        <f>COUNTIFS('1 Intro + CNF'!$J$4:$J$16,"★★★ High",'1 Intro + CNF'!$N$4:$N$16,FALSE())</f>
        <v/>
      </c>
      <c r="I5" s="8">
        <f>COUNTIF('1 Intro + CNF'!$O$4:$O$16,"Weak")</f>
        <v/>
      </c>
      <c r="J5" s="9">
        <f>IFERROR("Q"&amp;INDEX('1 Intro + CNF'!$A$4:$A$16,MATCH(FALSE(),'1 Intro + CNF'!$N$4:$N$16,0))&amp;" · "&amp;INDEX('1 Intro + CNF'!$B$4:$B$16,MATCH(FALSE(),'1 Intro + CNF'!$N$4:$N$16,0))&amp;" "&amp;INDEX('1 Intro + CNF'!$D$4:$D$16,MATCH(FALSE(),'1 Intro + CNF'!$N$4:$N$16,0))&amp;" · TF p."&amp;INDEX('1 Intro + CNF'!$I$4:$I$16,MATCH(FALSE(),'1 Intro + CNF'!$N$4:$N$16,0)),"All done ✔")</f>
        <v/>
      </c>
    </row>
    <row r="6">
      <c r="A6" s="8" t="n">
        <v>2</v>
      </c>
      <c r="B6" s="9" t="inlineStr">
        <is>
          <t>2 PDA</t>
        </is>
      </c>
      <c r="C6" s="8">
        <f>COUNTA('2 PDA'!$E$4:$E$51)</f>
        <v/>
      </c>
      <c r="D6" s="8">
        <f>COUNTIF('2 PDA'!$N$4:$N$51,TRUE())</f>
        <v/>
      </c>
      <c r="E6" s="10">
        <f>IF(C6=0,0,D6/C6)</f>
        <v/>
      </c>
      <c r="F6" s="8">
        <f>SUM('2 PDA'!$H$4:$H$51)</f>
        <v/>
      </c>
      <c r="G6" s="8">
        <f>SUMIF('2 PDA'!$N$4:$N$51,TRUE(),'2 PDA'!$H$4:$H$51)</f>
        <v/>
      </c>
      <c r="H6" s="8">
        <f>COUNTIFS('2 PDA'!$J$4:$J$51,"★★★ High",'2 PDA'!$N$4:$N$51,FALSE())</f>
        <v/>
      </c>
      <c r="I6" s="8">
        <f>COUNTIF('2 PDA'!$O$4:$O$51,"Weak")</f>
        <v/>
      </c>
      <c r="J6" s="9">
        <f>IFERROR("Q"&amp;INDEX('2 PDA'!$A$4:$A$51,MATCH(FALSE(),'2 PDA'!$N$4:$N$51,0))&amp;" · "&amp;INDEX('2 PDA'!$B$4:$B$51,MATCH(FALSE(),'2 PDA'!$N$4:$N$51,0))&amp;" "&amp;INDEX('2 PDA'!$D$4:$D$51,MATCH(FALSE(),'2 PDA'!$N$4:$N$51,0))&amp;" · TF p."&amp;INDEX('2 PDA'!$I$4:$I$51,MATCH(FALSE(),'2 PDA'!$N$4:$N$51,0)),"All done ✔")</f>
        <v/>
      </c>
    </row>
    <row r="7">
      <c r="A7" s="8" t="n">
        <v>3</v>
      </c>
      <c r="B7" s="9" t="inlineStr">
        <is>
          <t>3 TM Basics</t>
        </is>
      </c>
      <c r="C7" s="8">
        <f>COUNTA('3 TM Basics'!$E$4:$E$22)</f>
        <v/>
      </c>
      <c r="D7" s="8">
        <f>COUNTIF('3 TM Basics'!$N$4:$N$22,TRUE())</f>
        <v/>
      </c>
      <c r="E7" s="10">
        <f>IF(C7=0,0,D7/C7)</f>
        <v/>
      </c>
      <c r="F7" s="8">
        <f>SUM('3 TM Basics'!$H$4:$H$22)</f>
        <v/>
      </c>
      <c r="G7" s="8">
        <f>SUMIF('3 TM Basics'!$N$4:$N$22,TRUE(),'3 TM Basics'!$H$4:$H$22)</f>
        <v/>
      </c>
      <c r="H7" s="8">
        <f>COUNTIFS('3 TM Basics'!$J$4:$J$22,"★★★ High",'3 TM Basics'!$N$4:$N$22,FALSE())</f>
        <v/>
      </c>
      <c r="I7" s="8">
        <f>COUNTIF('3 TM Basics'!$O$4:$O$22,"Weak")</f>
        <v/>
      </c>
      <c r="J7" s="9">
        <f>IFERROR("Q"&amp;INDEX('3 TM Basics'!$A$4:$A$22,MATCH(FALSE(),'3 TM Basics'!$N$4:$N$22,0))&amp;" · "&amp;INDEX('3 TM Basics'!$B$4:$B$22,MATCH(FALSE(),'3 TM Basics'!$N$4:$N$22,0))&amp;" "&amp;INDEX('3 TM Basics'!$D$4:$D$22,MATCH(FALSE(),'3 TM Basics'!$N$4:$N$22,0))&amp;" · TF p."&amp;INDEX('3 TM Basics'!$I$4:$I$22,MATCH(FALSE(),'3 TM Basics'!$N$4:$N$22,0)),"All done ✔")</f>
        <v/>
      </c>
    </row>
    <row r="8">
      <c r="A8" s="8" t="n">
        <v>4</v>
      </c>
      <c r="B8" s="9" t="inlineStr">
        <is>
          <t>4 TM Techniques</t>
        </is>
      </c>
      <c r="C8" s="8">
        <f>COUNTA('4 TM Techniques'!$E$4:$E$14)</f>
        <v/>
      </c>
      <c r="D8" s="8">
        <f>COUNTIF('4 TM Techniques'!$N$4:$N$14,TRUE())</f>
        <v/>
      </c>
      <c r="E8" s="10">
        <f>IF(C8=0,0,D8/C8)</f>
        <v/>
      </c>
      <c r="F8" s="8">
        <f>SUM('4 TM Techniques'!$H$4:$H$14)</f>
        <v/>
      </c>
      <c r="G8" s="8">
        <f>SUMIF('4 TM Techniques'!$N$4:$N$14,TRUE(),'4 TM Techniques'!$H$4:$H$14)</f>
        <v/>
      </c>
      <c r="H8" s="8">
        <f>COUNTIFS('4 TM Techniques'!$J$4:$J$14,"★★★ High",'4 TM Techniques'!$N$4:$N$14,FALSE())</f>
        <v/>
      </c>
      <c r="I8" s="8">
        <f>COUNTIF('4 TM Techniques'!$O$4:$O$14,"Weak")</f>
        <v/>
      </c>
      <c r="J8" s="9">
        <f>IFERROR("Q"&amp;INDEX('4 TM Techniques'!$A$4:$A$14,MATCH(FALSE(),'4 TM Techniques'!$N$4:$N$14,0))&amp;" · "&amp;INDEX('4 TM Techniques'!$B$4:$B$14,MATCH(FALSE(),'4 TM Techniques'!$N$4:$N$14,0))&amp;" "&amp;INDEX('4 TM Techniques'!$D$4:$D$14,MATCH(FALSE(),'4 TM Techniques'!$N$4:$N$14,0))&amp;" · TF p."&amp;INDEX('4 TM Techniques'!$I$4:$I$14,MATCH(FALSE(),'4 TM Techniques'!$N$4:$N$14,0)),"All done ✔")</f>
        <v/>
      </c>
    </row>
    <row r="9">
      <c r="A9" s="8" t="n">
        <v>5</v>
      </c>
      <c r="B9" s="9" t="inlineStr">
        <is>
          <t>5 TM Variants</t>
        </is>
      </c>
      <c r="C9" s="8">
        <f>COUNTA('5 TM Variants'!$E$4:$E$22)</f>
        <v/>
      </c>
      <c r="D9" s="8">
        <f>COUNTIF('5 TM Variants'!$N$4:$N$22,TRUE())</f>
        <v/>
      </c>
      <c r="E9" s="10">
        <f>IF(C9=0,0,D9/C9)</f>
        <v/>
      </c>
      <c r="F9" s="8">
        <f>SUM('5 TM Variants'!$H$4:$H$22)</f>
        <v/>
      </c>
      <c r="G9" s="8">
        <f>SUMIF('5 TM Variants'!$N$4:$N$22,TRUE(),'5 TM Variants'!$H$4:$H$22)</f>
        <v/>
      </c>
      <c r="H9" s="8">
        <f>COUNTIFS('5 TM Variants'!$J$4:$J$22,"★★★ High",'5 TM Variants'!$N$4:$N$22,FALSE())</f>
        <v/>
      </c>
      <c r="I9" s="8">
        <f>COUNTIF('5 TM Variants'!$O$4:$O$22,"Weak")</f>
        <v/>
      </c>
      <c r="J9" s="9">
        <f>IFERROR("Q"&amp;INDEX('5 TM Variants'!$A$4:$A$22,MATCH(FALSE(),'5 TM Variants'!$N$4:$N$22,0))&amp;" · "&amp;INDEX('5 TM Variants'!$B$4:$B$22,MATCH(FALSE(),'5 TM Variants'!$N$4:$N$22,0))&amp;" "&amp;INDEX('5 TM Variants'!$D$4:$D$22,MATCH(FALSE(),'5 TM Variants'!$N$4:$N$22,0))&amp;" · TF p."&amp;INDEX('5 TM Variants'!$I$4:$I$22,MATCH(FALSE(),'5 TM Variants'!$N$4:$N$22,0)),"All done ✔")</f>
        <v/>
      </c>
    </row>
    <row r="10">
      <c r="A10" s="8" t="n">
        <v>6</v>
      </c>
      <c r="B10" s="9" t="inlineStr">
        <is>
          <t>6 Undecidability</t>
        </is>
      </c>
      <c r="C10" s="8">
        <f>COUNTA('6 Undecidability'!$E$4:$E$42)</f>
        <v/>
      </c>
      <c r="D10" s="8">
        <f>COUNTIF('6 Undecidability'!$N$4:$N$42,TRUE())</f>
        <v/>
      </c>
      <c r="E10" s="10">
        <f>IF(C10=0,0,D10/C10)</f>
        <v/>
      </c>
      <c r="F10" s="8">
        <f>SUM('6 Undecidability'!$H$4:$H$42)</f>
        <v/>
      </c>
      <c r="G10" s="8">
        <f>SUMIF('6 Undecidability'!$N$4:$N$42,TRUE(),'6 Undecidability'!$H$4:$H$42)</f>
        <v/>
      </c>
      <c r="H10" s="8">
        <f>COUNTIFS('6 Undecidability'!$J$4:$J$42,"★★★ High",'6 Undecidability'!$N$4:$N$42,FALSE())</f>
        <v/>
      </c>
      <c r="I10" s="8">
        <f>COUNTIF('6 Undecidability'!$O$4:$O$42,"Weak")</f>
        <v/>
      </c>
      <c r="J10" s="9">
        <f>IFERROR("Q"&amp;INDEX('6 Undecidability'!$A$4:$A$42,MATCH(FALSE(),'6 Undecidability'!$N$4:$N$42,0))&amp;" · "&amp;INDEX('6 Undecidability'!$B$4:$B$42,MATCH(FALSE(),'6 Undecidability'!$N$4:$N$42,0))&amp;" "&amp;INDEX('6 Undecidability'!$D$4:$D$42,MATCH(FALSE(),'6 Undecidability'!$N$4:$N$42,0))&amp;" · TF p."&amp;INDEX('6 Undecidability'!$I$4:$I$42,MATCH(FALSE(),'6 Undecidability'!$N$4:$N$42,0)),"All done ✔")</f>
        <v/>
      </c>
    </row>
    <row r="11">
      <c r="A11" s="8" t="n">
        <v>7</v>
      </c>
      <c r="B11" s="9" t="inlineStr">
        <is>
          <t>7 Complexity</t>
        </is>
      </c>
      <c r="C11" s="8">
        <f>COUNTA('7 Complexity'!$E$4:$E$20)</f>
        <v/>
      </c>
      <c r="D11" s="8">
        <f>COUNTIF('7 Complexity'!$N$4:$N$20,TRUE())</f>
        <v/>
      </c>
      <c r="E11" s="10">
        <f>IF(C11=0,0,D11/C11)</f>
        <v/>
      </c>
      <c r="F11" s="8">
        <f>SUM('7 Complexity'!$H$4:$H$20)</f>
        <v/>
      </c>
      <c r="G11" s="8">
        <f>SUMIF('7 Complexity'!$N$4:$N$20,TRUE(),'7 Complexity'!$H$4:$H$20)</f>
        <v/>
      </c>
      <c r="H11" s="8">
        <f>COUNTIFS('7 Complexity'!$J$4:$J$20,"★★★ High",'7 Complexity'!$N$4:$N$20,FALSE())</f>
        <v/>
      </c>
      <c r="I11" s="8">
        <f>COUNTIF('7 Complexity'!$O$4:$O$20,"Weak")</f>
        <v/>
      </c>
      <c r="J11" s="9">
        <f>IFERROR("Q"&amp;INDEX('7 Complexity'!$A$4:$A$20,MATCH(FALSE(),'7 Complexity'!$N$4:$N$20,0))&amp;" · "&amp;INDEX('7 Complexity'!$B$4:$B$20,MATCH(FALSE(),'7 Complexity'!$N$4:$N$20,0))&amp;" "&amp;INDEX('7 Complexity'!$D$4:$D$20,MATCH(FALSE(),'7 Complexity'!$N$4:$N$20,0))&amp;" · TF p."&amp;INDEX('7 Complexity'!$I$4:$I$20,MATCH(FALSE(),'7 Complexity'!$N$4:$N$20,0)),"All done ✔")</f>
        <v/>
      </c>
    </row>
    <row r="12">
      <c r="B12" s="11" t="inlineStr">
        <is>
          <t>TOTAL</t>
        </is>
      </c>
      <c r="C12" s="11">
        <f>SUM(C5:C11)</f>
        <v/>
      </c>
      <c r="D12" s="11">
        <f>SUM(D5:D11)</f>
        <v/>
      </c>
      <c r="E12" s="12">
        <f>IF(C12=0,0,D12/C12)</f>
        <v/>
      </c>
      <c r="F12" s="11">
        <f>SUM(F5:F11)</f>
        <v/>
      </c>
      <c r="G12" s="11">
        <f>SUM(G5:G11)</f>
        <v/>
      </c>
      <c r="H12" s="11">
        <f>SUM(H5:H11)</f>
        <v/>
      </c>
      <c r="I12" s="11">
        <f>SUM(I5:I11)</f>
        <v/>
      </c>
    </row>
    <row r="14">
      <c r="A14" s="13" t="inlineStr">
        <is>
          <t>Questions by year (tabs 1–7)</t>
        </is>
      </c>
    </row>
    <row r="15">
      <c r="A15" s="7" t="inlineStr">
        <is>
          <t>#</t>
        </is>
      </c>
      <c r="B15" s="7" t="inlineStr">
        <is>
          <t>Year</t>
        </is>
      </c>
      <c r="C15" s="7" t="inlineStr">
        <is>
          <t>Questions</t>
        </is>
      </c>
      <c r="D15" s="7" t="inlineStr">
        <is>
          <t>Done</t>
        </is>
      </c>
      <c r="E15" s="7" t="inlineStr">
        <is>
          <t>% Done</t>
        </is>
      </c>
      <c r="F15" s="7" t="inlineStr">
        <is>
          <t>Marks (total)</t>
        </is>
      </c>
    </row>
    <row r="16">
      <c r="A16" s="14" t="n">
        <v>1</v>
      </c>
      <c r="B16" s="14" t="inlineStr">
        <is>
          <t>2023-24</t>
        </is>
      </c>
      <c r="C16" s="14">
        <f>COUNTIF('1 Intro + CNF'!$B$4:$B$16,$B16)+COUNTIF('2 PDA'!$B$4:$B$51,$B16)+COUNTIF('3 TM Basics'!$B$4:$B$22,$B16)+COUNTIF('4 TM Techniques'!$B$4:$B$14,$B16)+COUNTIF('5 TM Variants'!$B$4:$B$22,$B16)+COUNTIF('6 Undecidability'!$B$4:$B$42,$B16)+COUNTIF('7 Complexity'!$B$4:$B$20,$B16)</f>
        <v/>
      </c>
      <c r="D16" s="14">
        <f>COUNTIFS('1 Intro + CNF'!$B$4:$B$16,$B16,'1 Intro + CNF'!$N$4:$N$16,TRUE())+COUNTIFS('2 PDA'!$B$4:$B$51,$B16,'2 PDA'!$N$4:$N$51,TRUE())+COUNTIFS('3 TM Basics'!$B$4:$B$22,$B16,'3 TM Basics'!$N$4:$N$22,TRUE())+COUNTIFS('4 TM Techniques'!$B$4:$B$14,$B16,'4 TM Techniques'!$N$4:$N$14,TRUE())+COUNTIFS('5 TM Variants'!$B$4:$B$22,$B16,'5 TM Variants'!$N$4:$N$22,TRUE())+COUNTIFS('6 Undecidability'!$B$4:$B$42,$B16,'6 Undecidability'!$N$4:$N$42,TRUE())+COUNTIFS('7 Complexity'!$B$4:$B$20,$B16,'7 Complexity'!$N$4:$N$20,TRUE())</f>
        <v/>
      </c>
      <c r="E16" s="15">
        <f>IF(C16=0,0,D16/C16)</f>
        <v/>
      </c>
      <c r="F16" s="14">
        <f>SUMIF('1 Intro + CNF'!$B$4:$B$16,$B16,'1 Intro + CNF'!$H$4:$H$16)+SUMIF('2 PDA'!$B$4:$B$51,$B16,'2 PDA'!$H$4:$H$51)+SUMIF('3 TM Basics'!$B$4:$B$22,$B16,'3 TM Basics'!$H$4:$H$22)+SUMIF('4 TM Techniques'!$B$4:$B$14,$B16,'4 TM Techniques'!$H$4:$H$14)+SUMIF('5 TM Variants'!$B$4:$B$22,$B16,'5 TM Variants'!$H$4:$H$22)+SUMIF('6 Undecidability'!$B$4:$B$42,$B16,'6 Undecidability'!$H$4:$H$42)+SUMIF('7 Complexity'!$B$4:$B$20,$B16,'7 Complexity'!$H$4:$H$20)</f>
        <v/>
      </c>
    </row>
    <row r="17">
      <c r="A17" s="14" t="n">
        <v>2</v>
      </c>
      <c r="B17" s="14" t="inlineStr">
        <is>
          <t>2022-23</t>
        </is>
      </c>
      <c r="C17" s="14">
        <f>COUNTIF('1 Intro + CNF'!$B$4:$B$16,$B17)+COUNTIF('2 PDA'!$B$4:$B$51,$B17)+COUNTIF('3 TM Basics'!$B$4:$B$22,$B17)+COUNTIF('4 TM Techniques'!$B$4:$B$14,$B17)+COUNTIF('5 TM Variants'!$B$4:$B$22,$B17)+COUNTIF('6 Undecidability'!$B$4:$B$42,$B17)+COUNTIF('7 Complexity'!$B$4:$B$20,$B17)</f>
        <v/>
      </c>
      <c r="D17" s="14">
        <f>COUNTIFS('1 Intro + CNF'!$B$4:$B$16,$B17,'1 Intro + CNF'!$N$4:$N$16,TRUE())+COUNTIFS('2 PDA'!$B$4:$B$51,$B17,'2 PDA'!$N$4:$N$51,TRUE())+COUNTIFS('3 TM Basics'!$B$4:$B$22,$B17,'3 TM Basics'!$N$4:$N$22,TRUE())+COUNTIFS('4 TM Techniques'!$B$4:$B$14,$B17,'4 TM Techniques'!$N$4:$N$14,TRUE())+COUNTIFS('5 TM Variants'!$B$4:$B$22,$B17,'5 TM Variants'!$N$4:$N$22,TRUE())+COUNTIFS('6 Undecidability'!$B$4:$B$42,$B17,'6 Undecidability'!$N$4:$N$42,TRUE())+COUNTIFS('7 Complexity'!$B$4:$B$20,$B17,'7 Complexity'!$N$4:$N$20,TRUE())</f>
        <v/>
      </c>
      <c r="E17" s="15">
        <f>IF(C17=0,0,D17/C17)</f>
        <v/>
      </c>
      <c r="F17" s="14">
        <f>SUMIF('1 Intro + CNF'!$B$4:$B$16,$B17,'1 Intro + CNF'!$H$4:$H$16)+SUMIF('2 PDA'!$B$4:$B$51,$B17,'2 PDA'!$H$4:$H$51)+SUMIF('3 TM Basics'!$B$4:$B$22,$B17,'3 TM Basics'!$H$4:$H$22)+SUMIF('4 TM Techniques'!$B$4:$B$14,$B17,'4 TM Techniques'!$H$4:$H$14)+SUMIF('5 TM Variants'!$B$4:$B$22,$B17,'5 TM Variants'!$H$4:$H$22)+SUMIF('6 Undecidability'!$B$4:$B$42,$B17,'6 Undecidability'!$H$4:$H$42)+SUMIF('7 Complexity'!$B$4:$B$20,$B17,'7 Complexity'!$H$4:$H$20)</f>
        <v/>
      </c>
    </row>
    <row r="18">
      <c r="A18" s="14" t="n">
        <v>3</v>
      </c>
      <c r="B18" s="14" t="inlineStr">
        <is>
          <t>2021-22</t>
        </is>
      </c>
      <c r="C18" s="14">
        <f>COUNTIF('1 Intro + CNF'!$B$4:$B$16,$B18)+COUNTIF('2 PDA'!$B$4:$B$51,$B18)+COUNTIF('3 TM Basics'!$B$4:$B$22,$B18)+COUNTIF('4 TM Techniques'!$B$4:$B$14,$B18)+COUNTIF('5 TM Variants'!$B$4:$B$22,$B18)+COUNTIF('6 Undecidability'!$B$4:$B$42,$B18)+COUNTIF('7 Complexity'!$B$4:$B$20,$B18)</f>
        <v/>
      </c>
      <c r="D18" s="14">
        <f>COUNTIFS('1 Intro + CNF'!$B$4:$B$16,$B18,'1 Intro + CNF'!$N$4:$N$16,TRUE())+COUNTIFS('2 PDA'!$B$4:$B$51,$B18,'2 PDA'!$N$4:$N$51,TRUE())+COUNTIFS('3 TM Basics'!$B$4:$B$22,$B18,'3 TM Basics'!$N$4:$N$22,TRUE())+COUNTIFS('4 TM Techniques'!$B$4:$B$14,$B18,'4 TM Techniques'!$N$4:$N$14,TRUE())+COUNTIFS('5 TM Variants'!$B$4:$B$22,$B18,'5 TM Variants'!$N$4:$N$22,TRUE())+COUNTIFS('6 Undecidability'!$B$4:$B$42,$B18,'6 Undecidability'!$N$4:$N$42,TRUE())+COUNTIFS('7 Complexity'!$B$4:$B$20,$B18,'7 Complexity'!$N$4:$N$20,TRUE())</f>
        <v/>
      </c>
      <c r="E18" s="15">
        <f>IF(C18=0,0,D18/C18)</f>
        <v/>
      </c>
      <c r="F18" s="14">
        <f>SUMIF('1 Intro + CNF'!$B$4:$B$16,$B18,'1 Intro + CNF'!$H$4:$H$16)+SUMIF('2 PDA'!$B$4:$B$51,$B18,'2 PDA'!$H$4:$H$51)+SUMIF('3 TM Basics'!$B$4:$B$22,$B18,'3 TM Basics'!$H$4:$H$22)+SUMIF('4 TM Techniques'!$B$4:$B$14,$B18,'4 TM Techniques'!$H$4:$H$14)+SUMIF('5 TM Variants'!$B$4:$B$22,$B18,'5 TM Variants'!$H$4:$H$22)+SUMIF('6 Undecidability'!$B$4:$B$42,$B18,'6 Undecidability'!$H$4:$H$42)+SUMIF('7 Complexity'!$B$4:$B$20,$B18,'7 Complexity'!$H$4:$H$20)</f>
        <v/>
      </c>
    </row>
    <row r="19">
      <c r="A19" s="14" t="n">
        <v>4</v>
      </c>
      <c r="B19" s="14" t="inlineStr">
        <is>
          <t>2020 (Jan term)</t>
        </is>
      </c>
      <c r="C19" s="14">
        <f>COUNTIF('1 Intro + CNF'!$B$4:$B$16,$B19)+COUNTIF('2 PDA'!$B$4:$B$51,$B19)+COUNTIF('3 TM Basics'!$B$4:$B$22,$B19)+COUNTIF('4 TM Techniques'!$B$4:$B$14,$B19)+COUNTIF('5 TM Variants'!$B$4:$B$22,$B19)+COUNTIF('6 Undecidability'!$B$4:$B$42,$B19)+COUNTIF('7 Complexity'!$B$4:$B$20,$B19)</f>
        <v/>
      </c>
      <c r="D19" s="14">
        <f>COUNTIFS('1 Intro + CNF'!$B$4:$B$16,$B19,'1 Intro + CNF'!$N$4:$N$16,TRUE())+COUNTIFS('2 PDA'!$B$4:$B$51,$B19,'2 PDA'!$N$4:$N$51,TRUE())+COUNTIFS('3 TM Basics'!$B$4:$B$22,$B19,'3 TM Basics'!$N$4:$N$22,TRUE())+COUNTIFS('4 TM Techniques'!$B$4:$B$14,$B19,'4 TM Techniques'!$N$4:$N$14,TRUE())+COUNTIFS('5 TM Variants'!$B$4:$B$22,$B19,'5 TM Variants'!$N$4:$N$22,TRUE())+COUNTIFS('6 Undecidability'!$B$4:$B$42,$B19,'6 Undecidability'!$N$4:$N$42,TRUE())+COUNTIFS('7 Complexity'!$B$4:$B$20,$B19,'7 Complexity'!$N$4:$N$20,TRUE())</f>
        <v/>
      </c>
      <c r="E19" s="15">
        <f>IF(C19=0,0,D19/C19)</f>
        <v/>
      </c>
      <c r="F19" s="14">
        <f>SUMIF('1 Intro + CNF'!$B$4:$B$16,$B19,'1 Intro + CNF'!$H$4:$H$16)+SUMIF('2 PDA'!$B$4:$B$51,$B19,'2 PDA'!$H$4:$H$51)+SUMIF('3 TM Basics'!$B$4:$B$22,$B19,'3 TM Basics'!$H$4:$H$22)+SUMIF('4 TM Techniques'!$B$4:$B$14,$B19,'4 TM Techniques'!$H$4:$H$14)+SUMIF('5 TM Variants'!$B$4:$B$22,$B19,'5 TM Variants'!$H$4:$H$22)+SUMIF('6 Undecidability'!$B$4:$B$42,$B19,'6 Undecidability'!$H$4:$H$42)+SUMIF('7 Complexity'!$B$4:$B$20,$B19,'7 Complexity'!$H$4:$H$20)</f>
        <v/>
      </c>
    </row>
    <row r="20">
      <c r="A20" s="14" t="n">
        <v>5</v>
      </c>
      <c r="B20" s="14" t="inlineStr">
        <is>
          <t>2019-20</t>
        </is>
      </c>
      <c r="C20" s="14">
        <f>COUNTIF('1 Intro + CNF'!$B$4:$B$16,$B20)+COUNTIF('2 PDA'!$B$4:$B$51,$B20)+COUNTIF('3 TM Basics'!$B$4:$B$22,$B20)+COUNTIF('4 TM Techniques'!$B$4:$B$14,$B20)+COUNTIF('5 TM Variants'!$B$4:$B$22,$B20)+COUNTIF('6 Undecidability'!$B$4:$B$42,$B20)+COUNTIF('7 Complexity'!$B$4:$B$20,$B20)</f>
        <v/>
      </c>
      <c r="D20" s="14">
        <f>COUNTIFS('1 Intro + CNF'!$B$4:$B$16,$B20,'1 Intro + CNF'!$N$4:$N$16,TRUE())+COUNTIFS('2 PDA'!$B$4:$B$51,$B20,'2 PDA'!$N$4:$N$51,TRUE())+COUNTIFS('3 TM Basics'!$B$4:$B$22,$B20,'3 TM Basics'!$N$4:$N$22,TRUE())+COUNTIFS('4 TM Techniques'!$B$4:$B$14,$B20,'4 TM Techniques'!$N$4:$N$14,TRUE())+COUNTIFS('5 TM Variants'!$B$4:$B$22,$B20,'5 TM Variants'!$N$4:$N$22,TRUE())+COUNTIFS('6 Undecidability'!$B$4:$B$42,$B20,'6 Undecidability'!$N$4:$N$42,TRUE())+COUNTIFS('7 Complexity'!$B$4:$B$20,$B20,'7 Complexity'!$N$4:$N$20,TRUE())</f>
        <v/>
      </c>
      <c r="E20" s="15">
        <f>IF(C20=0,0,D20/C20)</f>
        <v/>
      </c>
      <c r="F20" s="14">
        <f>SUMIF('1 Intro + CNF'!$B$4:$B$16,$B20,'1 Intro + CNF'!$H$4:$H$16)+SUMIF('2 PDA'!$B$4:$B$51,$B20,'2 PDA'!$H$4:$H$51)+SUMIF('3 TM Basics'!$B$4:$B$22,$B20,'3 TM Basics'!$H$4:$H$22)+SUMIF('4 TM Techniques'!$B$4:$B$14,$B20,'4 TM Techniques'!$H$4:$H$14)+SUMIF('5 TM Variants'!$B$4:$B$22,$B20,'5 TM Variants'!$H$4:$H$22)+SUMIF('6 Undecidability'!$B$4:$B$42,$B20,'6 Undecidability'!$H$4:$H$42)+SUMIF('7 Complexity'!$B$4:$B$20,$B20,'7 Complexity'!$H$4:$H$20)</f>
        <v/>
      </c>
    </row>
    <row r="21">
      <c r="A21" s="16" t="n">
        <v>6</v>
      </c>
      <c r="B21" s="16" t="inlineStr">
        <is>
          <t>2017-18</t>
        </is>
      </c>
      <c r="C21" s="16">
        <f>COUNTIF('1 Intro + CNF'!$B$4:$B$16,$B21)+COUNTIF('2 PDA'!$B$4:$B$51,$B21)+COUNTIF('3 TM Basics'!$B$4:$B$22,$B21)+COUNTIF('4 TM Techniques'!$B$4:$B$14,$B21)+COUNTIF('5 TM Variants'!$B$4:$B$22,$B21)+COUNTIF('6 Undecidability'!$B$4:$B$42,$B21)+COUNTIF('7 Complexity'!$B$4:$B$20,$B21)</f>
        <v/>
      </c>
      <c r="D21" s="16">
        <f>COUNTIFS('1 Intro + CNF'!$B$4:$B$16,$B21,'1 Intro + CNF'!$N$4:$N$16,TRUE())+COUNTIFS('2 PDA'!$B$4:$B$51,$B21,'2 PDA'!$N$4:$N$51,TRUE())+COUNTIFS('3 TM Basics'!$B$4:$B$22,$B21,'3 TM Basics'!$N$4:$N$22,TRUE())+COUNTIFS('4 TM Techniques'!$B$4:$B$14,$B21,'4 TM Techniques'!$N$4:$N$14,TRUE())+COUNTIFS('5 TM Variants'!$B$4:$B$22,$B21,'5 TM Variants'!$N$4:$N$22,TRUE())+COUNTIFS('6 Undecidability'!$B$4:$B$42,$B21,'6 Undecidability'!$N$4:$N$42,TRUE())+COUNTIFS('7 Complexity'!$B$4:$B$20,$B21,'7 Complexity'!$N$4:$N$20,TRUE())</f>
        <v/>
      </c>
      <c r="E21" s="17">
        <f>IF(C21=0,0,D21/C21)</f>
        <v/>
      </c>
      <c r="F21" s="16">
        <f>SUMIF('1 Intro + CNF'!$B$4:$B$16,$B21,'1 Intro + CNF'!$H$4:$H$16)+SUMIF('2 PDA'!$B$4:$B$51,$B21,'2 PDA'!$H$4:$H$51)+SUMIF('3 TM Basics'!$B$4:$B$22,$B21,'3 TM Basics'!$H$4:$H$22)+SUMIF('4 TM Techniques'!$B$4:$B$14,$B21,'4 TM Techniques'!$H$4:$H$14)+SUMIF('5 TM Variants'!$B$4:$B$22,$B21,'5 TM Variants'!$H$4:$H$22)+SUMIF('6 Undecidability'!$B$4:$B$42,$B21,'6 Undecidability'!$H$4:$H$42)+SUMIF('7 Complexity'!$B$4:$B$20,$B21,'7 Complexity'!$H$4:$H$20)</f>
        <v/>
      </c>
    </row>
    <row r="22">
      <c r="A22" s="16" t="n">
        <v>7</v>
      </c>
      <c r="B22" s="16" t="inlineStr">
        <is>
          <t>2016-17</t>
        </is>
      </c>
      <c r="C22" s="16">
        <f>COUNTIF('1 Intro + CNF'!$B$4:$B$16,$B22)+COUNTIF('2 PDA'!$B$4:$B$51,$B22)+COUNTIF('3 TM Basics'!$B$4:$B$22,$B22)+COUNTIF('4 TM Techniques'!$B$4:$B$14,$B22)+COUNTIF('5 TM Variants'!$B$4:$B$22,$B22)+COUNTIF('6 Undecidability'!$B$4:$B$42,$B22)+COUNTIF('7 Complexity'!$B$4:$B$20,$B22)</f>
        <v/>
      </c>
      <c r="D22" s="16">
        <f>COUNTIFS('1 Intro + CNF'!$B$4:$B$16,$B22,'1 Intro + CNF'!$N$4:$N$16,TRUE())+COUNTIFS('2 PDA'!$B$4:$B$51,$B22,'2 PDA'!$N$4:$N$51,TRUE())+COUNTIFS('3 TM Basics'!$B$4:$B$22,$B22,'3 TM Basics'!$N$4:$N$22,TRUE())+COUNTIFS('4 TM Techniques'!$B$4:$B$14,$B22,'4 TM Techniques'!$N$4:$N$14,TRUE())+COUNTIFS('5 TM Variants'!$B$4:$B$22,$B22,'5 TM Variants'!$N$4:$N$22,TRUE())+COUNTIFS('6 Undecidability'!$B$4:$B$42,$B22,'6 Undecidability'!$N$4:$N$42,TRUE())+COUNTIFS('7 Complexity'!$B$4:$B$20,$B22,'7 Complexity'!$N$4:$N$20,TRUE())</f>
        <v/>
      </c>
      <c r="E22" s="17">
        <f>IF(C22=0,0,D22/C22)</f>
        <v/>
      </c>
      <c r="F22" s="16">
        <f>SUMIF('1 Intro + CNF'!$B$4:$B$16,$B22,'1 Intro + CNF'!$H$4:$H$16)+SUMIF('2 PDA'!$B$4:$B$51,$B22,'2 PDA'!$H$4:$H$51)+SUMIF('3 TM Basics'!$B$4:$B$22,$B22,'3 TM Basics'!$H$4:$H$22)+SUMIF('4 TM Techniques'!$B$4:$B$14,$B22,'4 TM Techniques'!$H$4:$H$14)+SUMIF('5 TM Variants'!$B$4:$B$22,$B22,'5 TM Variants'!$H$4:$H$22)+SUMIF('6 Undecidability'!$B$4:$B$42,$B22,'6 Undecidability'!$H$4:$H$42)+SUMIF('7 Complexity'!$B$4:$B$20,$B22,'7 Complexity'!$H$4:$H$20)</f>
        <v/>
      </c>
    </row>
    <row r="23">
      <c r="A23" s="16" t="n">
        <v>8</v>
      </c>
      <c r="B23" s="16" t="inlineStr">
        <is>
          <t>2015-16</t>
        </is>
      </c>
      <c r="C23" s="16">
        <f>COUNTIF('1 Intro + CNF'!$B$4:$B$16,$B23)+COUNTIF('2 PDA'!$B$4:$B$51,$B23)+COUNTIF('3 TM Basics'!$B$4:$B$22,$B23)+COUNTIF('4 TM Techniques'!$B$4:$B$14,$B23)+COUNTIF('5 TM Variants'!$B$4:$B$22,$B23)+COUNTIF('6 Undecidability'!$B$4:$B$42,$B23)+COUNTIF('7 Complexity'!$B$4:$B$20,$B23)</f>
        <v/>
      </c>
      <c r="D23" s="16">
        <f>COUNTIFS('1 Intro + CNF'!$B$4:$B$16,$B23,'1 Intro + CNF'!$N$4:$N$16,TRUE())+COUNTIFS('2 PDA'!$B$4:$B$51,$B23,'2 PDA'!$N$4:$N$51,TRUE())+COUNTIFS('3 TM Basics'!$B$4:$B$22,$B23,'3 TM Basics'!$N$4:$N$22,TRUE())+COUNTIFS('4 TM Techniques'!$B$4:$B$14,$B23,'4 TM Techniques'!$N$4:$N$14,TRUE())+COUNTIFS('5 TM Variants'!$B$4:$B$22,$B23,'5 TM Variants'!$N$4:$N$22,TRUE())+COUNTIFS('6 Undecidability'!$B$4:$B$42,$B23,'6 Undecidability'!$N$4:$N$42,TRUE())+COUNTIFS('7 Complexity'!$B$4:$B$20,$B23,'7 Complexity'!$N$4:$N$20,TRUE())</f>
        <v/>
      </c>
      <c r="E23" s="17">
        <f>IF(C23=0,0,D23/C23)</f>
        <v/>
      </c>
      <c r="F23" s="16">
        <f>SUMIF('1 Intro + CNF'!$B$4:$B$16,$B23,'1 Intro + CNF'!$H$4:$H$16)+SUMIF('2 PDA'!$B$4:$B$51,$B23,'2 PDA'!$H$4:$H$51)+SUMIF('3 TM Basics'!$B$4:$B$22,$B23,'3 TM Basics'!$H$4:$H$22)+SUMIF('4 TM Techniques'!$B$4:$B$14,$B23,'4 TM Techniques'!$H$4:$H$14)+SUMIF('5 TM Variants'!$B$4:$B$22,$B23,'5 TM Variants'!$H$4:$H$22)+SUMIF('6 Undecidability'!$B$4:$B$42,$B23,'6 Undecidability'!$H$4:$H$42)+SUMIF('7 Complexity'!$B$4:$B$20,$B23,'7 Complexity'!$H$4:$H$20)</f>
        <v/>
      </c>
    </row>
    <row r="24">
      <c r="A24" s="16" t="n">
        <v>9</v>
      </c>
      <c r="B24" s="16" t="inlineStr">
        <is>
          <t>2014-15</t>
        </is>
      </c>
      <c r="C24" s="16">
        <f>COUNTIF('1 Intro + CNF'!$B$4:$B$16,$B24)+COUNTIF('2 PDA'!$B$4:$B$51,$B24)+COUNTIF('3 TM Basics'!$B$4:$B$22,$B24)+COUNTIF('4 TM Techniques'!$B$4:$B$14,$B24)+COUNTIF('5 TM Variants'!$B$4:$B$22,$B24)+COUNTIF('6 Undecidability'!$B$4:$B$42,$B24)+COUNTIF('7 Complexity'!$B$4:$B$20,$B24)</f>
        <v/>
      </c>
      <c r="D24" s="16">
        <f>COUNTIFS('1 Intro + CNF'!$B$4:$B$16,$B24,'1 Intro + CNF'!$N$4:$N$16,TRUE())+COUNTIFS('2 PDA'!$B$4:$B$51,$B24,'2 PDA'!$N$4:$N$51,TRUE())+COUNTIFS('3 TM Basics'!$B$4:$B$22,$B24,'3 TM Basics'!$N$4:$N$22,TRUE())+COUNTIFS('4 TM Techniques'!$B$4:$B$14,$B24,'4 TM Techniques'!$N$4:$N$14,TRUE())+COUNTIFS('5 TM Variants'!$B$4:$B$22,$B24,'5 TM Variants'!$N$4:$N$22,TRUE())+COUNTIFS('6 Undecidability'!$B$4:$B$42,$B24,'6 Undecidability'!$N$4:$N$42,TRUE())+COUNTIFS('7 Complexity'!$B$4:$B$20,$B24,'7 Complexity'!$N$4:$N$20,TRUE())</f>
        <v/>
      </c>
      <c r="E24" s="17">
        <f>IF(C24=0,0,D24/C24)</f>
        <v/>
      </c>
      <c r="F24" s="16">
        <f>SUMIF('1 Intro + CNF'!$B$4:$B$16,$B24,'1 Intro + CNF'!$H$4:$H$16)+SUMIF('2 PDA'!$B$4:$B$51,$B24,'2 PDA'!$H$4:$H$51)+SUMIF('3 TM Basics'!$B$4:$B$22,$B24,'3 TM Basics'!$H$4:$H$22)+SUMIF('4 TM Techniques'!$B$4:$B$14,$B24,'4 TM Techniques'!$H$4:$H$14)+SUMIF('5 TM Variants'!$B$4:$B$22,$B24,'5 TM Variants'!$H$4:$H$22)+SUMIF('6 Undecidability'!$B$4:$B$42,$B24,'6 Undecidability'!$H$4:$H$42)+SUMIF('7 Complexity'!$B$4:$B$20,$B24,'7 Complexity'!$H$4:$H$20)</f>
        <v/>
      </c>
    </row>
    <row r="25">
      <c r="A25" s="16" t="n">
        <v>10</v>
      </c>
      <c r="B25" s="16" t="inlineStr">
        <is>
          <t>2013-14</t>
        </is>
      </c>
      <c r="C25" s="16">
        <f>COUNTIF('1 Intro + CNF'!$B$4:$B$16,$B25)+COUNTIF('2 PDA'!$B$4:$B$51,$B25)+COUNTIF('3 TM Basics'!$B$4:$B$22,$B25)+COUNTIF('4 TM Techniques'!$B$4:$B$14,$B25)+COUNTIF('5 TM Variants'!$B$4:$B$22,$B25)+COUNTIF('6 Undecidability'!$B$4:$B$42,$B25)+COUNTIF('7 Complexity'!$B$4:$B$20,$B25)</f>
        <v/>
      </c>
      <c r="D25" s="16">
        <f>COUNTIFS('1 Intro + CNF'!$B$4:$B$16,$B25,'1 Intro + CNF'!$N$4:$N$16,TRUE())+COUNTIFS('2 PDA'!$B$4:$B$51,$B25,'2 PDA'!$N$4:$N$51,TRUE())+COUNTIFS('3 TM Basics'!$B$4:$B$22,$B25,'3 TM Basics'!$N$4:$N$22,TRUE())+COUNTIFS('4 TM Techniques'!$B$4:$B$14,$B25,'4 TM Techniques'!$N$4:$N$14,TRUE())+COUNTIFS('5 TM Variants'!$B$4:$B$22,$B25,'5 TM Variants'!$N$4:$N$22,TRUE())+COUNTIFS('6 Undecidability'!$B$4:$B$42,$B25,'6 Undecidability'!$N$4:$N$42,TRUE())+COUNTIFS('7 Complexity'!$B$4:$B$20,$B25,'7 Complexity'!$N$4:$N$20,TRUE())</f>
        <v/>
      </c>
      <c r="E25" s="17">
        <f>IF(C25=0,0,D25/C25)</f>
        <v/>
      </c>
      <c r="F25" s="16">
        <f>SUMIF('1 Intro + CNF'!$B$4:$B$16,$B25,'1 Intro + CNF'!$H$4:$H$16)+SUMIF('2 PDA'!$B$4:$B$51,$B25,'2 PDA'!$H$4:$H$51)+SUMIF('3 TM Basics'!$B$4:$B$22,$B25,'3 TM Basics'!$H$4:$H$22)+SUMIF('4 TM Techniques'!$B$4:$B$14,$B25,'4 TM Techniques'!$H$4:$H$14)+SUMIF('5 TM Variants'!$B$4:$B$22,$B25,'5 TM Variants'!$H$4:$H$22)+SUMIF('6 Undecidability'!$B$4:$B$42,$B25,'6 Undecidability'!$H$4:$H$42)+SUMIF('7 Complexity'!$B$4:$B$20,$B25,'7 Complexity'!$H$4:$H$20)</f>
        <v/>
      </c>
    </row>
    <row r="26">
      <c r="A26" s="16" t="n">
        <v>11</v>
      </c>
      <c r="B26" s="16" t="inlineStr">
        <is>
          <t>2012-13</t>
        </is>
      </c>
      <c r="C26" s="16">
        <f>COUNTIF('1 Intro + CNF'!$B$4:$B$16,$B26)+COUNTIF('2 PDA'!$B$4:$B$51,$B26)+COUNTIF('3 TM Basics'!$B$4:$B$22,$B26)+COUNTIF('4 TM Techniques'!$B$4:$B$14,$B26)+COUNTIF('5 TM Variants'!$B$4:$B$22,$B26)+COUNTIF('6 Undecidability'!$B$4:$B$42,$B26)+COUNTIF('7 Complexity'!$B$4:$B$20,$B26)</f>
        <v/>
      </c>
      <c r="D26" s="16">
        <f>COUNTIFS('1 Intro + CNF'!$B$4:$B$16,$B26,'1 Intro + CNF'!$N$4:$N$16,TRUE())+COUNTIFS('2 PDA'!$B$4:$B$51,$B26,'2 PDA'!$N$4:$N$51,TRUE())+COUNTIFS('3 TM Basics'!$B$4:$B$22,$B26,'3 TM Basics'!$N$4:$N$22,TRUE())+COUNTIFS('4 TM Techniques'!$B$4:$B$14,$B26,'4 TM Techniques'!$N$4:$N$14,TRUE())+COUNTIFS('5 TM Variants'!$B$4:$B$22,$B26,'5 TM Variants'!$N$4:$N$22,TRUE())+COUNTIFS('6 Undecidability'!$B$4:$B$42,$B26,'6 Undecidability'!$N$4:$N$42,TRUE())+COUNTIFS('7 Complexity'!$B$4:$B$20,$B26,'7 Complexity'!$N$4:$N$20,TRUE())</f>
        <v/>
      </c>
      <c r="E26" s="17">
        <f>IF(C26=0,0,D26/C26)</f>
        <v/>
      </c>
      <c r="F26" s="16">
        <f>SUMIF('1 Intro + CNF'!$B$4:$B$16,$B26,'1 Intro + CNF'!$H$4:$H$16)+SUMIF('2 PDA'!$B$4:$B$51,$B26,'2 PDA'!$H$4:$H$51)+SUMIF('3 TM Basics'!$B$4:$B$22,$B26,'3 TM Basics'!$H$4:$H$22)+SUMIF('4 TM Techniques'!$B$4:$B$14,$B26,'4 TM Techniques'!$H$4:$H$14)+SUMIF('5 TM Variants'!$B$4:$B$22,$B26,'5 TM Variants'!$H$4:$H$22)+SUMIF('6 Undecidability'!$B$4:$B$42,$B26,'6 Undecidability'!$H$4:$H$42)+SUMIF('7 Complexity'!$B$4:$B$20,$B26,'7 Complexity'!$H$4:$H$20)</f>
        <v/>
      </c>
    </row>
    <row r="27">
      <c r="A27" s="16" t="n">
        <v>12</v>
      </c>
      <c r="B27" s="16" t="inlineStr">
        <is>
          <t>2011-12</t>
        </is>
      </c>
      <c r="C27" s="16">
        <f>COUNTIF('1 Intro + CNF'!$B$4:$B$16,$B27)+COUNTIF('2 PDA'!$B$4:$B$51,$B27)+COUNTIF('3 TM Basics'!$B$4:$B$22,$B27)+COUNTIF('4 TM Techniques'!$B$4:$B$14,$B27)+COUNTIF('5 TM Variants'!$B$4:$B$22,$B27)+COUNTIF('6 Undecidability'!$B$4:$B$42,$B27)+COUNTIF('7 Complexity'!$B$4:$B$20,$B27)</f>
        <v/>
      </c>
      <c r="D27" s="16">
        <f>COUNTIFS('1 Intro + CNF'!$B$4:$B$16,$B27,'1 Intro + CNF'!$N$4:$N$16,TRUE())+COUNTIFS('2 PDA'!$B$4:$B$51,$B27,'2 PDA'!$N$4:$N$51,TRUE())+COUNTIFS('3 TM Basics'!$B$4:$B$22,$B27,'3 TM Basics'!$N$4:$N$22,TRUE())+COUNTIFS('4 TM Techniques'!$B$4:$B$14,$B27,'4 TM Techniques'!$N$4:$N$14,TRUE())+COUNTIFS('5 TM Variants'!$B$4:$B$22,$B27,'5 TM Variants'!$N$4:$N$22,TRUE())+COUNTIFS('6 Undecidability'!$B$4:$B$42,$B27,'6 Undecidability'!$N$4:$N$42,TRUE())+COUNTIFS('7 Complexity'!$B$4:$B$20,$B27,'7 Complexity'!$N$4:$N$20,TRUE())</f>
        <v/>
      </c>
      <c r="E27" s="17">
        <f>IF(C27=0,0,D27/C27)</f>
        <v/>
      </c>
      <c r="F27" s="16">
        <f>SUMIF('1 Intro + CNF'!$B$4:$B$16,$B27,'1 Intro + CNF'!$H$4:$H$16)+SUMIF('2 PDA'!$B$4:$B$51,$B27,'2 PDA'!$H$4:$H$51)+SUMIF('3 TM Basics'!$B$4:$B$22,$B27,'3 TM Basics'!$H$4:$H$22)+SUMIF('4 TM Techniques'!$B$4:$B$14,$B27,'4 TM Techniques'!$H$4:$H$14)+SUMIF('5 TM Variants'!$B$4:$B$22,$B27,'5 TM Variants'!$H$4:$H$22)+SUMIF('6 Undecidability'!$B$4:$B$42,$B27,'6 Undecidability'!$H$4:$H$42)+SUMIF('7 Complexity'!$B$4:$B$20,$B27,'7 Complexity'!$H$4:$H$20)</f>
        <v/>
      </c>
    </row>
    <row r="28">
      <c r="A28" s="16" t="n">
        <v>13</v>
      </c>
      <c r="B28" s="16" t="inlineStr">
        <is>
          <t>2010-11</t>
        </is>
      </c>
      <c r="C28" s="16">
        <f>COUNTIF('1 Intro + CNF'!$B$4:$B$16,$B28)+COUNTIF('2 PDA'!$B$4:$B$51,$B28)+COUNTIF('3 TM Basics'!$B$4:$B$22,$B28)+COUNTIF('4 TM Techniques'!$B$4:$B$14,$B28)+COUNTIF('5 TM Variants'!$B$4:$B$22,$B28)+COUNTIF('6 Undecidability'!$B$4:$B$42,$B28)+COUNTIF('7 Complexity'!$B$4:$B$20,$B28)</f>
        <v/>
      </c>
      <c r="D28" s="16">
        <f>COUNTIFS('1 Intro + CNF'!$B$4:$B$16,$B28,'1 Intro + CNF'!$N$4:$N$16,TRUE())+COUNTIFS('2 PDA'!$B$4:$B$51,$B28,'2 PDA'!$N$4:$N$51,TRUE())+COUNTIFS('3 TM Basics'!$B$4:$B$22,$B28,'3 TM Basics'!$N$4:$N$22,TRUE())+COUNTIFS('4 TM Techniques'!$B$4:$B$14,$B28,'4 TM Techniques'!$N$4:$N$14,TRUE())+COUNTIFS('5 TM Variants'!$B$4:$B$22,$B28,'5 TM Variants'!$N$4:$N$22,TRUE())+COUNTIFS('6 Undecidability'!$B$4:$B$42,$B28,'6 Undecidability'!$N$4:$N$42,TRUE())+COUNTIFS('7 Complexity'!$B$4:$B$20,$B28,'7 Complexity'!$N$4:$N$20,TRUE())</f>
        <v/>
      </c>
      <c r="E28" s="17">
        <f>IF(C28=0,0,D28/C28)</f>
        <v/>
      </c>
      <c r="F28" s="16">
        <f>SUMIF('1 Intro + CNF'!$B$4:$B$16,$B28,'1 Intro + CNF'!$H$4:$H$16)+SUMIF('2 PDA'!$B$4:$B$51,$B28,'2 PDA'!$H$4:$H$51)+SUMIF('3 TM Basics'!$B$4:$B$22,$B28,'3 TM Basics'!$H$4:$H$22)+SUMIF('4 TM Techniques'!$B$4:$B$14,$B28,'4 TM Techniques'!$H$4:$H$14)+SUMIF('5 TM Variants'!$B$4:$B$22,$B28,'5 TM Variants'!$H$4:$H$22)+SUMIF('6 Undecidability'!$B$4:$B$42,$B28,'6 Undecidability'!$H$4:$H$42)+SUMIF('7 Complexity'!$B$4:$B$20,$B28,'7 Complexity'!$H$4:$H$20)</f>
        <v/>
      </c>
    </row>
    <row r="29">
      <c r="A29" s="16" t="n">
        <v>14</v>
      </c>
      <c r="B29" s="16" t="inlineStr">
        <is>
          <t>2009-10</t>
        </is>
      </c>
      <c r="C29" s="16">
        <f>COUNTIF('1 Intro + CNF'!$B$4:$B$16,$B29)+COUNTIF('2 PDA'!$B$4:$B$51,$B29)+COUNTIF('3 TM Basics'!$B$4:$B$22,$B29)+COUNTIF('4 TM Techniques'!$B$4:$B$14,$B29)+COUNTIF('5 TM Variants'!$B$4:$B$22,$B29)+COUNTIF('6 Undecidability'!$B$4:$B$42,$B29)+COUNTIF('7 Complexity'!$B$4:$B$20,$B29)</f>
        <v/>
      </c>
      <c r="D29" s="16">
        <f>COUNTIFS('1 Intro + CNF'!$B$4:$B$16,$B29,'1 Intro + CNF'!$N$4:$N$16,TRUE())+COUNTIFS('2 PDA'!$B$4:$B$51,$B29,'2 PDA'!$N$4:$N$51,TRUE())+COUNTIFS('3 TM Basics'!$B$4:$B$22,$B29,'3 TM Basics'!$N$4:$N$22,TRUE())+COUNTIFS('4 TM Techniques'!$B$4:$B$14,$B29,'4 TM Techniques'!$N$4:$N$14,TRUE())+COUNTIFS('5 TM Variants'!$B$4:$B$22,$B29,'5 TM Variants'!$N$4:$N$22,TRUE())+COUNTIFS('6 Undecidability'!$B$4:$B$42,$B29,'6 Undecidability'!$N$4:$N$42,TRUE())+COUNTIFS('7 Complexity'!$B$4:$B$20,$B29,'7 Complexity'!$N$4:$N$20,TRUE())</f>
        <v/>
      </c>
      <c r="E29" s="17">
        <f>IF(C29=0,0,D29/C29)</f>
        <v/>
      </c>
      <c r="F29" s="16">
        <f>SUMIF('1 Intro + CNF'!$B$4:$B$16,$B29,'1 Intro + CNF'!$H$4:$H$16)+SUMIF('2 PDA'!$B$4:$B$51,$B29,'2 PDA'!$H$4:$H$51)+SUMIF('3 TM Basics'!$B$4:$B$22,$B29,'3 TM Basics'!$H$4:$H$22)+SUMIF('4 TM Techniques'!$B$4:$B$14,$B29,'4 TM Techniques'!$H$4:$H$14)+SUMIF('5 TM Variants'!$B$4:$B$22,$B29,'5 TM Variants'!$H$4:$H$22)+SUMIF('6 Undecidability'!$B$4:$B$42,$B29,'6 Undecidability'!$H$4:$H$42)+SUMIF('7 Complexity'!$B$4:$B$20,$B29,'7 Complexity'!$H$4:$H$20)</f>
        <v/>
      </c>
    </row>
    <row r="30">
      <c r="A30" s="16" t="n">
        <v>15</v>
      </c>
      <c r="B30" s="16" t="inlineStr">
        <is>
          <t>2008-09</t>
        </is>
      </c>
      <c r="C30" s="16">
        <f>COUNTIF('1 Intro + CNF'!$B$4:$B$16,$B30)+COUNTIF('2 PDA'!$B$4:$B$51,$B30)+COUNTIF('3 TM Basics'!$B$4:$B$22,$B30)+COUNTIF('4 TM Techniques'!$B$4:$B$14,$B30)+COUNTIF('5 TM Variants'!$B$4:$B$22,$B30)+COUNTIF('6 Undecidability'!$B$4:$B$42,$B30)+COUNTIF('7 Complexity'!$B$4:$B$20,$B30)</f>
        <v/>
      </c>
      <c r="D30" s="16">
        <f>COUNTIFS('1 Intro + CNF'!$B$4:$B$16,$B30,'1 Intro + CNF'!$N$4:$N$16,TRUE())+COUNTIFS('2 PDA'!$B$4:$B$51,$B30,'2 PDA'!$N$4:$N$51,TRUE())+COUNTIFS('3 TM Basics'!$B$4:$B$22,$B30,'3 TM Basics'!$N$4:$N$22,TRUE())+COUNTIFS('4 TM Techniques'!$B$4:$B$14,$B30,'4 TM Techniques'!$N$4:$N$14,TRUE())+COUNTIFS('5 TM Variants'!$B$4:$B$22,$B30,'5 TM Variants'!$N$4:$N$22,TRUE())+COUNTIFS('6 Undecidability'!$B$4:$B$42,$B30,'6 Undecidability'!$N$4:$N$42,TRUE())+COUNTIFS('7 Complexity'!$B$4:$B$20,$B30,'7 Complexity'!$N$4:$N$20,TRUE())</f>
        <v/>
      </c>
      <c r="E30" s="17">
        <f>IF(C30=0,0,D30/C30)</f>
        <v/>
      </c>
      <c r="F30" s="16">
        <f>SUMIF('1 Intro + CNF'!$B$4:$B$16,$B30,'1 Intro + CNF'!$H$4:$H$16)+SUMIF('2 PDA'!$B$4:$B$51,$B30,'2 PDA'!$H$4:$H$51)+SUMIF('3 TM Basics'!$B$4:$B$22,$B30,'3 TM Basics'!$H$4:$H$22)+SUMIF('4 TM Techniques'!$B$4:$B$14,$B30,'4 TM Techniques'!$H$4:$H$14)+SUMIF('5 TM Variants'!$B$4:$B$22,$B30,'5 TM Variants'!$H$4:$H$22)+SUMIF('6 Undecidability'!$B$4:$B$42,$B30,'6 Undecidability'!$H$4:$H$42)+SUMIF('7 Complexity'!$B$4:$B$20,$B30,'7 Complexity'!$H$4:$H$20)</f>
        <v/>
      </c>
    </row>
    <row r="31">
      <c r="A31" s="16" t="n">
        <v>16</v>
      </c>
      <c r="B31" s="16" t="inlineStr">
        <is>
          <t>2007-08</t>
        </is>
      </c>
      <c r="C31" s="16">
        <f>COUNTIF('1 Intro + CNF'!$B$4:$B$16,$B31)+COUNTIF('2 PDA'!$B$4:$B$51,$B31)+COUNTIF('3 TM Basics'!$B$4:$B$22,$B31)+COUNTIF('4 TM Techniques'!$B$4:$B$14,$B31)+COUNTIF('5 TM Variants'!$B$4:$B$22,$B31)+COUNTIF('6 Undecidability'!$B$4:$B$42,$B31)+COUNTIF('7 Complexity'!$B$4:$B$20,$B31)</f>
        <v/>
      </c>
      <c r="D31" s="16">
        <f>COUNTIFS('1 Intro + CNF'!$B$4:$B$16,$B31,'1 Intro + CNF'!$N$4:$N$16,TRUE())+COUNTIFS('2 PDA'!$B$4:$B$51,$B31,'2 PDA'!$N$4:$N$51,TRUE())+COUNTIFS('3 TM Basics'!$B$4:$B$22,$B31,'3 TM Basics'!$N$4:$N$22,TRUE())+COUNTIFS('4 TM Techniques'!$B$4:$B$14,$B31,'4 TM Techniques'!$N$4:$N$14,TRUE())+COUNTIFS('5 TM Variants'!$B$4:$B$22,$B31,'5 TM Variants'!$N$4:$N$22,TRUE())+COUNTIFS('6 Undecidability'!$B$4:$B$42,$B31,'6 Undecidability'!$N$4:$N$42,TRUE())+COUNTIFS('7 Complexity'!$B$4:$B$20,$B31,'7 Complexity'!$N$4:$N$20,TRUE())</f>
        <v/>
      </c>
      <c r="E31" s="17">
        <f>IF(C31=0,0,D31/C31)</f>
        <v/>
      </c>
      <c r="F31" s="16">
        <f>SUMIF('1 Intro + CNF'!$B$4:$B$16,$B31,'1 Intro + CNF'!$H$4:$H$16)+SUMIF('2 PDA'!$B$4:$B$51,$B31,'2 PDA'!$H$4:$H$51)+SUMIF('3 TM Basics'!$B$4:$B$22,$B31,'3 TM Basics'!$H$4:$H$22)+SUMIF('4 TM Techniques'!$B$4:$B$14,$B31,'4 TM Techniques'!$H$4:$H$14)+SUMIF('5 TM Variants'!$B$4:$B$22,$B31,'5 TM Variants'!$H$4:$H$22)+SUMIF('6 Undecidability'!$B$4:$B$42,$B31,'6 Undecidability'!$H$4:$H$42)+SUMIF('7 Complexity'!$B$4:$B$20,$B31,'7 Complexity'!$H$4:$H$20)</f>
        <v/>
      </c>
    </row>
    <row r="32">
      <c r="A32" s="16" t="n">
        <v>17</v>
      </c>
      <c r="B32" s="16" t="inlineStr">
        <is>
          <t>2006-07</t>
        </is>
      </c>
      <c r="C32" s="16">
        <f>COUNTIF('1 Intro + CNF'!$B$4:$B$16,$B32)+COUNTIF('2 PDA'!$B$4:$B$51,$B32)+COUNTIF('3 TM Basics'!$B$4:$B$22,$B32)+COUNTIF('4 TM Techniques'!$B$4:$B$14,$B32)+COUNTIF('5 TM Variants'!$B$4:$B$22,$B32)+COUNTIF('6 Undecidability'!$B$4:$B$42,$B32)+COUNTIF('7 Complexity'!$B$4:$B$20,$B32)</f>
        <v/>
      </c>
      <c r="D32" s="16">
        <f>COUNTIFS('1 Intro + CNF'!$B$4:$B$16,$B32,'1 Intro + CNF'!$N$4:$N$16,TRUE())+COUNTIFS('2 PDA'!$B$4:$B$51,$B32,'2 PDA'!$N$4:$N$51,TRUE())+COUNTIFS('3 TM Basics'!$B$4:$B$22,$B32,'3 TM Basics'!$N$4:$N$22,TRUE())+COUNTIFS('4 TM Techniques'!$B$4:$B$14,$B32,'4 TM Techniques'!$N$4:$N$14,TRUE())+COUNTIFS('5 TM Variants'!$B$4:$B$22,$B32,'5 TM Variants'!$N$4:$N$22,TRUE())+COUNTIFS('6 Undecidability'!$B$4:$B$42,$B32,'6 Undecidability'!$N$4:$N$42,TRUE())+COUNTIFS('7 Complexity'!$B$4:$B$20,$B32,'7 Complexity'!$N$4:$N$20,TRUE())</f>
        <v/>
      </c>
      <c r="E32" s="17">
        <f>IF(C32=0,0,D32/C32)</f>
        <v/>
      </c>
      <c r="F32" s="16">
        <f>SUMIF('1 Intro + CNF'!$B$4:$B$16,$B32,'1 Intro + CNF'!$H$4:$H$16)+SUMIF('2 PDA'!$B$4:$B$51,$B32,'2 PDA'!$H$4:$H$51)+SUMIF('3 TM Basics'!$B$4:$B$22,$B32,'3 TM Basics'!$H$4:$H$22)+SUMIF('4 TM Techniques'!$B$4:$B$14,$B32,'4 TM Techniques'!$H$4:$H$14)+SUMIF('5 TM Variants'!$B$4:$B$22,$B32,'5 TM Variants'!$H$4:$H$22)+SUMIF('6 Undecidability'!$B$4:$B$42,$B32,'6 Undecidability'!$H$4:$H$42)+SUMIF('7 Complexity'!$B$4:$B$20,$B32,'7 Complexity'!$H$4:$H$20)</f>
        <v/>
      </c>
    </row>
    <row r="33">
      <c r="B33" s="2" t="inlineStr">
        <is>
          <t>Shaded years = ★★★ High priority (2019-20 onward).</t>
        </is>
      </c>
    </row>
    <row r="34">
      <c r="B34" s="2" t="inlineStr">
        <is>
          <t>Papers 2006-07 … 2023-24 (17 papers). The 2023-24 paper is not inside the merged PDF; its rows say '22 batch p.N' (CSE 211 (22 batch).pdf, 4 scanned pages).</t>
        </is>
      </c>
    </row>
    <row r="35">
      <c r="B35" s="2" t="inlineStr">
        <is>
          <t>The paper printed 'January 2020 Term' (held 16/01/2021) is listed as '2020 (Jan term)' and counted as ★★★ High (it is newer than 2019-20); the 2019-20 paper (held 2021-22) is ★★★ too.</t>
        </is>
      </c>
    </row>
    <row r="36">
      <c r="B36" s="2" t="inlineStr">
        <is>
          <t>Questions were assigned to a teacher by topic, not by section letter (older papers put the PDA/TM side in Section A).</t>
        </is>
      </c>
    </row>
    <row r="37">
      <c r="B37" s="2" t="inlineStr">
        <is>
          <t>The Outside Notes tab holds 2010-11 Q12(b) (machine-schema notation of Lewis–Papadimitriou, not in the slides).</t>
        </is>
      </c>
    </row>
  </sheetData>
  <conditionalFormatting sqref="E5:E12">
    <cfRule type="dataBar" priority="1">
      <dataBar>
        <cfvo type="num" val="0"/>
        <cfvo type="num" val="1"/>
        <color rgb="0063BE7B"/>
      </dataBar>
    </cfRule>
  </conditionalFormatting>
  <conditionalFormatting sqref="E16:E32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Lectures 1–2 — Introduction, CFG simplification, CNF, CYK</t>
        </is>
      </c>
    </row>
    <row r="2">
      <c r="A2" s="2" t="inlineStr">
        <is>
          <t>Note file: CSE211_Atif_Intro_CNF_Notes.docx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2008-09</t>
        </is>
      </c>
      <c r="C4" s="19" t="inlineStr">
        <is>
          <t>CSE 211</t>
        </is>
      </c>
      <c r="D4" s="19" t="inlineStr">
        <is>
          <t>2(a)</t>
        </is>
      </c>
      <c r="E4" s="20" t="inlineStr">
        <is>
          <t>S→ASB|ε, A→aAS|a, B→SbS|A|bb: eliminate ε-productions</t>
        </is>
      </c>
      <c r="F4" s="20" t="inlineStr">
        <is>
          <t>Simplifying grammars — Lecture 2 CNF, sl. 19–30</t>
        </is>
      </c>
      <c r="G4" s="19" t="inlineStr">
        <is>
          <t>L2</t>
        </is>
      </c>
      <c r="H4" s="19" t="n">
        <v>7.33</v>
      </c>
      <c r="I4" s="19" t="n">
        <v>6</v>
      </c>
      <c r="J4" s="21" t="inlineStr">
        <is>
          <t>★★ Medium</t>
        </is>
      </c>
      <c r="K4" s="19" t="inlineStr">
        <is>
          <t>Trace</t>
        </is>
      </c>
      <c r="L4" s="22" t="inlineStr">
        <is>
          <t>✔ Solved</t>
        </is>
      </c>
      <c r="M4" s="20" t="inlineStr">
        <is>
          <t>2008-09 2(b); 2008-09 2(c)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2008-09</t>
        </is>
      </c>
      <c r="C5" s="19" t="inlineStr">
        <is>
          <t>CSE 211</t>
        </is>
      </c>
      <c r="D5" s="19" t="inlineStr">
        <is>
          <t>2(b)</t>
        </is>
      </c>
      <c r="E5" s="20" t="inlineStr">
        <is>
          <t>Same grammar: eliminate unit productions</t>
        </is>
      </c>
      <c r="F5" s="20" t="inlineStr">
        <is>
          <t>Simplifying grammars — Lecture 2 CNF, sl. 19–30</t>
        </is>
      </c>
      <c r="G5" s="19" t="inlineStr">
        <is>
          <t>L2</t>
        </is>
      </c>
      <c r="H5" s="19" t="n">
        <v>8</v>
      </c>
      <c r="I5" s="19" t="n">
        <v>6</v>
      </c>
      <c r="J5" s="21" t="inlineStr">
        <is>
          <t>★★ Medium</t>
        </is>
      </c>
      <c r="K5" s="19" t="inlineStr">
        <is>
          <t>Trace</t>
        </is>
      </c>
      <c r="L5" s="22" t="inlineStr">
        <is>
          <t>✔ Solved</t>
        </is>
      </c>
      <c r="M5" s="20" t="inlineStr">
        <is>
          <t>2008-09 2(a); 2008-09 2(c)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2008-09</t>
        </is>
      </c>
      <c r="C6" s="19" t="inlineStr">
        <is>
          <t>CSE 211</t>
        </is>
      </c>
      <c r="D6" s="19" t="inlineStr">
        <is>
          <t>2(c)</t>
        </is>
      </c>
      <c r="E6" s="20" t="inlineStr">
        <is>
          <t>Same grammar: eliminate useless symbols</t>
        </is>
      </c>
      <c r="F6" s="20" t="inlineStr">
        <is>
          <t>Simplifying grammars — Lecture 2 CNF, sl. 19–30</t>
        </is>
      </c>
      <c r="G6" s="19" t="inlineStr">
        <is>
          <t>L2</t>
        </is>
      </c>
      <c r="H6" s="19" t="n">
        <v>8</v>
      </c>
      <c r="I6" s="19" t="n">
        <v>6</v>
      </c>
      <c r="J6" s="21" t="inlineStr">
        <is>
          <t>★★ Medium</t>
        </is>
      </c>
      <c r="K6" s="19" t="inlineStr">
        <is>
          <t>Trace</t>
        </is>
      </c>
      <c r="L6" s="22" t="inlineStr">
        <is>
          <t>✔ Solved</t>
        </is>
      </c>
      <c r="M6" s="20" t="inlineStr">
        <is>
          <t>2008-09 2(a); 2008-09 2(b)</t>
        </is>
      </c>
      <c r="N6" s="23" t="b">
        <v>0</v>
      </c>
      <c r="O6" s="19" t="n"/>
      <c r="P6" s="19" t="n"/>
      <c r="Q6" s="20" t="n"/>
    </row>
    <row r="7">
      <c r="A7" s="24" t="n">
        <v>4</v>
      </c>
      <c r="B7" s="24" t="inlineStr">
        <is>
          <t>2021-22</t>
        </is>
      </c>
      <c r="C7" s="24" t="inlineStr">
        <is>
          <t>CSE 211</t>
        </is>
      </c>
      <c r="D7" s="24" t="inlineStr">
        <is>
          <t>5</t>
        </is>
      </c>
      <c r="E7" s="6" t="inlineStr">
        <is>
          <t>Convert S→A1A|B, A→0A|1A|ε, B→1 to CNF</t>
        </is>
      </c>
      <c r="F7" s="6" t="inlineStr">
        <is>
          <t>Converting to CNF — Lecture 2 CNF, sl. 2–3, 19–35</t>
        </is>
      </c>
      <c r="G7" s="24" t="inlineStr">
        <is>
          <t>L3</t>
        </is>
      </c>
      <c r="H7" s="24" t="n">
        <v>15</v>
      </c>
      <c r="I7" s="24" t="n">
        <v>47</v>
      </c>
      <c r="J7" s="25" t="inlineStr">
        <is>
          <t>★★★ High</t>
        </is>
      </c>
      <c r="K7" s="24" t="inlineStr">
        <is>
          <t>Trace</t>
        </is>
      </c>
      <c r="L7" s="22" t="inlineStr">
        <is>
          <t>✔ Solved</t>
        </is>
      </c>
      <c r="M7" s="6" t="inlineStr">
        <is>
          <t>2017-18 7(a); 2016-17 6(b); 2014-15 5(c)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2017-18</t>
        </is>
      </c>
      <c r="C8" s="24" t="inlineStr">
        <is>
          <t>CSE 211</t>
        </is>
      </c>
      <c r="D8" s="24" t="inlineStr">
        <is>
          <t>7(a)</t>
        </is>
      </c>
      <c r="E8" s="6" t="inlineStr">
        <is>
          <t>Convert S→A1A|B, A→0A|1A|ε, D→00 to CNF</t>
        </is>
      </c>
      <c r="F8" s="6" t="inlineStr">
        <is>
          <t>Converting to CNF — Lecture 2 CNF, sl. 2–3, 19–35</t>
        </is>
      </c>
      <c r="G8" s="24" t="inlineStr">
        <is>
          <t>L3</t>
        </is>
      </c>
      <c r="H8" s="24" t="n">
        <v>8</v>
      </c>
      <c r="I8" s="24" t="n">
        <v>34</v>
      </c>
      <c r="J8" s="21" t="inlineStr">
        <is>
          <t>★★ Medium</t>
        </is>
      </c>
      <c r="K8" s="24" t="inlineStr">
        <is>
          <t>Trace</t>
        </is>
      </c>
      <c r="L8" s="22" t="inlineStr">
        <is>
          <t>✔ Solved</t>
        </is>
      </c>
      <c r="M8" s="6" t="inlineStr">
        <is>
          <t>2021-22 5; 2016-17 6(b); 2014-15 5(c)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2016-17</t>
        </is>
      </c>
      <c r="C9" s="24" t="inlineStr">
        <is>
          <t>CSE 211</t>
        </is>
      </c>
      <c r="D9" s="24" t="inlineStr">
        <is>
          <t>6(b)</t>
        </is>
      </c>
      <c r="E9" s="6" t="inlineStr">
        <is>
          <t>Convert A→BAB|B|ε, B→00|ε to CNF</t>
        </is>
      </c>
      <c r="F9" s="6" t="inlineStr">
        <is>
          <t>Converting to CNF — Lecture 2 CNF, sl. 2–3, 19–35</t>
        </is>
      </c>
      <c r="G9" s="24" t="inlineStr">
        <is>
          <t>L3</t>
        </is>
      </c>
      <c r="H9" s="24" t="n">
        <v>10</v>
      </c>
      <c r="I9" s="24" t="n">
        <v>31</v>
      </c>
      <c r="J9" s="21" t="inlineStr">
        <is>
          <t>★★ Medium</t>
        </is>
      </c>
      <c r="K9" s="24" t="inlineStr">
        <is>
          <t>Trace</t>
        </is>
      </c>
      <c r="L9" s="22" t="inlineStr">
        <is>
          <t>✔ Solved</t>
        </is>
      </c>
      <c r="M9" s="6" t="inlineStr">
        <is>
          <t>2021-22 5; 2017-18 7(a); 2014-15 5(c)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2014-15</t>
        </is>
      </c>
      <c r="C10" s="24" t="inlineStr">
        <is>
          <t>CSE 211</t>
        </is>
      </c>
      <c r="D10" s="24" t="inlineStr">
        <is>
          <t>5(c)</t>
        </is>
      </c>
      <c r="E10" s="6" t="inlineStr">
        <is>
          <t>CNF definition; convert A→BAB|B|ε, B→00|ε to CNF</t>
        </is>
      </c>
      <c r="F10" s="6" t="inlineStr">
        <is>
          <t>Converting to CNF — Lecture 2 CNF, sl. 2–3, 19–35</t>
        </is>
      </c>
      <c r="G10" s="24" t="inlineStr">
        <is>
          <t>L3</t>
        </is>
      </c>
      <c r="H10" s="24" t="n">
        <v>9.33</v>
      </c>
      <c r="I10" s="24" t="n">
        <v>23</v>
      </c>
      <c r="J10" s="21" t="inlineStr">
        <is>
          <t>★★ Medium</t>
        </is>
      </c>
      <c r="K10" s="24" t="inlineStr">
        <is>
          <t>Trace</t>
        </is>
      </c>
      <c r="L10" s="22" t="inlineStr">
        <is>
          <t>✔ Solved</t>
        </is>
      </c>
      <c r="M10" s="6" t="inlineStr">
        <is>
          <t>2021-22 5; 2017-18 7(a); 2016-17 6(b)</t>
        </is>
      </c>
      <c r="N10" s="23" t="b">
        <v>0</v>
      </c>
      <c r="O10" s="24" t="n"/>
      <c r="P10" s="24" t="n"/>
      <c r="Q10" s="6" t="n"/>
    </row>
    <row r="11">
      <c r="A11" s="19" t="n">
        <v>8</v>
      </c>
      <c r="B11" s="19" t="inlineStr">
        <is>
          <t>2023-24</t>
        </is>
      </c>
      <c r="C11" s="19" t="inlineStr">
        <is>
          <t>CSE 211</t>
        </is>
      </c>
      <c r="D11" s="19" t="inlineStr">
        <is>
          <t>6</t>
        </is>
      </c>
      <c r="E11" s="20" t="inlineStr">
        <is>
          <t>CYK: is 0010 in L(G) (S→BZ|CY|ZZ|YY …)? Describe L(G)</t>
        </is>
      </c>
      <c r="F11" s="20" t="inlineStr">
        <is>
          <t>CYK algorithm — Lecture 2 CNF, sl. 4–18</t>
        </is>
      </c>
      <c r="G11" s="19" t="inlineStr">
        <is>
          <t>L4</t>
        </is>
      </c>
      <c r="H11" s="19" t="n">
        <v>15</v>
      </c>
      <c r="I11" s="19" t="inlineStr">
        <is>
          <t>22 batch p.3</t>
        </is>
      </c>
      <c r="J11" s="25" t="inlineStr">
        <is>
          <t>★★★ High</t>
        </is>
      </c>
      <c r="K11" s="19" t="inlineStr">
        <is>
          <t>Trace</t>
        </is>
      </c>
      <c r="L11" s="22" t="inlineStr">
        <is>
          <t>✔ Solved</t>
        </is>
      </c>
      <c r="M11" s="20" t="inlineStr">
        <is>
          <t>2022-23 7; 2020 (Jan term) 7; 2019-20 7; 2017-18 7(b); 2007-08 13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2022-23</t>
        </is>
      </c>
      <c r="C12" s="19" t="inlineStr">
        <is>
          <t>CSE 211</t>
        </is>
      </c>
      <c r="D12" s="19" t="inlineStr">
        <is>
          <t>7</t>
        </is>
      </c>
      <c r="E12" s="20" t="inlineStr">
        <is>
          <t>CYK: is 0100 in L(G), S→AB|AY|YA|1, A→ZA|YA|0|1, B→YA, Z→0, Y→1?</t>
        </is>
      </c>
      <c r="F12" s="20" t="inlineStr">
        <is>
          <t>CYK algorithm — Lecture 2 CNF, sl. 4–18</t>
        </is>
      </c>
      <c r="G12" s="19" t="inlineStr">
        <is>
          <t>L4</t>
        </is>
      </c>
      <c r="H12" s="19" t="n">
        <v>15</v>
      </c>
      <c r="I12" s="19" t="n">
        <v>52</v>
      </c>
      <c r="J12" s="25" t="inlineStr">
        <is>
          <t>★★★ High</t>
        </is>
      </c>
      <c r="K12" s="19" t="inlineStr">
        <is>
          <t>Trace</t>
        </is>
      </c>
      <c r="L12" s="22" t="inlineStr">
        <is>
          <t>✔ Solved</t>
        </is>
      </c>
      <c r="M12" s="20" t="inlineStr">
        <is>
          <t>2023-24 6; 2020 (Jan term) 7; 2019-20 7; 2017-18 7(b); 2007-08 13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2020 (Jan term)</t>
        </is>
      </c>
      <c r="C13" s="19" t="inlineStr">
        <is>
          <t>CSE 211</t>
        </is>
      </c>
      <c r="D13" s="19" t="inlineStr">
        <is>
          <t>7</t>
        </is>
      </c>
      <c r="E13" s="20" t="inlineStr">
        <is>
          <t>CYK: is 10011 in L(G), S→BZ|CY|ZZ|YY, B→ZA, C→YA, A→ZA|YA|0|1, Z→0, Y→1?</t>
        </is>
      </c>
      <c r="F13" s="20" t="inlineStr">
        <is>
          <t>CYK algorithm — Lecture 2 CNF, sl. 4–18</t>
        </is>
      </c>
      <c r="G13" s="19" t="inlineStr">
        <is>
          <t>L4</t>
        </is>
      </c>
      <c r="H13" s="19" t="n">
        <v>15</v>
      </c>
      <c r="I13" s="19" t="n">
        <v>38</v>
      </c>
      <c r="J13" s="25" t="inlineStr">
        <is>
          <t>★★★ High</t>
        </is>
      </c>
      <c r="K13" s="19" t="inlineStr">
        <is>
          <t>Trace</t>
        </is>
      </c>
      <c r="L13" s="22" t="inlineStr">
        <is>
          <t>✔ Solved</t>
        </is>
      </c>
      <c r="M13" s="20" t="inlineStr">
        <is>
          <t>2023-24 6; 2022-23 7; 2019-20 7; 2017-18 7(b); 2007-08 13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2019-20</t>
        </is>
      </c>
      <c r="C14" s="19" t="inlineStr">
        <is>
          <t>CSE 211</t>
        </is>
      </c>
      <c r="D14" s="19" t="inlineStr">
        <is>
          <t>7</t>
        </is>
      </c>
      <c r="E14" s="20" t="inlineStr">
        <is>
          <t>CYK: is 01100 in L(G) (S→BZ|CY|ZZ|YY …)? Describe L(G)</t>
        </is>
      </c>
      <c r="F14" s="20" t="inlineStr">
        <is>
          <t>CYK algorithm — Lecture 2 CNF, sl. 4–18</t>
        </is>
      </c>
      <c r="G14" s="19" t="inlineStr">
        <is>
          <t>L4</t>
        </is>
      </c>
      <c r="H14" s="19" t="n">
        <v>15</v>
      </c>
      <c r="I14" s="19" t="n">
        <v>42</v>
      </c>
      <c r="J14" s="25" t="inlineStr">
        <is>
          <t>★★★ High</t>
        </is>
      </c>
      <c r="K14" s="19" t="inlineStr">
        <is>
          <t>Trace</t>
        </is>
      </c>
      <c r="L14" s="22" t="inlineStr">
        <is>
          <t>✔ Solved</t>
        </is>
      </c>
      <c r="M14" s="20" t="inlineStr">
        <is>
          <t>2023-24 6; 2022-23 7; 2020 (Jan term) 7; 2017-18 7(b); 2007-08 13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2017-18</t>
        </is>
      </c>
      <c r="C15" s="19" t="inlineStr">
        <is>
          <t>CSE 211</t>
        </is>
      </c>
      <c r="D15" s="19" t="inlineStr">
        <is>
          <t>7(b)</t>
        </is>
      </c>
      <c r="E15" s="20" t="inlineStr">
        <is>
          <t>CYK: is 01101 in the language of the CNF grammar of 7(a)?</t>
        </is>
      </c>
      <c r="F15" s="20" t="inlineStr">
        <is>
          <t>CYK algorithm — Lecture 2 CNF, sl. 4–18</t>
        </is>
      </c>
      <c r="G15" s="19" t="inlineStr">
        <is>
          <t>L4</t>
        </is>
      </c>
      <c r="H15" s="19" t="n">
        <v>7</v>
      </c>
      <c r="I15" s="19" t="n">
        <v>34</v>
      </c>
      <c r="J15" s="21" t="inlineStr">
        <is>
          <t>★★ Medium</t>
        </is>
      </c>
      <c r="K15" s="19" t="inlineStr">
        <is>
          <t>Trace</t>
        </is>
      </c>
      <c r="L15" s="22" t="inlineStr">
        <is>
          <t>✔ Solved</t>
        </is>
      </c>
      <c r="M15" s="20" t="inlineStr">
        <is>
          <t>2023-24 6; 2022-23 7; 2020 (Jan term) 7; 2019-20 7; 2007-08 13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2007-08</t>
        </is>
      </c>
      <c r="C16" s="19" t="inlineStr">
        <is>
          <t>CSE 211</t>
        </is>
      </c>
      <c r="D16" s="19" t="inlineStr">
        <is>
          <t>13</t>
        </is>
      </c>
      <c r="E16" s="20" t="inlineStr">
        <is>
          <t>CNF definition; CYK for 'abaab' with S→AB|BC, A→BA|a, B→CC|b, C→AB|a</t>
        </is>
      </c>
      <c r="F16" s="20" t="inlineStr">
        <is>
          <t>CYK algorithm — Lecture 2 CNF, sl. 4–18</t>
        </is>
      </c>
      <c r="G16" s="19" t="inlineStr">
        <is>
          <t>L4</t>
        </is>
      </c>
      <c r="H16" s="19" t="n">
        <v>10</v>
      </c>
      <c r="I16" s="19" t="n">
        <v>5</v>
      </c>
      <c r="J16" s="21" t="inlineStr">
        <is>
          <t>★★ Medium</t>
        </is>
      </c>
      <c r="K16" s="19" t="inlineStr">
        <is>
          <t>Trace</t>
        </is>
      </c>
      <c r="L16" s="22" t="inlineStr">
        <is>
          <t>✔ Solved</t>
        </is>
      </c>
      <c r="M16" s="20" t="inlineStr">
        <is>
          <t>2023-24 6; 2022-23 7; 2020 (Jan term) 7; 2019-20 7; 2017-18 7(b)</t>
        </is>
      </c>
      <c r="N16" s="23" t="b">
        <v>0</v>
      </c>
      <c r="O16" s="19" t="n"/>
      <c r="P16" s="19" t="n"/>
      <c r="Q16" s="20" t="n"/>
    </row>
  </sheetData>
  <autoFilter ref="A3:Q16"/>
  <conditionalFormatting sqref="A4:Q16">
    <cfRule type="expression" priority="1" dxfId="0">
      <formula>$N4=TRUE</formula>
    </cfRule>
  </conditionalFormatting>
  <conditionalFormatting sqref="O4:O16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6" showDropDown="0" showInputMessage="0" showErrorMessage="0" allowBlank="1" type="list">
      <formula1>"TRUE,FALSE"</formula1>
    </dataValidation>
    <dataValidation sqref="O4:O16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 3 — Pushdown Automata, CFG–PDA equivalence, CFL pumping lemma</t>
        </is>
      </c>
    </row>
    <row r="2">
      <c r="A2" s="2" t="inlineStr">
        <is>
          <t>Note file: CSE211_Atif_PDA_Notes.docx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2006-07</t>
        </is>
      </c>
      <c r="C4" s="19" t="inlineStr">
        <is>
          <t>CSE 211</t>
        </is>
      </c>
      <c r="D4" s="19" t="inlineStr">
        <is>
          <t>8</t>
        </is>
      </c>
      <c r="E4" s="20" t="inlineStr">
        <is>
          <t>Define PDA with an example; what is an instantaneous description (ID)?</t>
        </is>
      </c>
      <c r="F4" s="20" t="inlineStr">
        <is>
          <t>PDA: definition and idea — Lecture 3 PDA, sl. 2–55</t>
        </is>
      </c>
      <c r="G4" s="19" t="inlineStr">
        <is>
          <t>L5</t>
        </is>
      </c>
      <c r="H4" s="19" t="n">
        <v>10</v>
      </c>
      <c r="I4" s="19" t="n">
        <v>3</v>
      </c>
      <c r="J4" s="22" t="inlineStr">
        <is>
          <t>★ Low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2015-16</t>
        </is>
      </c>
      <c r="C5" s="24" t="inlineStr">
        <is>
          <t>CSE 211</t>
        </is>
      </c>
      <c r="D5" s="24" t="inlineStr">
        <is>
          <t>5(a)</t>
        </is>
      </c>
      <c r="E5" s="6" t="inlineStr">
        <is>
          <t>Draw the transition diagram of PDA P = ({q,p},{0,1},{Z0,X},δ,q,Z0,{p})</t>
        </is>
      </c>
      <c r="F5" s="6" t="inlineStr">
        <is>
          <t>IDs and traces — Lecture 3 PDA, sl. 56–86</t>
        </is>
      </c>
      <c r="G5" s="24" t="inlineStr">
        <is>
          <t>L6</t>
        </is>
      </c>
      <c r="H5" s="24" t="n">
        <v>8.33</v>
      </c>
      <c r="I5" s="24" t="n">
        <v>26</v>
      </c>
      <c r="J5" s="21" t="inlineStr">
        <is>
          <t>★★ Medium</t>
        </is>
      </c>
      <c r="K5" s="24" t="inlineStr">
        <is>
          <t>Design</t>
        </is>
      </c>
      <c r="L5" s="22" t="inlineStr">
        <is>
          <t>✔ Solved</t>
        </is>
      </c>
      <c r="M5" s="6" t="inlineStr">
        <is>
          <t>2015-16 5(b); 2010-11 13(c); 2009-10 10(b)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2015-16</t>
        </is>
      </c>
      <c r="C6" s="24" t="inlineStr">
        <is>
          <t>CSE 211</t>
        </is>
      </c>
      <c r="D6" s="24" t="inlineStr">
        <is>
          <t>5(b)</t>
        </is>
      </c>
      <c r="E6" s="6" t="inlineStr">
        <is>
          <t>All reachable IDs of that PDA from (q,w,Z0) for 0011, 0101, 1010</t>
        </is>
      </c>
      <c r="F6" s="6" t="inlineStr">
        <is>
          <t>IDs and traces — Lecture 3 PDA, sl. 56–86</t>
        </is>
      </c>
      <c r="G6" s="24" t="inlineStr">
        <is>
          <t>L6</t>
        </is>
      </c>
      <c r="H6" s="24" t="n">
        <v>15</v>
      </c>
      <c r="I6" s="24" t="n">
        <v>27</v>
      </c>
      <c r="J6" s="21" t="inlineStr">
        <is>
          <t>★★ Medium</t>
        </is>
      </c>
      <c r="K6" s="24" t="inlineStr">
        <is>
          <t>Trace</t>
        </is>
      </c>
      <c r="L6" s="22" t="inlineStr">
        <is>
          <t>✔ Solved</t>
        </is>
      </c>
      <c r="M6" s="6" t="inlineStr">
        <is>
          <t>2015-16 5(a); 2010-11 13(c); 2009-10 10(b)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2010-11</t>
        </is>
      </c>
      <c r="C7" s="24" t="inlineStr">
        <is>
          <t>CSE 211</t>
        </is>
      </c>
      <c r="D7" s="24" t="inlineStr">
        <is>
          <t>13(c)</t>
        </is>
      </c>
      <c r="E7" s="6" t="inlineStr">
        <is>
          <t>Run the given PDA (q1…q4, $ marker) on 1001 and 0101; what does it do?</t>
        </is>
      </c>
      <c r="F7" s="6" t="inlineStr">
        <is>
          <t>IDs and traces — Lecture 3 PDA, sl. 56–86</t>
        </is>
      </c>
      <c r="G7" s="24" t="inlineStr">
        <is>
          <t>L6</t>
        </is>
      </c>
      <c r="H7" s="24" t="n">
        <v>8</v>
      </c>
      <c r="I7" s="24" t="n">
        <v>13</v>
      </c>
      <c r="J7" s="21" t="inlineStr">
        <is>
          <t>★★ Medium</t>
        </is>
      </c>
      <c r="K7" s="24" t="inlineStr">
        <is>
          <t>Trace</t>
        </is>
      </c>
      <c r="L7" s="22" t="inlineStr">
        <is>
          <t>✔ Solved</t>
        </is>
      </c>
      <c r="M7" s="6" t="inlineStr">
        <is>
          <t>2015-16 5(a); 2015-16 5(b); 2009-10 10(b)</t>
        </is>
      </c>
      <c r="N7" s="23" t="b">
        <v>0</v>
      </c>
      <c r="O7" s="24" t="n"/>
      <c r="P7" s="24" t="n"/>
      <c r="Q7" s="6" t="n"/>
    </row>
    <row r="8">
      <c r="A8" s="19" t="n">
        <v>5</v>
      </c>
      <c r="B8" s="19" t="inlineStr">
        <is>
          <t>2023-24</t>
        </is>
      </c>
      <c r="C8" s="19" t="inlineStr">
        <is>
          <t>CSE 211</t>
        </is>
      </c>
      <c r="D8" s="19" t="inlineStr">
        <is>
          <t>8</t>
        </is>
      </c>
      <c r="E8" s="20" t="inlineStr">
        <is>
          <t>PDA for {a^n b^m c^m d^n | n ≥ 1, m ≥ 1}</t>
        </is>
      </c>
      <c r="F8" s="20" t="inlineStr">
        <is>
          <t>Designing PDAs — Lecture 3 PDA, sl. 20–55, 87–101</t>
        </is>
      </c>
      <c r="G8" s="19" t="inlineStr">
        <is>
          <t>L7</t>
        </is>
      </c>
      <c r="H8" s="19" t="n">
        <v>15</v>
      </c>
      <c r="I8" s="19" t="inlineStr">
        <is>
          <t>22 batch p.3</t>
        </is>
      </c>
      <c r="J8" s="25" t="inlineStr">
        <is>
          <t>★★★ High</t>
        </is>
      </c>
      <c r="K8" s="19" t="inlineStr">
        <is>
          <t>Design</t>
        </is>
      </c>
      <c r="L8" s="22" t="inlineStr">
        <is>
          <t>✔ Solved</t>
        </is>
      </c>
      <c r="M8" s="20" t="inlineStr">
        <is>
          <t>2017-18 8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2022-23</t>
        </is>
      </c>
      <c r="C9" s="19" t="inlineStr">
        <is>
          <t>CSE 211</t>
        </is>
      </c>
      <c r="D9" s="19" t="inlineStr">
        <is>
          <t>8</t>
        </is>
      </c>
      <c r="E9" s="20" t="inlineStr">
        <is>
          <t>PDA for {a^i b^j c^k | i = j or i = k}</t>
        </is>
      </c>
      <c r="F9" s="20" t="inlineStr">
        <is>
          <t>Designing PDAs — Lecture 3 PDA, sl. 20–55, 87–101</t>
        </is>
      </c>
      <c r="G9" s="19" t="inlineStr">
        <is>
          <t>L7</t>
        </is>
      </c>
      <c r="H9" s="19" t="n">
        <v>15</v>
      </c>
      <c r="I9" s="19" t="n">
        <v>52</v>
      </c>
      <c r="J9" s="25" t="inlineStr">
        <is>
          <t>★★★ High</t>
        </is>
      </c>
      <c r="K9" s="19" t="inlineStr">
        <is>
          <t>Design</t>
        </is>
      </c>
      <c r="L9" s="22" t="inlineStr">
        <is>
          <t>✔ Solved</t>
        </is>
      </c>
      <c r="M9" s="20" t="inlineStr">
        <is>
          <t>2020 (Jan term) 8; 2013-14 1(b)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2021-22</t>
        </is>
      </c>
      <c r="C10" s="19" t="inlineStr">
        <is>
          <t>CSE 211</t>
        </is>
      </c>
      <c r="D10" s="19" t="inlineStr">
        <is>
          <t>7</t>
        </is>
      </c>
      <c r="E10" s="20" t="inlineStr">
        <is>
          <t>PDA for ARITH = legal arithmetic expressions over {a,+,∗,(,)}</t>
        </is>
      </c>
      <c r="F10" s="20" t="inlineStr">
        <is>
          <t>Designing PDAs — Lecture 3 PDA, sl. 20–55, 87–101</t>
        </is>
      </c>
      <c r="G10" s="19" t="inlineStr">
        <is>
          <t>L7</t>
        </is>
      </c>
      <c r="H10" s="19" t="n">
        <v>15</v>
      </c>
      <c r="I10" s="19" t="n">
        <v>47</v>
      </c>
      <c r="J10" s="25" t="inlineStr">
        <is>
          <t>★★★ High</t>
        </is>
      </c>
      <c r="K10" s="19" t="inlineStr">
        <is>
          <t>Design</t>
        </is>
      </c>
      <c r="L10" s="22" t="inlineStr">
        <is>
          <t>✔ Solved</t>
        </is>
      </c>
      <c r="M10" s="20" t="inlineStr">
        <is>
          <t>2019-20 8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2020 (Jan term)</t>
        </is>
      </c>
      <c r="C11" s="19" t="inlineStr">
        <is>
          <t>CSE 211</t>
        </is>
      </c>
      <c r="D11" s="19" t="inlineStr">
        <is>
          <t>8</t>
        </is>
      </c>
      <c r="E11" s="20" t="inlineStr">
        <is>
          <t>PDA for {a^i b^j c^k | i = j or i = k}</t>
        </is>
      </c>
      <c r="F11" s="20" t="inlineStr">
        <is>
          <t>Designing PDAs — Lecture 3 PDA, sl. 20–55, 87–101</t>
        </is>
      </c>
      <c r="G11" s="19" t="inlineStr">
        <is>
          <t>L7</t>
        </is>
      </c>
      <c r="H11" s="19" t="n">
        <v>15</v>
      </c>
      <c r="I11" s="19" t="n">
        <v>38</v>
      </c>
      <c r="J11" s="25" t="inlineStr">
        <is>
          <t>★★★ High</t>
        </is>
      </c>
      <c r="K11" s="19" t="inlineStr">
        <is>
          <t>Design</t>
        </is>
      </c>
      <c r="L11" s="22" t="inlineStr">
        <is>
          <t>✔ Solved</t>
        </is>
      </c>
      <c r="M11" s="20" t="inlineStr">
        <is>
          <t>2022-23 8; 2013-14 1(b)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2019-20</t>
        </is>
      </c>
      <c r="C12" s="19" t="inlineStr">
        <is>
          <t>CSE 211</t>
        </is>
      </c>
      <c r="D12" s="19" t="inlineStr">
        <is>
          <t>8</t>
        </is>
      </c>
      <c r="E12" s="20" t="inlineStr">
        <is>
          <t>PDA for ARITH = legal arithmetic expressions over {a,+,∗,(,)}</t>
        </is>
      </c>
      <c r="F12" s="20" t="inlineStr">
        <is>
          <t>Designing PDAs — Lecture 3 PDA, sl. 20–55, 87–101</t>
        </is>
      </c>
      <c r="G12" s="19" t="inlineStr">
        <is>
          <t>L7</t>
        </is>
      </c>
      <c r="H12" s="19" t="n">
        <v>15</v>
      </c>
      <c r="I12" s="19" t="n">
        <v>42</v>
      </c>
      <c r="J12" s="25" t="inlineStr">
        <is>
          <t>★★★ High</t>
        </is>
      </c>
      <c r="K12" s="19" t="inlineStr">
        <is>
          <t>Design</t>
        </is>
      </c>
      <c r="L12" s="22" t="inlineStr">
        <is>
          <t>✔ Solved</t>
        </is>
      </c>
      <c r="M12" s="20" t="inlineStr">
        <is>
          <t>2021-22 7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2017-18</t>
        </is>
      </c>
      <c r="C13" s="19" t="inlineStr">
        <is>
          <t>CSE 211</t>
        </is>
      </c>
      <c r="D13" s="19" t="inlineStr">
        <is>
          <t>8</t>
        </is>
      </c>
      <c r="E13" s="20" t="inlineStr">
        <is>
          <t>PDA for {a^n b^n c^m d^m | n ≥ 1, m ≥ 1}</t>
        </is>
      </c>
      <c r="F13" s="20" t="inlineStr">
        <is>
          <t>Designing PDAs — Lecture 3 PDA, sl. 20–55, 87–101</t>
        </is>
      </c>
      <c r="G13" s="19" t="inlineStr">
        <is>
          <t>L7</t>
        </is>
      </c>
      <c r="H13" s="19" t="n">
        <v>15</v>
      </c>
      <c r="I13" s="19" t="n">
        <v>34</v>
      </c>
      <c r="J13" s="21" t="inlineStr">
        <is>
          <t>★★ Medium</t>
        </is>
      </c>
      <c r="K13" s="19" t="inlineStr">
        <is>
          <t>Design</t>
        </is>
      </c>
      <c r="L13" s="22" t="inlineStr">
        <is>
          <t>✔ Solved</t>
        </is>
      </c>
      <c r="M13" s="20" t="inlineStr">
        <is>
          <t>2023-24 8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2016-17</t>
        </is>
      </c>
      <c r="C14" s="19" t="inlineStr">
        <is>
          <t>CSE 211</t>
        </is>
      </c>
      <c r="D14" s="19" t="inlineStr">
        <is>
          <t>6(a)</t>
        </is>
      </c>
      <c r="E14" s="20" t="inlineStr">
        <is>
          <t>PDA for {0^n 1^m | n ≤ m ≤ 2n}; show it accepts 00111 and rejects 0011111</t>
        </is>
      </c>
      <c r="F14" s="20" t="inlineStr">
        <is>
          <t>Designing PDAs — Lecture 3 PDA, sl. 20–55, 87–101</t>
        </is>
      </c>
      <c r="G14" s="19" t="inlineStr">
        <is>
          <t>L7</t>
        </is>
      </c>
      <c r="H14" s="19" t="n">
        <v>15</v>
      </c>
      <c r="I14" s="19" t="inlineStr">
        <is>
          <t>30–31</t>
        </is>
      </c>
      <c r="J14" s="21" t="inlineStr">
        <is>
          <t>★★ Medium</t>
        </is>
      </c>
      <c r="K14" s="19" t="inlineStr">
        <is>
          <t>Design</t>
        </is>
      </c>
      <c r="L14" s="22" t="inlineStr">
        <is>
          <t>✔ Solved</t>
        </is>
      </c>
      <c r="M14" s="20" t="inlineStr">
        <is>
          <t>2009-10 10(a); 2008-09 1(i); 2007-08 5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2016-17</t>
        </is>
      </c>
      <c r="C15" s="19" t="inlineStr">
        <is>
          <t>CSE 211</t>
        </is>
      </c>
      <c r="D15" s="19" t="inlineStr">
        <is>
          <t>7(b)</t>
        </is>
      </c>
      <c r="E15" s="20" t="inlineStr">
        <is>
          <t>PDA for {ww^R | w ∈ {0,1}∗}</t>
        </is>
      </c>
      <c r="F15" s="20" t="inlineStr">
        <is>
          <t>Designing PDAs — Lecture 3 PDA, sl. 20–55, 87–101</t>
        </is>
      </c>
      <c r="G15" s="19" t="inlineStr">
        <is>
          <t>L7</t>
        </is>
      </c>
      <c r="H15" s="19" t="n">
        <v>10</v>
      </c>
      <c r="I15" s="19" t="n">
        <v>31</v>
      </c>
      <c r="J15" s="21" t="inlineStr">
        <is>
          <t>★★ Medium</t>
        </is>
      </c>
      <c r="K15" s="19" t="inlineStr">
        <is>
          <t>Design</t>
        </is>
      </c>
      <c r="L15" s="22" t="inlineStr">
        <is>
          <t>✔ Solved</t>
        </is>
      </c>
      <c r="M15" s="20" t="inlineStr">
        <is>
          <t>2010-11 13(a); 2006-07 9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2015-16</t>
        </is>
      </c>
      <c r="C16" s="19" t="inlineStr">
        <is>
          <t>CSE 211</t>
        </is>
      </c>
      <c r="D16" s="19" t="inlineStr">
        <is>
          <t>6(a)</t>
        </is>
      </c>
      <c r="E16" s="20" t="inlineStr">
        <is>
          <t>PDA for {w ∈ {a,b}∗ : equal numbers of a's and b's}</t>
        </is>
      </c>
      <c r="F16" s="20" t="inlineStr">
        <is>
          <t>Designing PDAs — Lecture 3 PDA, sl. 20–55, 87–101</t>
        </is>
      </c>
      <c r="G16" s="19" t="inlineStr">
        <is>
          <t>L7</t>
        </is>
      </c>
      <c r="H16" s="19" t="n">
        <v>13</v>
      </c>
      <c r="I16" s="19" t="n">
        <v>27</v>
      </c>
      <c r="J16" s="22" t="inlineStr">
        <is>
          <t>★ Low</t>
        </is>
      </c>
      <c r="K16" s="19" t="inlineStr">
        <is>
          <t>Design</t>
        </is>
      </c>
      <c r="L16" s="22" t="inlineStr">
        <is>
          <t>✔ Solved</t>
        </is>
      </c>
      <c r="M16" s="20" t="inlineStr">
        <is>
          <t>—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2014-15</t>
        </is>
      </c>
      <c r="C17" s="19" t="inlineStr">
        <is>
          <t>CSE 211</t>
        </is>
      </c>
      <c r="D17" s="19" t="inlineStr">
        <is>
          <t>6(c)</t>
        </is>
      </c>
      <c r="E17" s="20" t="inlineStr">
        <is>
          <t>PDA for {wcw^R | w ∈ {a,b}∗}; trace bbcbb by configurations</t>
        </is>
      </c>
      <c r="F17" s="20" t="inlineStr">
        <is>
          <t>Designing PDAs — Lecture 3 PDA, sl. 20–55, 87–101</t>
        </is>
      </c>
      <c r="G17" s="19" t="inlineStr">
        <is>
          <t>L7</t>
        </is>
      </c>
      <c r="H17" s="19" t="n">
        <v>9.33</v>
      </c>
      <c r="I17" s="19" t="n">
        <v>23</v>
      </c>
      <c r="J17" s="22" t="inlineStr">
        <is>
          <t>★ Low</t>
        </is>
      </c>
      <c r="K17" s="19" t="inlineStr">
        <is>
          <t>Design</t>
        </is>
      </c>
      <c r="L17" s="22" t="inlineStr">
        <is>
          <t>✔ Solved</t>
        </is>
      </c>
      <c r="M17" s="20" t="inlineStr">
        <is>
          <t>—</t>
        </is>
      </c>
      <c r="N17" s="23" t="b">
        <v>0</v>
      </c>
      <c r="O17" s="19" t="n"/>
      <c r="P17" s="19" t="n"/>
      <c r="Q17" s="20" t="n"/>
    </row>
    <row r="18">
      <c r="A18" s="19" t="n">
        <v>15</v>
      </c>
      <c r="B18" s="19" t="inlineStr">
        <is>
          <t>2013-14</t>
        </is>
      </c>
      <c r="C18" s="19" t="inlineStr">
        <is>
          <t>CSE 211</t>
        </is>
      </c>
      <c r="D18" s="19" t="inlineStr">
        <is>
          <t>1(b)</t>
        </is>
      </c>
      <c r="E18" s="20" t="inlineStr">
        <is>
          <t>PDA for {a^i b^j c^k : i = j or j = k}</t>
        </is>
      </c>
      <c r="F18" s="20" t="inlineStr">
        <is>
          <t>Designing PDAs — Lecture 3 PDA, sl. 20–55, 87–101</t>
        </is>
      </c>
      <c r="G18" s="19" t="inlineStr">
        <is>
          <t>L7</t>
        </is>
      </c>
      <c r="H18" s="19" t="n">
        <v>7</v>
      </c>
      <c r="I18" s="19" t="n">
        <v>19</v>
      </c>
      <c r="J18" s="21" t="inlineStr">
        <is>
          <t>★★ Medium</t>
        </is>
      </c>
      <c r="K18" s="19" t="inlineStr">
        <is>
          <t>Design</t>
        </is>
      </c>
      <c r="L18" s="22" t="inlineStr">
        <is>
          <t>✔ Solved</t>
        </is>
      </c>
      <c r="M18" s="20" t="inlineStr">
        <is>
          <t>2022-23 8; 2020 (Jan term) 8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2012-13</t>
        </is>
      </c>
      <c r="C19" s="19" t="inlineStr">
        <is>
          <t>CSE 211</t>
        </is>
      </c>
      <c r="D19" s="19" t="inlineStr">
        <is>
          <t>4(a)</t>
        </is>
      </c>
      <c r="E19" s="20" t="inlineStr">
        <is>
          <t>PDA for {a^i b^j c^k : i + j = k}</t>
        </is>
      </c>
      <c r="F19" s="20" t="inlineStr">
        <is>
          <t>Designing PDAs — Lecture 3 PDA, sl. 20–55, 87–101</t>
        </is>
      </c>
      <c r="G19" s="19" t="inlineStr">
        <is>
          <t>L7</t>
        </is>
      </c>
      <c r="H19" s="19" t="n">
        <v>8</v>
      </c>
      <c r="I19" s="19" t="n">
        <v>17</v>
      </c>
      <c r="J19" s="21" t="inlineStr">
        <is>
          <t>★★ Medium</t>
        </is>
      </c>
      <c r="K19" s="19" t="inlineStr">
        <is>
          <t>Design</t>
        </is>
      </c>
      <c r="L19" s="22" t="inlineStr">
        <is>
          <t>✔ Solved</t>
        </is>
      </c>
      <c r="M19" s="20" t="inlineStr">
        <is>
          <t>2011-12 4(a)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2012-13</t>
        </is>
      </c>
      <c r="C20" s="19" t="inlineStr">
        <is>
          <t>CSE 211</t>
        </is>
      </c>
      <c r="D20" s="19" t="inlineStr">
        <is>
          <t>4(c)</t>
        </is>
      </c>
      <c r="E20" s="20" t="inlineStr">
        <is>
          <t>PDA for odd-length strings over {a,b} with middle symbol a</t>
        </is>
      </c>
      <c r="F20" s="20" t="inlineStr">
        <is>
          <t>Designing PDAs — Lecture 3 PDA, sl. 20–55, 87–101</t>
        </is>
      </c>
      <c r="G20" s="19" t="inlineStr">
        <is>
          <t>L7</t>
        </is>
      </c>
      <c r="H20" s="19" t="n">
        <v>8.33</v>
      </c>
      <c r="I20" s="19" t="n">
        <v>18</v>
      </c>
      <c r="J20" s="21" t="inlineStr">
        <is>
          <t>★★ Medium</t>
        </is>
      </c>
      <c r="K20" s="19" t="inlineStr">
        <is>
          <t>Design</t>
        </is>
      </c>
      <c r="L20" s="22" t="inlineStr">
        <is>
          <t>✔ Solved</t>
        </is>
      </c>
      <c r="M20" s="20" t="inlineStr">
        <is>
          <t>2011-12 3(c)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2011-12</t>
        </is>
      </c>
      <c r="C21" s="19" t="inlineStr">
        <is>
          <t>CSE 211</t>
        </is>
      </c>
      <c r="D21" s="19" t="inlineStr">
        <is>
          <t>3(c)</t>
        </is>
      </c>
      <c r="E21" s="20" t="inlineStr">
        <is>
          <t>PDA for odd-length strings over {a,b} with middle symbol a</t>
        </is>
      </c>
      <c r="F21" s="20" t="inlineStr">
        <is>
          <t>Designing PDAs — Lecture 3 PDA, sl. 20–55, 87–101</t>
        </is>
      </c>
      <c r="G21" s="19" t="inlineStr">
        <is>
          <t>L7</t>
        </is>
      </c>
      <c r="H21" s="19" t="n">
        <v>7</v>
      </c>
      <c r="I21" s="19" t="n">
        <v>15</v>
      </c>
      <c r="J21" s="21" t="inlineStr">
        <is>
          <t>★★ Medium</t>
        </is>
      </c>
      <c r="K21" s="19" t="inlineStr">
        <is>
          <t>Design</t>
        </is>
      </c>
      <c r="L21" s="22" t="inlineStr">
        <is>
          <t>✔ Solved</t>
        </is>
      </c>
      <c r="M21" s="20" t="inlineStr">
        <is>
          <t>2012-13 4(c)</t>
        </is>
      </c>
      <c r="N21" s="23" t="b">
        <v>0</v>
      </c>
      <c r="O21" s="19" t="n"/>
      <c r="P21" s="19" t="n"/>
      <c r="Q21" s="20" t="n"/>
    </row>
    <row r="22">
      <c r="A22" s="19" t="n">
        <v>19</v>
      </c>
      <c r="B22" s="19" t="inlineStr">
        <is>
          <t>2011-12</t>
        </is>
      </c>
      <c r="C22" s="19" t="inlineStr">
        <is>
          <t>CSE 211</t>
        </is>
      </c>
      <c r="D22" s="19" t="inlineStr">
        <is>
          <t>4(a)</t>
        </is>
      </c>
      <c r="E22" s="20" t="inlineStr">
        <is>
          <t>PDA for {a^i b^j c^k : i + j = k}</t>
        </is>
      </c>
      <c r="F22" s="20" t="inlineStr">
        <is>
          <t>Designing PDAs — Lecture 3 PDA, sl. 20–55, 87–101</t>
        </is>
      </c>
      <c r="G22" s="19" t="inlineStr">
        <is>
          <t>L7</t>
        </is>
      </c>
      <c r="H22" s="19" t="n">
        <v>7</v>
      </c>
      <c r="I22" s="19" t="n">
        <v>15</v>
      </c>
      <c r="J22" s="21" t="inlineStr">
        <is>
          <t>★★ Medium</t>
        </is>
      </c>
      <c r="K22" s="19" t="inlineStr">
        <is>
          <t>Design</t>
        </is>
      </c>
      <c r="L22" s="22" t="inlineStr">
        <is>
          <t>✔ Solved</t>
        </is>
      </c>
      <c r="M22" s="20" t="inlineStr">
        <is>
          <t>2012-13 4(a)</t>
        </is>
      </c>
      <c r="N22" s="23" t="b">
        <v>0</v>
      </c>
      <c r="O22" s="19" t="n"/>
      <c r="P22" s="19" t="n"/>
      <c r="Q22" s="20" t="n"/>
    </row>
    <row r="23">
      <c r="A23" s="19" t="n">
        <v>20</v>
      </c>
      <c r="B23" s="19" t="inlineStr">
        <is>
          <t>2010-11</t>
        </is>
      </c>
      <c r="C23" s="19" t="inlineStr">
        <is>
          <t>CSE 211</t>
        </is>
      </c>
      <c r="D23" s="19" t="inlineStr">
        <is>
          <t>13(a)</t>
        </is>
      </c>
      <c r="E23" s="20" t="inlineStr">
        <is>
          <t>Formally describe a PDA for {w ∈ {0,1}∗ | w = w^R}</t>
        </is>
      </c>
      <c r="F23" s="20" t="inlineStr">
        <is>
          <t>Designing PDAs — Lecture 3 PDA, sl. 20–55, 87–101</t>
        </is>
      </c>
      <c r="G23" s="19" t="inlineStr">
        <is>
          <t>L7</t>
        </is>
      </c>
      <c r="H23" s="19" t="n">
        <v>8</v>
      </c>
      <c r="I23" s="19" t="n">
        <v>13</v>
      </c>
      <c r="J23" s="21" t="inlineStr">
        <is>
          <t>★★ Medium</t>
        </is>
      </c>
      <c r="K23" s="19" t="inlineStr">
        <is>
          <t>Design</t>
        </is>
      </c>
      <c r="L23" s="22" t="inlineStr">
        <is>
          <t>✔ Solved</t>
        </is>
      </c>
      <c r="M23" s="20" t="inlineStr">
        <is>
          <t>2016-17 7(b); 2006-07 9</t>
        </is>
      </c>
      <c r="N23" s="23" t="b">
        <v>0</v>
      </c>
      <c r="O23" s="19" t="n"/>
      <c r="P23" s="19" t="n"/>
      <c r="Q23" s="20" t="n"/>
    </row>
    <row r="24">
      <c r="A24" s="19" t="n">
        <v>21</v>
      </c>
      <c r="B24" s="19" t="inlineStr">
        <is>
          <t>2009-10</t>
        </is>
      </c>
      <c r="C24" s="19" t="inlineStr">
        <is>
          <t>CSE 211</t>
        </is>
      </c>
      <c r="D24" s="19" t="inlineStr">
        <is>
          <t>10(a)</t>
        </is>
      </c>
      <c r="E24" s="20" t="inlineStr">
        <is>
          <t>Formal PDA definition; PDAs for {0^n1^n | n ≥ 1}, equal 0s and 1s, palindromes over {0,1}</t>
        </is>
      </c>
      <c r="F24" s="20" t="inlineStr">
        <is>
          <t>Designing PDAs — Lecture 3 PDA, sl. 20–55, 87–101</t>
        </is>
      </c>
      <c r="G24" s="19" t="inlineStr">
        <is>
          <t>L7</t>
        </is>
      </c>
      <c r="H24" s="19" t="n">
        <v>14</v>
      </c>
      <c r="I24" s="19" t="n">
        <v>9</v>
      </c>
      <c r="J24" s="21" t="inlineStr">
        <is>
          <t>★★ Medium</t>
        </is>
      </c>
      <c r="K24" s="19" t="inlineStr">
        <is>
          <t>Design</t>
        </is>
      </c>
      <c r="L24" s="22" t="inlineStr">
        <is>
          <t>✔ Solved</t>
        </is>
      </c>
      <c r="M24" s="20" t="inlineStr">
        <is>
          <t>2016-17 6(a); 2008-09 1(i); 2007-08 5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2008-09</t>
        </is>
      </c>
      <c r="C25" s="19" t="inlineStr">
        <is>
          <t>CSE 211</t>
        </is>
      </c>
      <c r="D25" s="19" t="inlineStr">
        <is>
          <t>1(i)</t>
        </is>
      </c>
      <c r="E25" s="20" t="inlineStr">
        <is>
          <t>PDA for {a^n b^2n | n &gt; 0} or prove impossible</t>
        </is>
      </c>
      <c r="F25" s="20" t="inlineStr">
        <is>
          <t>Designing PDAs — Lecture 3 PDA, sl. 20–55, 87–101</t>
        </is>
      </c>
      <c r="G25" s="19" t="inlineStr">
        <is>
          <t>L7</t>
        </is>
      </c>
      <c r="H25" s="19" t="n">
        <v>10</v>
      </c>
      <c r="I25" s="19" t="n">
        <v>6</v>
      </c>
      <c r="J25" s="21" t="inlineStr">
        <is>
          <t>★★ Medium</t>
        </is>
      </c>
      <c r="K25" s="19" t="inlineStr">
        <is>
          <t>Design</t>
        </is>
      </c>
      <c r="L25" s="22" t="inlineStr">
        <is>
          <t>✔ Solved</t>
        </is>
      </c>
      <c r="M25" s="20" t="inlineStr">
        <is>
          <t>2016-17 6(a); 2009-10 10(a); 2007-08 5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2007-08</t>
        </is>
      </c>
      <c r="C26" s="19" t="inlineStr">
        <is>
          <t>CSE 211</t>
        </is>
      </c>
      <c r="D26" s="19" t="inlineStr">
        <is>
          <t>5</t>
        </is>
      </c>
      <c r="E26" s="20" t="inlineStr">
        <is>
          <t>PDA for {a^i c^k (bc)^i | i, k ≥ 0}</t>
        </is>
      </c>
      <c r="F26" s="20" t="inlineStr">
        <is>
          <t>Designing PDAs — Lecture 3 PDA, sl. 20–55, 87–101</t>
        </is>
      </c>
      <c r="G26" s="19" t="inlineStr">
        <is>
          <t>L7</t>
        </is>
      </c>
      <c r="H26" s="19" t="n">
        <v>10</v>
      </c>
      <c r="I26" s="19" t="n">
        <v>5</v>
      </c>
      <c r="J26" s="21" t="inlineStr">
        <is>
          <t>★★ Medium</t>
        </is>
      </c>
      <c r="K26" s="19" t="inlineStr">
        <is>
          <t>Design</t>
        </is>
      </c>
      <c r="L26" s="22" t="inlineStr">
        <is>
          <t>✔ Solved</t>
        </is>
      </c>
      <c r="M26" s="20" t="inlineStr">
        <is>
          <t>2016-17 6(a); 2009-10 10(a); 2008-09 1(i)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2006-07</t>
        </is>
      </c>
      <c r="C27" s="19" t="inlineStr">
        <is>
          <t>CSE 211</t>
        </is>
      </c>
      <c r="D27" s="19" t="inlineStr">
        <is>
          <t>9</t>
        </is>
      </c>
      <c r="E27" s="20" t="inlineStr">
        <is>
          <t>Transition diagram of a PDA accepting palindromes of all lengths over {0,1}</t>
        </is>
      </c>
      <c r="F27" s="20" t="inlineStr">
        <is>
          <t>Designing PDAs — Lecture 3 PDA, sl. 20–55, 87–101</t>
        </is>
      </c>
      <c r="G27" s="19" t="inlineStr">
        <is>
          <t>L7</t>
        </is>
      </c>
      <c r="H27" s="19" t="n">
        <v>10</v>
      </c>
      <c r="I27" s="19" t="n">
        <v>3</v>
      </c>
      <c r="J27" s="21" t="inlineStr">
        <is>
          <t>★★ Medium</t>
        </is>
      </c>
      <c r="K27" s="19" t="inlineStr">
        <is>
          <t>Design</t>
        </is>
      </c>
      <c r="L27" s="22" t="inlineStr">
        <is>
          <t>✔ Solved</t>
        </is>
      </c>
      <c r="M27" s="20" t="inlineStr">
        <is>
          <t>2016-17 7(b); 2010-11 13(a)</t>
        </is>
      </c>
      <c r="N27" s="23" t="b">
        <v>0</v>
      </c>
      <c r="O27" s="19" t="n"/>
      <c r="P27" s="19" t="n"/>
      <c r="Q27" s="20" t="n"/>
    </row>
    <row r="28">
      <c r="A28" s="24" t="n">
        <v>25</v>
      </c>
      <c r="B28" s="24" t="inlineStr">
        <is>
          <t>2019-20</t>
        </is>
      </c>
      <c r="C28" s="24" t="inlineStr">
        <is>
          <t>CSE 211</t>
        </is>
      </c>
      <c r="D28" s="24" t="inlineStr">
        <is>
          <t>10(a)</t>
        </is>
      </c>
      <c r="E28" s="6" t="inlineStr">
        <is>
          <t>Final-state PDAs and empty-stack PDAs accept the same languages</t>
        </is>
      </c>
      <c r="F28" s="6" t="inlineStr">
        <is>
          <t>Final state vs empty stack — Lecture 3 PDA, sl. 102–109</t>
        </is>
      </c>
      <c r="G28" s="24" t="inlineStr">
        <is>
          <t>L8</t>
        </is>
      </c>
      <c r="H28" s="24" t="n">
        <v>8</v>
      </c>
      <c r="I28" s="24" t="n">
        <v>42</v>
      </c>
      <c r="J28" s="25" t="inlineStr">
        <is>
          <t>★★★ High</t>
        </is>
      </c>
      <c r="K28" s="24" t="inlineStr">
        <is>
          <t>Proof</t>
        </is>
      </c>
      <c r="L28" s="22" t="inlineStr">
        <is>
          <t>✔ Solved</t>
        </is>
      </c>
      <c r="M28" s="6" t="inlineStr">
        <is>
          <t>2015-16 6(b); 2007-08 6</t>
        </is>
      </c>
      <c r="N28" s="23" t="b">
        <v>0</v>
      </c>
      <c r="O28" s="24" t="n"/>
      <c r="P28" s="24" t="n"/>
      <c r="Q28" s="6" t="n"/>
    </row>
    <row r="29">
      <c r="A29" s="24" t="n">
        <v>26</v>
      </c>
      <c r="B29" s="24" t="inlineStr">
        <is>
          <t>2015-16</t>
        </is>
      </c>
      <c r="C29" s="24" t="inlineStr">
        <is>
          <t>CSE 211</t>
        </is>
      </c>
      <c r="D29" s="24" t="inlineStr">
        <is>
          <t>6(b)</t>
        </is>
      </c>
      <c r="E29" s="6" t="inlineStr">
        <is>
          <t>From PF (final state) build PN (empty stack) for the same L — definitions of both</t>
        </is>
      </c>
      <c r="F29" s="6" t="inlineStr">
        <is>
          <t>Final state vs empty stack — Lecture 3 PDA, sl. 102–109</t>
        </is>
      </c>
      <c r="G29" s="24" t="inlineStr">
        <is>
          <t>L8</t>
        </is>
      </c>
      <c r="H29" s="24" t="n">
        <v>10.33</v>
      </c>
      <c r="I29" s="24" t="n">
        <v>27</v>
      </c>
      <c r="J29" s="21" t="inlineStr">
        <is>
          <t>★★ Medium</t>
        </is>
      </c>
      <c r="K29" s="24" t="inlineStr">
        <is>
          <t>Proof</t>
        </is>
      </c>
      <c r="L29" s="22" t="inlineStr">
        <is>
          <t>✔ Solved</t>
        </is>
      </c>
      <c r="M29" s="6" t="inlineStr">
        <is>
          <t>2019-20 10(a); 2007-08 6</t>
        </is>
      </c>
      <c r="N29" s="23" t="b">
        <v>0</v>
      </c>
      <c r="O29" s="24" t="n"/>
      <c r="P29" s="24" t="n"/>
      <c r="Q29" s="6" t="n"/>
    </row>
    <row r="30">
      <c r="A30" s="24" t="n">
        <v>27</v>
      </c>
      <c r="B30" s="24" t="inlineStr">
        <is>
          <t>2009-10</t>
        </is>
      </c>
      <c r="C30" s="24" t="inlineStr">
        <is>
          <t>CSE 211</t>
        </is>
      </c>
      <c r="D30" s="24" t="inlineStr">
        <is>
          <t>10(b)</t>
        </is>
      </c>
      <c r="E30" s="6" t="inlineStr">
        <is>
          <t>PDA P({p,q},…,δ: (q,0,Z)→XZ, …): (i) transition diagram, (ii) convert to an empty-stack PDA for the same language</t>
        </is>
      </c>
      <c r="F30" s="6" t="inlineStr">
        <is>
          <t>Final state vs empty stack — Lecture 3 PDA, sl. 102–109</t>
        </is>
      </c>
      <c r="G30" s="24" t="inlineStr">
        <is>
          <t>L8</t>
        </is>
      </c>
      <c r="H30" s="24" t="n">
        <v>9.33</v>
      </c>
      <c r="I30" s="24" t="inlineStr">
        <is>
          <t>9–10</t>
        </is>
      </c>
      <c r="J30" s="21" t="inlineStr">
        <is>
          <t>★★ Medium</t>
        </is>
      </c>
      <c r="K30" s="24" t="inlineStr">
        <is>
          <t>Design</t>
        </is>
      </c>
      <c r="L30" s="22" t="inlineStr">
        <is>
          <t>✔ Solved</t>
        </is>
      </c>
      <c r="M30" s="6" t="inlineStr">
        <is>
          <t>2015-16 5(a); 2015-16 5(b); 2010-11 13(c)</t>
        </is>
      </c>
      <c r="N30" s="23" t="b">
        <v>0</v>
      </c>
      <c r="O30" s="24" t="n"/>
      <c r="P30" s="24" t="n"/>
      <c r="Q30" s="6" t="n"/>
    </row>
    <row r="31">
      <c r="A31" s="24" t="n">
        <v>28</v>
      </c>
      <c r="B31" s="24" t="inlineStr">
        <is>
          <t>2007-08</t>
        </is>
      </c>
      <c r="C31" s="24" t="inlineStr">
        <is>
          <t>CSE 211</t>
        </is>
      </c>
      <c r="D31" s="24" t="inlineStr">
        <is>
          <t>6</t>
        </is>
      </c>
      <c r="E31" s="6" t="inlineStr">
        <is>
          <t>Justify: L has a PDA accepting by final state iff it has one accepting by empty stack</t>
        </is>
      </c>
      <c r="F31" s="6" t="inlineStr">
        <is>
          <t>Final state vs empty stack — Lecture 3 PDA, sl. 102–109</t>
        </is>
      </c>
      <c r="G31" s="24" t="inlineStr">
        <is>
          <t>L8</t>
        </is>
      </c>
      <c r="H31" s="24" t="n">
        <v>10</v>
      </c>
      <c r="I31" s="24" t="n">
        <v>5</v>
      </c>
      <c r="J31" s="21" t="inlineStr">
        <is>
          <t>★★ Medium</t>
        </is>
      </c>
      <c r="K31" s="24" t="inlineStr">
        <is>
          <t>Proof</t>
        </is>
      </c>
      <c r="L31" s="22" t="inlineStr">
        <is>
          <t>✔ Solved</t>
        </is>
      </c>
      <c r="M31" s="6" t="inlineStr">
        <is>
          <t>2019-20 10(a); 2015-16 6(b)</t>
        </is>
      </c>
      <c r="N31" s="23" t="b">
        <v>0</v>
      </c>
      <c r="O31" s="24" t="n"/>
      <c r="P31" s="24" t="n"/>
      <c r="Q31" s="6" t="n"/>
    </row>
    <row r="32">
      <c r="A32" s="19" t="n">
        <v>29</v>
      </c>
      <c r="B32" s="19" t="inlineStr">
        <is>
          <t>2014-15</t>
        </is>
      </c>
      <c r="C32" s="19" t="inlineStr">
        <is>
          <t>CSE 211</t>
        </is>
      </c>
      <c r="D32" s="19" t="inlineStr">
        <is>
          <t>7(a)</t>
        </is>
      </c>
      <c r="E32" s="20" t="inlineStr">
        <is>
          <t>For any PDA P there is a CFG G with L(P) = L(G)</t>
        </is>
      </c>
      <c r="F32" s="20" t="inlineStr">
        <is>
          <t>CFG ↔ PDA — Lecture 3 PDA, sl. 104, 110–122</t>
        </is>
      </c>
      <c r="G32" s="19" t="inlineStr">
        <is>
          <t>L9</t>
        </is>
      </c>
      <c r="H32" s="19" t="n">
        <v>7</v>
      </c>
      <c r="I32" s="19" t="n">
        <v>23</v>
      </c>
      <c r="J32" s="21" t="inlineStr">
        <is>
          <t>★★ Medium</t>
        </is>
      </c>
      <c r="K32" s="19" t="inlineStr">
        <is>
          <t>Proof</t>
        </is>
      </c>
      <c r="L32" s="26" t="inlineStr">
        <is>
          <t>◐ Method</t>
        </is>
      </c>
      <c r="M32" s="20" t="inlineStr">
        <is>
          <t>2013-14 1(c); 2012-13 1(b); 2010-11 12(c)</t>
        </is>
      </c>
      <c r="N32" s="23" t="b">
        <v>0</v>
      </c>
      <c r="O32" s="19" t="n"/>
      <c r="P32" s="19" t="n"/>
      <c r="Q32" s="20" t="n"/>
    </row>
    <row r="33">
      <c r="A33" s="19" t="n">
        <v>30</v>
      </c>
      <c r="B33" s="19" t="inlineStr">
        <is>
          <t>2013-14</t>
        </is>
      </c>
      <c r="C33" s="19" t="inlineStr">
        <is>
          <t>CSE 211</t>
        </is>
      </c>
      <c r="D33" s="19" t="inlineStr">
        <is>
          <t>1(a)</t>
        </is>
      </c>
      <c r="E33" s="20" t="inlineStr">
        <is>
          <t>Convert E→E+T|T, T→T×F|T/F|F, F→(E)|a to a PDA</t>
        </is>
      </c>
      <c r="F33" s="20" t="inlineStr">
        <is>
          <t>CFG ↔ PDA — Lecture 3 PDA, sl. 104, 110–122</t>
        </is>
      </c>
      <c r="G33" s="19" t="inlineStr">
        <is>
          <t>L9</t>
        </is>
      </c>
      <c r="H33" s="19" t="n">
        <v>7</v>
      </c>
      <c r="I33" s="19" t="n">
        <v>19</v>
      </c>
      <c r="J33" s="21" t="inlineStr">
        <is>
          <t>★★ Medium</t>
        </is>
      </c>
      <c r="K33" s="19" t="inlineStr">
        <is>
          <t>Design</t>
        </is>
      </c>
      <c r="L33" s="22" t="inlineStr">
        <is>
          <t>✔ Solved</t>
        </is>
      </c>
      <c r="M33" s="20" t="inlineStr">
        <is>
          <t>2012-13 1(a); 2011-12 4(b); 2010-11 12(d); 2009-10 11(a)</t>
        </is>
      </c>
      <c r="N33" s="23" t="b">
        <v>0</v>
      </c>
      <c r="O33" s="19" t="n"/>
      <c r="P33" s="19" t="n"/>
      <c r="Q33" s="20" t="n"/>
    </row>
    <row r="34">
      <c r="A34" s="19" t="n">
        <v>31</v>
      </c>
      <c r="B34" s="19" t="inlineStr">
        <is>
          <t>2013-14</t>
        </is>
      </c>
      <c r="C34" s="19" t="inlineStr">
        <is>
          <t>CSE 211</t>
        </is>
      </c>
      <c r="D34" s="19" t="inlineStr">
        <is>
          <t>1(c)</t>
        </is>
      </c>
      <c r="E34" s="20" t="inlineStr">
        <is>
          <t>Prove: for any PDA P there is a CFG G with L(P) = L(G)</t>
        </is>
      </c>
      <c r="F34" s="20" t="inlineStr">
        <is>
          <t>CFG ↔ PDA — Lecture 3 PDA, sl. 104, 110–122</t>
        </is>
      </c>
      <c r="G34" s="19" t="inlineStr">
        <is>
          <t>L9</t>
        </is>
      </c>
      <c r="H34" s="19" t="n">
        <v>9.33</v>
      </c>
      <c r="I34" s="19" t="n">
        <v>19</v>
      </c>
      <c r="J34" s="21" t="inlineStr">
        <is>
          <t>★★ Medium</t>
        </is>
      </c>
      <c r="K34" s="19" t="inlineStr">
        <is>
          <t>Proof</t>
        </is>
      </c>
      <c r="L34" s="26" t="inlineStr">
        <is>
          <t>◐ Method</t>
        </is>
      </c>
      <c r="M34" s="20" t="inlineStr">
        <is>
          <t>2014-15 7(a); 2012-13 1(b); 2010-11 12(c)</t>
        </is>
      </c>
      <c r="N34" s="23" t="b">
        <v>0</v>
      </c>
      <c r="O34" s="19" t="n"/>
      <c r="P34" s="19" t="n"/>
      <c r="Q34" s="20" t="n"/>
    </row>
    <row r="35">
      <c r="A35" s="19" t="n">
        <v>32</v>
      </c>
      <c r="B35" s="19" t="inlineStr">
        <is>
          <t>2012-13</t>
        </is>
      </c>
      <c r="C35" s="19" t="inlineStr">
        <is>
          <t>CSE 211</t>
        </is>
      </c>
      <c r="D35" s="19" t="inlineStr">
        <is>
          <t>1(a)</t>
        </is>
      </c>
      <c r="E35" s="20" t="inlineStr">
        <is>
          <t>Formal PDA definition; PDA for S→BS|A, A→0A|ε, B→BB1|2</t>
        </is>
      </c>
      <c r="F35" s="20" t="inlineStr">
        <is>
          <t>CFG ↔ PDA — Lecture 3 PDA, sl. 104, 110–122</t>
        </is>
      </c>
      <c r="G35" s="19" t="inlineStr">
        <is>
          <t>L9</t>
        </is>
      </c>
      <c r="H35" s="19" t="n">
        <v>10</v>
      </c>
      <c r="I35" s="19" t="n">
        <v>17</v>
      </c>
      <c r="J35" s="21" t="inlineStr">
        <is>
          <t>★★ Medium</t>
        </is>
      </c>
      <c r="K35" s="19" t="inlineStr">
        <is>
          <t>Design</t>
        </is>
      </c>
      <c r="L35" s="22" t="inlineStr">
        <is>
          <t>✔ Solved</t>
        </is>
      </c>
      <c r="M35" s="20" t="inlineStr">
        <is>
          <t>2013-14 1(a); 2011-12 4(b); 2010-11 12(d); 2009-10 11(a)</t>
        </is>
      </c>
      <c r="N35" s="23" t="b">
        <v>0</v>
      </c>
      <c r="O35" s="19" t="n"/>
      <c r="P35" s="19" t="n"/>
      <c r="Q35" s="20" t="n"/>
    </row>
    <row r="36">
      <c r="A36" s="19" t="n">
        <v>33</v>
      </c>
      <c r="B36" s="19" t="inlineStr">
        <is>
          <t>2012-13</t>
        </is>
      </c>
      <c r="C36" s="19" t="inlineStr">
        <is>
          <t>CSE 211</t>
        </is>
      </c>
      <c r="D36" s="19" t="inlineStr">
        <is>
          <t>1(b)</t>
        </is>
      </c>
      <c r="E36" s="20" t="inlineStr">
        <is>
          <t>Prove a language is CFL iff some PDA accepts it</t>
        </is>
      </c>
      <c r="F36" s="20" t="inlineStr">
        <is>
          <t>CFG ↔ PDA — Lecture 3 PDA, sl. 104, 110–122</t>
        </is>
      </c>
      <c r="G36" s="19" t="inlineStr">
        <is>
          <t>L9</t>
        </is>
      </c>
      <c r="H36" s="19" t="n">
        <v>13.33</v>
      </c>
      <c r="I36" s="19" t="n">
        <v>17</v>
      </c>
      <c r="J36" s="21" t="inlineStr">
        <is>
          <t>★★ Medium</t>
        </is>
      </c>
      <c r="K36" s="19" t="inlineStr">
        <is>
          <t>Proof</t>
        </is>
      </c>
      <c r="L36" s="26" t="inlineStr">
        <is>
          <t>◐ Method</t>
        </is>
      </c>
      <c r="M36" s="20" t="inlineStr">
        <is>
          <t>2014-15 7(a); 2013-14 1(c); 2010-11 12(c)</t>
        </is>
      </c>
      <c r="N36" s="23" t="b">
        <v>0</v>
      </c>
      <c r="O36" s="19" t="n"/>
      <c r="P36" s="19" t="n"/>
      <c r="Q36" s="20" t="n"/>
    </row>
    <row r="37">
      <c r="A37" s="19" t="n">
        <v>34</v>
      </c>
      <c r="B37" s="19" t="inlineStr">
        <is>
          <t>2011-12</t>
        </is>
      </c>
      <c r="C37" s="19" t="inlineStr">
        <is>
          <t>CSE 211</t>
        </is>
      </c>
      <c r="D37" s="19" t="inlineStr">
        <is>
          <t>4(b)</t>
        </is>
      </c>
      <c r="E37" s="20" t="inlineStr">
        <is>
          <t>Convert S→aTXb, T→XTS|ε, X→a|b to a PDA</t>
        </is>
      </c>
      <c r="F37" s="20" t="inlineStr">
        <is>
          <t>CFG ↔ PDA — Lecture 3 PDA, sl. 104, 110–122</t>
        </is>
      </c>
      <c r="G37" s="19" t="inlineStr">
        <is>
          <t>L9</t>
        </is>
      </c>
      <c r="H37" s="19" t="n">
        <v>8</v>
      </c>
      <c r="I37" s="19" t="n">
        <v>15</v>
      </c>
      <c r="J37" s="21" t="inlineStr">
        <is>
          <t>★★ Medium</t>
        </is>
      </c>
      <c r="K37" s="19" t="inlineStr">
        <is>
          <t>Design</t>
        </is>
      </c>
      <c r="L37" s="22" t="inlineStr">
        <is>
          <t>✔ Solved</t>
        </is>
      </c>
      <c r="M37" s="20" t="inlineStr">
        <is>
          <t>2013-14 1(a); 2012-13 1(a); 2010-11 12(d); 2009-10 11(a)</t>
        </is>
      </c>
      <c r="N37" s="23" t="b">
        <v>0</v>
      </c>
      <c r="O37" s="19" t="n"/>
      <c r="P37" s="19" t="n"/>
      <c r="Q37" s="20" t="n"/>
    </row>
    <row r="38">
      <c r="A38" s="19" t="n">
        <v>35</v>
      </c>
      <c r="B38" s="19" t="inlineStr">
        <is>
          <t>2010-11</t>
        </is>
      </c>
      <c r="C38" s="19" t="inlineStr">
        <is>
          <t>CSE 211</t>
        </is>
      </c>
      <c r="D38" s="19" t="inlineStr">
        <is>
          <t>12(c)</t>
        </is>
      </c>
      <c r="E38" s="20" t="inlineStr">
        <is>
          <t>Prove: if a PDA recognizes L then L is context-free</t>
        </is>
      </c>
      <c r="F38" s="20" t="inlineStr">
        <is>
          <t>CFG ↔ PDA — Lecture 3 PDA, sl. 104, 110–122</t>
        </is>
      </c>
      <c r="G38" s="19" t="inlineStr">
        <is>
          <t>L9</t>
        </is>
      </c>
      <c r="H38" s="19" t="n">
        <v>11</v>
      </c>
      <c r="I38" s="19" t="n">
        <v>13</v>
      </c>
      <c r="J38" s="21" t="inlineStr">
        <is>
          <t>★★ Medium</t>
        </is>
      </c>
      <c r="K38" s="19" t="inlineStr">
        <is>
          <t>Proof</t>
        </is>
      </c>
      <c r="L38" s="26" t="inlineStr">
        <is>
          <t>◐ Method</t>
        </is>
      </c>
      <c r="M38" s="20" t="inlineStr">
        <is>
          <t>2014-15 7(a); 2013-14 1(c); 2012-13 1(b)</t>
        </is>
      </c>
      <c r="N38" s="23" t="b">
        <v>0</v>
      </c>
      <c r="O38" s="19" t="n"/>
      <c r="P38" s="19" t="n"/>
      <c r="Q38" s="20" t="n"/>
    </row>
    <row r="39">
      <c r="A39" s="19" t="n">
        <v>36</v>
      </c>
      <c r="B39" s="19" t="inlineStr">
        <is>
          <t>2010-11</t>
        </is>
      </c>
      <c r="C39" s="19" t="inlineStr">
        <is>
          <t>CSE 211</t>
        </is>
      </c>
      <c r="D39" s="19" t="inlineStr">
        <is>
          <t>12(d)</t>
        </is>
      </c>
      <c r="E39" s="20" t="inlineStr">
        <is>
          <t>Informal description + state diagram of a PDA for S→TX, T→0T0|1T1|#X, X→0X|1X|ε</t>
        </is>
      </c>
      <c r="F39" s="20" t="inlineStr">
        <is>
          <t>CFG ↔ PDA — Lecture 3 PDA, sl. 104, 110–122</t>
        </is>
      </c>
      <c r="G39" s="19" t="inlineStr">
        <is>
          <t>L9</t>
        </is>
      </c>
      <c r="H39" s="19" t="n">
        <v>5.33</v>
      </c>
      <c r="I39" s="19" t="n">
        <v>13</v>
      </c>
      <c r="J39" s="21" t="inlineStr">
        <is>
          <t>★★ Medium</t>
        </is>
      </c>
      <c r="K39" s="19" t="inlineStr">
        <is>
          <t>Design</t>
        </is>
      </c>
      <c r="L39" s="22" t="inlineStr">
        <is>
          <t>✔ Solved</t>
        </is>
      </c>
      <c r="M39" s="20" t="inlineStr">
        <is>
          <t>2013-14 1(a); 2012-13 1(a); 2011-12 4(b); 2009-10 11(a)</t>
        </is>
      </c>
      <c r="N39" s="23" t="b">
        <v>0</v>
      </c>
      <c r="O39" s="19" t="n"/>
      <c r="P39" s="19" t="n"/>
      <c r="Q39" s="20" t="n"/>
    </row>
    <row r="40">
      <c r="A40" s="19" t="n">
        <v>37</v>
      </c>
      <c r="B40" s="19" t="inlineStr">
        <is>
          <t>2010-11</t>
        </is>
      </c>
      <c r="C40" s="19" t="inlineStr">
        <is>
          <t>CSE 211</t>
        </is>
      </c>
      <c r="D40" s="19" t="inlineStr">
        <is>
          <t>13(b)</t>
        </is>
      </c>
      <c r="E40" s="20" t="inlineStr">
        <is>
          <t>Convert the PDA of 13(a) into an equivalent CFG</t>
        </is>
      </c>
      <c r="F40" s="20" t="inlineStr">
        <is>
          <t>CFG ↔ PDA — Lecture 3 PDA, sl. 104, 110–122</t>
        </is>
      </c>
      <c r="G40" s="19" t="inlineStr">
        <is>
          <t>L9</t>
        </is>
      </c>
      <c r="H40" s="19" t="n">
        <v>7.33</v>
      </c>
      <c r="I40" s="19" t="n">
        <v>13</v>
      </c>
      <c r="J40" s="21" t="inlineStr">
        <is>
          <t>★★ Medium</t>
        </is>
      </c>
      <c r="K40" s="19" t="inlineStr">
        <is>
          <t>Design</t>
        </is>
      </c>
      <c r="L40" s="22" t="inlineStr">
        <is>
          <t>✔ Solved</t>
        </is>
      </c>
      <c r="M40" s="20" t="inlineStr">
        <is>
          <t>2009-10 11(b)</t>
        </is>
      </c>
      <c r="N40" s="23" t="b">
        <v>0</v>
      </c>
      <c r="O40" s="19" t="n"/>
      <c r="P40" s="19" t="n"/>
      <c r="Q40" s="20" t="n"/>
    </row>
    <row r="41">
      <c r="A41" s="19" t="n">
        <v>38</v>
      </c>
      <c r="B41" s="19" t="inlineStr">
        <is>
          <t>2009-10</t>
        </is>
      </c>
      <c r="C41" s="19" t="inlineStr">
        <is>
          <t>CSE 211</t>
        </is>
      </c>
      <c r="D41" s="19" t="inlineStr">
        <is>
          <t>11(a)</t>
        </is>
      </c>
      <c r="E41" s="20" t="inlineStr">
        <is>
          <t>Convert S→AS|A, A→0A|1B|1, B→0B|0 to a PDA accepting by empty stack</t>
        </is>
      </c>
      <c r="F41" s="20" t="inlineStr">
        <is>
          <t>CFG ↔ PDA — Lecture 3 PDA, sl. 104, 110–122</t>
        </is>
      </c>
      <c r="G41" s="19" t="inlineStr">
        <is>
          <t>L9</t>
        </is>
      </c>
      <c r="H41" s="19" t="n">
        <v>5</v>
      </c>
      <c r="I41" s="19" t="n">
        <v>10</v>
      </c>
      <c r="J41" s="21" t="inlineStr">
        <is>
          <t>★★ Medium</t>
        </is>
      </c>
      <c r="K41" s="19" t="inlineStr">
        <is>
          <t>Design</t>
        </is>
      </c>
      <c r="L41" s="22" t="inlineStr">
        <is>
          <t>✔ Solved</t>
        </is>
      </c>
      <c r="M41" s="20" t="inlineStr">
        <is>
          <t>2013-14 1(a); 2012-13 1(a); 2011-12 4(b); 2010-11 12(d)</t>
        </is>
      </c>
      <c r="N41" s="23" t="b">
        <v>0</v>
      </c>
      <c r="O41" s="19" t="n"/>
      <c r="P41" s="19" t="n"/>
      <c r="Q41" s="20" t="n"/>
    </row>
    <row r="42">
      <c r="A42" s="19" t="n">
        <v>39</v>
      </c>
      <c r="B42" s="19" t="inlineStr">
        <is>
          <t>2009-10</t>
        </is>
      </c>
      <c r="C42" s="19" t="inlineStr">
        <is>
          <t>CSE 211</t>
        </is>
      </c>
      <c r="D42" s="19" t="inlineStr">
        <is>
          <t>11(b)</t>
        </is>
      </c>
      <c r="E42" s="20" t="inlineStr">
        <is>
          <t>Convert PDA δ(q,1,Z)={(q,XZ)}, δ(q,0,X)={(p,X)}, δ(p,1,X)={(p,ε)} to a CFG</t>
        </is>
      </c>
      <c r="F42" s="20" t="inlineStr">
        <is>
          <t>CFG ↔ PDA — Lecture 3 PDA, sl. 104, 110–122</t>
        </is>
      </c>
      <c r="G42" s="19" t="inlineStr">
        <is>
          <t>L9</t>
        </is>
      </c>
      <c r="H42" s="19" t="n">
        <v>13</v>
      </c>
      <c r="I42" s="19" t="n">
        <v>10</v>
      </c>
      <c r="J42" s="21" t="inlineStr">
        <is>
          <t>★★ Medium</t>
        </is>
      </c>
      <c r="K42" s="19" t="inlineStr">
        <is>
          <t>Design</t>
        </is>
      </c>
      <c r="L42" s="22" t="inlineStr">
        <is>
          <t>✔ Solved</t>
        </is>
      </c>
      <c r="M42" s="20" t="inlineStr">
        <is>
          <t>2010-11 13(b)</t>
        </is>
      </c>
      <c r="N42" s="23" t="b">
        <v>0</v>
      </c>
      <c r="O42" s="19" t="n"/>
      <c r="P42" s="19" t="n"/>
      <c r="Q42" s="20" t="n"/>
    </row>
    <row r="43">
      <c r="A43" s="24" t="n">
        <v>40</v>
      </c>
      <c r="B43" s="24" t="inlineStr">
        <is>
          <t>2023-24</t>
        </is>
      </c>
      <c r="C43" s="24" t="inlineStr">
        <is>
          <t>CSE 211</t>
        </is>
      </c>
      <c r="D43" s="24" t="inlineStr">
        <is>
          <t>7</t>
        </is>
      </c>
      <c r="E43" s="6" t="inlineStr">
        <is>
          <t>Example of a non-context-free language; prove it with the CFL pumping lemma</t>
        </is>
      </c>
      <c r="F43" s="6" t="inlineStr">
        <is>
          <t>CFL pumping lemma, DPDA, hierarchy — Lecture 3 PDA, sl. 123–136</t>
        </is>
      </c>
      <c r="G43" s="24" t="inlineStr">
        <is>
          <t>L10</t>
        </is>
      </c>
      <c r="H43" s="24" t="n">
        <v>15</v>
      </c>
      <c r="I43" s="24" t="inlineStr">
        <is>
          <t>22 batch p.3</t>
        </is>
      </c>
      <c r="J43" s="25" t="inlineStr">
        <is>
          <t>★★★ High</t>
        </is>
      </c>
      <c r="K43" s="24" t="inlineStr">
        <is>
          <t>Proof</t>
        </is>
      </c>
      <c r="L43" s="22" t="inlineStr">
        <is>
          <t>✔ Solved</t>
        </is>
      </c>
      <c r="M43" s="6" t="inlineStr">
        <is>
          <t>2021-22 8; 2016-17 7(c); 2014-15 6(b); 2013-14 2(c); 2012-13 2(b); 2008-09 1(ii)</t>
        </is>
      </c>
      <c r="N43" s="23" t="b">
        <v>0</v>
      </c>
      <c r="O43" s="24" t="n"/>
      <c r="P43" s="24" t="n"/>
      <c r="Q43" s="6" t="n"/>
    </row>
    <row r="44">
      <c r="A44" s="24" t="n">
        <v>41</v>
      </c>
      <c r="B44" s="24" t="inlineStr">
        <is>
          <t>2022-23</t>
        </is>
      </c>
      <c r="C44" s="24" t="inlineStr">
        <is>
          <t>CSE 211</t>
        </is>
      </c>
      <c r="D44" s="24" t="inlineStr">
        <is>
          <t>9</t>
        </is>
      </c>
      <c r="E44" s="6" t="inlineStr">
        <is>
          <t>State and prove the pumping lemma for CFLs (CNF parse-tree height theorem given)</t>
        </is>
      </c>
      <c r="F44" s="6" t="inlineStr">
        <is>
          <t>CFL pumping lemma, DPDA, hierarchy — Lecture 3 PDA, sl. 123–136</t>
        </is>
      </c>
      <c r="G44" s="24" t="inlineStr">
        <is>
          <t>L10</t>
        </is>
      </c>
      <c r="H44" s="24" t="n">
        <v>15</v>
      </c>
      <c r="I44" s="24" t="n">
        <v>52</v>
      </c>
      <c r="J44" s="25" t="inlineStr">
        <is>
          <t>★★★ High</t>
        </is>
      </c>
      <c r="K44" s="24" t="inlineStr">
        <is>
          <t>Proof</t>
        </is>
      </c>
      <c r="L44" s="22" t="inlineStr">
        <is>
          <t>✔ Solved</t>
        </is>
      </c>
      <c r="M44" s="6" t="inlineStr">
        <is>
          <t>—</t>
        </is>
      </c>
      <c r="N44" s="23" t="b">
        <v>0</v>
      </c>
      <c r="O44" s="24" t="n"/>
      <c r="P44" s="24" t="n"/>
      <c r="Q44" s="6" t="n"/>
    </row>
    <row r="45">
      <c r="A45" s="24" t="n">
        <v>42</v>
      </c>
      <c r="B45" s="24" t="inlineStr">
        <is>
          <t>2021-22</t>
        </is>
      </c>
      <c r="C45" s="24" t="inlineStr">
        <is>
          <t>CSE 211</t>
        </is>
      </c>
      <c r="D45" s="24" t="inlineStr">
        <is>
          <t>8</t>
        </is>
      </c>
      <c r="E45" s="6" t="inlineStr">
        <is>
          <t>Example of a non-context-free language; prove it with the CFL pumping lemma</t>
        </is>
      </c>
      <c r="F45" s="6" t="inlineStr">
        <is>
          <t>CFL pumping lemma, DPDA, hierarchy — Lecture 3 PDA, sl. 123–136</t>
        </is>
      </c>
      <c r="G45" s="24" t="inlineStr">
        <is>
          <t>L10</t>
        </is>
      </c>
      <c r="H45" s="24" t="n">
        <v>15</v>
      </c>
      <c r="I45" s="24" t="n">
        <v>48</v>
      </c>
      <c r="J45" s="25" t="inlineStr">
        <is>
          <t>★★★ High</t>
        </is>
      </c>
      <c r="K45" s="24" t="inlineStr">
        <is>
          <t>Proof</t>
        </is>
      </c>
      <c r="L45" s="22" t="inlineStr">
        <is>
          <t>✔ Solved</t>
        </is>
      </c>
      <c r="M45" s="6" t="inlineStr">
        <is>
          <t>2023-24 7; 2016-17 7(c); 2014-15 6(b); 2013-14 2(c); 2012-13 2(b); 2008-09 1(ii)</t>
        </is>
      </c>
      <c r="N45" s="23" t="b">
        <v>0</v>
      </c>
      <c r="O45" s="24" t="n"/>
      <c r="P45" s="24" t="n"/>
      <c r="Q45" s="6" t="n"/>
    </row>
    <row r="46">
      <c r="A46" s="24" t="n">
        <v>43</v>
      </c>
      <c r="B46" s="24" t="inlineStr">
        <is>
          <t>2016-17</t>
        </is>
      </c>
      <c r="C46" s="24" t="inlineStr">
        <is>
          <t>CSE 211</t>
        </is>
      </c>
      <c r="D46" s="24" t="inlineStr">
        <is>
          <t>7(c)</t>
        </is>
      </c>
      <c r="E46" s="6" t="inlineStr">
        <is>
          <t>{a^n b^n c^n | n ≥ 0} is not context-free</t>
        </is>
      </c>
      <c r="F46" s="6" t="inlineStr">
        <is>
          <t>CFL pumping lemma, DPDA, hierarchy — Lecture 3 PDA, sl. 123–136</t>
        </is>
      </c>
      <c r="G46" s="24" t="inlineStr">
        <is>
          <t>L10</t>
        </is>
      </c>
      <c r="H46" s="24" t="n">
        <v>10</v>
      </c>
      <c r="I46" s="24" t="n">
        <v>31</v>
      </c>
      <c r="J46" s="21" t="inlineStr">
        <is>
          <t>★★ Medium</t>
        </is>
      </c>
      <c r="K46" s="24" t="inlineStr">
        <is>
          <t>Proof</t>
        </is>
      </c>
      <c r="L46" s="22" t="inlineStr">
        <is>
          <t>✔ Solved</t>
        </is>
      </c>
      <c r="M46" s="6" t="inlineStr">
        <is>
          <t>2023-24 7; 2021-22 8; 2014-15 6(b); 2013-14 2(c); 2012-13 2(b); 2008-09 1(ii)</t>
        </is>
      </c>
      <c r="N46" s="23" t="b">
        <v>0</v>
      </c>
      <c r="O46" s="24" t="n"/>
      <c r="P46" s="24" t="n"/>
      <c r="Q46" s="6" t="n"/>
    </row>
    <row r="47">
      <c r="A47" s="24" t="n">
        <v>44</v>
      </c>
      <c r="B47" s="24" t="inlineStr">
        <is>
          <t>2014-15</t>
        </is>
      </c>
      <c r="C47" s="24" t="inlineStr">
        <is>
          <t>CSE 211</t>
        </is>
      </c>
      <c r="D47" s="24" t="inlineStr">
        <is>
          <t>6(b)</t>
        </is>
      </c>
      <c r="E47" s="6" t="inlineStr">
        <is>
          <t>{a^n b^j c^k : k = jn} is not context-free</t>
        </is>
      </c>
      <c r="F47" s="6" t="inlineStr">
        <is>
          <t>CFL pumping lemma, DPDA, hierarchy — Lecture 3 PDA, sl. 123–136</t>
        </is>
      </c>
      <c r="G47" s="24" t="inlineStr">
        <is>
          <t>L10</t>
        </is>
      </c>
      <c r="H47" s="24" t="n">
        <v>7</v>
      </c>
      <c r="I47" s="24" t="n">
        <v>23</v>
      </c>
      <c r="J47" s="21" t="inlineStr">
        <is>
          <t>★★ Medium</t>
        </is>
      </c>
      <c r="K47" s="24" t="inlineStr">
        <is>
          <t>Proof</t>
        </is>
      </c>
      <c r="L47" s="22" t="inlineStr">
        <is>
          <t>✔ Solved</t>
        </is>
      </c>
      <c r="M47" s="6" t="inlineStr">
        <is>
          <t>2023-24 7; 2021-22 8; 2016-17 7(c); 2013-14 2(c); 2012-13 2(b); 2008-09 1(ii)</t>
        </is>
      </c>
      <c r="N47" s="23" t="b">
        <v>0</v>
      </c>
      <c r="O47" s="24" t="n"/>
      <c r="P47" s="24" t="n"/>
      <c r="Q47" s="6" t="n"/>
    </row>
    <row r="48">
      <c r="A48" s="24" t="n">
        <v>45</v>
      </c>
      <c r="B48" s="24" t="inlineStr">
        <is>
          <t>2013-14</t>
        </is>
      </c>
      <c r="C48" s="24" t="inlineStr">
        <is>
          <t>CSE 211</t>
        </is>
      </c>
      <c r="D48" s="24" t="inlineStr">
        <is>
          <t>2(c)</t>
        </is>
      </c>
      <c r="E48" s="6" t="inlineStr">
        <is>
          <t>Not CFL: {0^n1^n0^n1^n}, {0^n#0^2n#0^3n}</t>
        </is>
      </c>
      <c r="F48" s="6" t="inlineStr">
        <is>
          <t>CFL pumping lemma, DPDA, hierarchy — Lecture 3 PDA, sl. 123–136</t>
        </is>
      </c>
      <c r="G48" s="24" t="inlineStr">
        <is>
          <t>L10</t>
        </is>
      </c>
      <c r="H48" s="24" t="n">
        <v>9.33</v>
      </c>
      <c r="I48" s="24" t="n">
        <v>19</v>
      </c>
      <c r="J48" s="21" t="inlineStr">
        <is>
          <t>★★ Medium</t>
        </is>
      </c>
      <c r="K48" s="24" t="inlineStr">
        <is>
          <t>Proof</t>
        </is>
      </c>
      <c r="L48" s="22" t="inlineStr">
        <is>
          <t>✔ Solved</t>
        </is>
      </c>
      <c r="M48" s="6" t="inlineStr">
        <is>
          <t>2023-24 7; 2021-22 8; 2016-17 7(c); 2014-15 6(b); 2012-13 2(b); 2008-09 1(ii)</t>
        </is>
      </c>
      <c r="N48" s="23" t="b">
        <v>0</v>
      </c>
      <c r="O48" s="24" t="n"/>
      <c r="P48" s="24" t="n"/>
      <c r="Q48" s="6" t="n"/>
    </row>
    <row r="49">
      <c r="A49" s="24" t="n">
        <v>46</v>
      </c>
      <c r="B49" s="24" t="inlineStr">
        <is>
          <t>2012-13</t>
        </is>
      </c>
      <c r="C49" s="24" t="inlineStr">
        <is>
          <t>CSE 211</t>
        </is>
      </c>
      <c r="D49" s="24" t="inlineStr">
        <is>
          <t>2(b)</t>
        </is>
      </c>
      <c r="E49" s="6" t="inlineStr">
        <is>
          <t>Formal CFL pumping lemma; show {a^n b^n c^n | n ≥ 0} is not CFL</t>
        </is>
      </c>
      <c r="F49" s="6" t="inlineStr">
        <is>
          <t>CFL pumping lemma, DPDA, hierarchy — Lecture 3 PDA, sl. 123–136</t>
        </is>
      </c>
      <c r="G49" s="24" t="inlineStr">
        <is>
          <t>L10</t>
        </is>
      </c>
      <c r="H49" s="24" t="n">
        <v>13.33</v>
      </c>
      <c r="I49" s="24" t="n">
        <v>17</v>
      </c>
      <c r="J49" s="21" t="inlineStr">
        <is>
          <t>★★ Medium</t>
        </is>
      </c>
      <c r="K49" s="24" t="inlineStr">
        <is>
          <t>Proof</t>
        </is>
      </c>
      <c r="L49" s="22" t="inlineStr">
        <is>
          <t>✔ Solved</t>
        </is>
      </c>
      <c r="M49" s="6" t="inlineStr">
        <is>
          <t>2023-24 7; 2021-22 8; 2016-17 7(c); 2014-15 6(b); 2013-14 2(c); 2008-09 1(ii)</t>
        </is>
      </c>
      <c r="N49" s="23" t="b">
        <v>0</v>
      </c>
      <c r="O49" s="24" t="n"/>
      <c r="P49" s="24" t="n"/>
      <c r="Q49" s="6" t="n"/>
    </row>
    <row r="50">
      <c r="A50" s="24" t="n">
        <v>47</v>
      </c>
      <c r="B50" s="24" t="inlineStr">
        <is>
          <t>2009-10</t>
        </is>
      </c>
      <c r="C50" s="24" t="inlineStr">
        <is>
          <t>CSE 211</t>
        </is>
      </c>
      <c r="D50" s="24" t="inlineStr">
        <is>
          <t>11(c)</t>
        </is>
      </c>
      <c r="E50" s="6" t="inlineStr">
        <is>
          <t>Deterministic PDA with an example</t>
        </is>
      </c>
      <c r="F50" s="6" t="inlineStr">
        <is>
          <t>CFL pumping lemma, DPDA, hierarchy — Lecture 3 PDA, sl. 123–136</t>
        </is>
      </c>
      <c r="G50" s="24" t="inlineStr">
        <is>
          <t>L10</t>
        </is>
      </c>
      <c r="H50" s="24" t="n">
        <v>5.33</v>
      </c>
      <c r="I50" s="24" t="n">
        <v>10</v>
      </c>
      <c r="J50" s="22" t="inlineStr">
        <is>
          <t>★ Low</t>
        </is>
      </c>
      <c r="K50" s="24" t="inlineStr">
        <is>
          <t>Theory</t>
        </is>
      </c>
      <c r="L50" s="22" t="inlineStr">
        <is>
          <t>✔ Solved</t>
        </is>
      </c>
      <c r="M50" s="6" t="inlineStr">
        <is>
          <t>—</t>
        </is>
      </c>
      <c r="N50" s="23" t="b">
        <v>0</v>
      </c>
      <c r="O50" s="24" t="n"/>
      <c r="P50" s="24" t="n"/>
      <c r="Q50" s="6" t="n"/>
    </row>
    <row r="51">
      <c r="A51" s="24" t="n">
        <v>48</v>
      </c>
      <c r="B51" s="24" t="inlineStr">
        <is>
          <t>2008-09</t>
        </is>
      </c>
      <c r="C51" s="24" t="inlineStr">
        <is>
          <t>CSE 211</t>
        </is>
      </c>
      <c r="D51" s="24" t="inlineStr">
        <is>
          <t>1(ii)</t>
        </is>
      </c>
      <c r="E51" s="6" t="inlineStr">
        <is>
          <t>PDA for {a^n b^2n c^n | n ≥ 0} or prove impossible</t>
        </is>
      </c>
      <c r="F51" s="6" t="inlineStr">
        <is>
          <t>CFL pumping lemma, DPDA, hierarchy — Lecture 3 PDA, sl. 123–136</t>
        </is>
      </c>
      <c r="G51" s="24" t="inlineStr">
        <is>
          <t>L10</t>
        </is>
      </c>
      <c r="H51" s="24" t="n">
        <v>13.33</v>
      </c>
      <c r="I51" s="24" t="n">
        <v>6</v>
      </c>
      <c r="J51" s="21" t="inlineStr">
        <is>
          <t>★★ Medium</t>
        </is>
      </c>
      <c r="K51" s="24" t="inlineStr">
        <is>
          <t>Proof</t>
        </is>
      </c>
      <c r="L51" s="22" t="inlineStr">
        <is>
          <t>✔ Solved</t>
        </is>
      </c>
      <c r="M51" s="6" t="inlineStr">
        <is>
          <t>2023-24 7; 2021-22 8; 2016-17 7(c); 2014-15 6(b); 2013-14 2(c); 2012-13 2(b)</t>
        </is>
      </c>
      <c r="N51" s="23" t="b">
        <v>0</v>
      </c>
      <c r="O51" s="24" t="n"/>
      <c r="P51" s="24" t="n"/>
      <c r="Q51" s="6" t="n"/>
    </row>
  </sheetData>
  <autoFilter ref="A3:Q51"/>
  <conditionalFormatting sqref="A4:Q51">
    <cfRule type="expression" priority="1" dxfId="0">
      <formula>$N4=TRUE</formula>
    </cfRule>
  </conditionalFormatting>
  <conditionalFormatting sqref="O4:O5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51" showDropDown="0" showInputMessage="0" showErrorMessage="0" allowBlank="1" type="list">
      <formula1>"TRUE,FALSE"</formula1>
    </dataValidation>
    <dataValidation sqref="O4:O5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 4 — Turing Machines: definition and design</t>
        </is>
      </c>
    </row>
    <row r="2">
      <c r="A2" s="2" t="inlineStr">
        <is>
          <t>Note file: CSE211_Atif_TM_Basics_Notes.docx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2013-14</t>
        </is>
      </c>
      <c r="C4" s="19" t="inlineStr">
        <is>
          <t>CSE 211</t>
        </is>
      </c>
      <c r="D4" s="19" t="inlineStr">
        <is>
          <t>3(a)</t>
        </is>
      </c>
      <c r="E4" s="20" t="inlineStr">
        <is>
          <t>Can a TM write blank? Can Γ = Σ? Head in same place two steps? Single state?</t>
        </is>
      </c>
      <c r="F4" s="20" t="inlineStr">
        <is>
          <t>TM definition, IDs, language — Lecture 4 TM1, sl. 1–41, 116–123</t>
        </is>
      </c>
      <c r="G4" s="19" t="inlineStr">
        <is>
          <t>L11</t>
        </is>
      </c>
      <c r="H4" s="19" t="n">
        <v>7</v>
      </c>
      <c r="I4" s="19" t="n">
        <v>19</v>
      </c>
      <c r="J4" s="22" t="inlineStr">
        <is>
          <t>★ Low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2008-09</t>
        </is>
      </c>
      <c r="C5" s="19" t="inlineStr">
        <is>
          <t>CSE 211</t>
        </is>
      </c>
      <c r="D5" s="19" t="inlineStr">
        <is>
          <t>3(a)</t>
        </is>
      </c>
      <c r="E5" s="20" t="inlineStr">
        <is>
          <t>Formal notation of the Turing machine</t>
        </is>
      </c>
      <c r="F5" s="20" t="inlineStr">
        <is>
          <t>TM definition, IDs, language — Lecture 4 TM1, sl. 1–41, 116–123</t>
        </is>
      </c>
      <c r="G5" s="19" t="inlineStr">
        <is>
          <t>L11</t>
        </is>
      </c>
      <c r="H5" s="19" t="n">
        <v>2.33</v>
      </c>
      <c r="I5" s="19" t="n">
        <v>6</v>
      </c>
      <c r="J5" s="22" t="inlineStr">
        <is>
          <t>★ Low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—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2007-08</t>
        </is>
      </c>
      <c r="C6" s="19" t="inlineStr">
        <is>
          <t>CSE 211</t>
        </is>
      </c>
      <c r="D6" s="19" t="inlineStr">
        <is>
          <t>11</t>
        </is>
      </c>
      <c r="E6" s="20" t="inlineStr">
        <is>
          <t>Recursive, RE and non-RE languages; describe L(M) for δ(q0,0)=(q0,B,R), δ(q0,1)=(q1,B,R), δ(q1,1)=(q1,B,R), δ(q1,B)=(qf,B,R)</t>
        </is>
      </c>
      <c r="F6" s="20" t="inlineStr">
        <is>
          <t>TM definition, IDs, language — Lecture 4 TM1, sl. 1–41, 116–123</t>
        </is>
      </c>
      <c r="G6" s="19" t="inlineStr">
        <is>
          <t>L11</t>
        </is>
      </c>
      <c r="H6" s="19" t="n">
        <v>10</v>
      </c>
      <c r="I6" s="19" t="n">
        <v>5</v>
      </c>
      <c r="J6" s="21" t="inlineStr">
        <is>
          <t>★★ Medium</t>
        </is>
      </c>
      <c r="K6" s="19" t="inlineStr">
        <is>
          <t>Trace</t>
        </is>
      </c>
      <c r="L6" s="22" t="inlineStr">
        <is>
          <t>✔ Solved</t>
        </is>
      </c>
      <c r="M6" s="20" t="inlineStr">
        <is>
          <t>2006-07 12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2006-07</t>
        </is>
      </c>
      <c r="C7" s="19" t="inlineStr">
        <is>
          <t>CSE 211</t>
        </is>
      </c>
      <c r="D7" s="19" t="inlineStr">
        <is>
          <t>12</t>
        </is>
      </c>
      <c r="E7" s="20" t="inlineStr">
        <is>
          <t>Language of a TM; recursive language; describe L(M) for δ(q0,0)=(q1,1,R), δ(q0,B)=(qf,B,R), δ(q1,1)=(q0,0,R), δ(q1,B)=(qf,B,R)</t>
        </is>
      </c>
      <c r="F7" s="20" t="inlineStr">
        <is>
          <t>TM definition, IDs, language — Lecture 4 TM1, sl. 1–41, 116–123</t>
        </is>
      </c>
      <c r="G7" s="19" t="inlineStr">
        <is>
          <t>L11</t>
        </is>
      </c>
      <c r="H7" s="19" t="n">
        <v>10</v>
      </c>
      <c r="I7" s="19" t="n">
        <v>3</v>
      </c>
      <c r="J7" s="21" t="inlineStr">
        <is>
          <t>★★ Medium</t>
        </is>
      </c>
      <c r="K7" s="19" t="inlineStr">
        <is>
          <t>Trace</t>
        </is>
      </c>
      <c r="L7" s="22" t="inlineStr">
        <is>
          <t>✔ Solved</t>
        </is>
      </c>
      <c r="M7" s="20" t="inlineStr">
        <is>
          <t>2007-08 11</t>
        </is>
      </c>
      <c r="N7" s="23" t="b">
        <v>0</v>
      </c>
      <c r="O7" s="19" t="n"/>
      <c r="P7" s="19" t="n"/>
      <c r="Q7" s="20" t="n"/>
    </row>
    <row r="8">
      <c r="A8" s="24" t="n">
        <v>5</v>
      </c>
      <c r="B8" s="24" t="inlineStr">
        <is>
          <t>2016-17</t>
        </is>
      </c>
      <c r="C8" s="24" t="inlineStr">
        <is>
          <t>CSE 211</t>
        </is>
      </c>
      <c r="D8" s="24" t="inlineStr">
        <is>
          <t>6(c)</t>
        </is>
      </c>
      <c r="E8" s="6" t="inlineStr">
        <is>
          <t>TM for strings with an equal number of 0s and 1s</t>
        </is>
      </c>
      <c r="F8" s="6" t="inlineStr">
        <is>
          <t>Designing language-deciding TMs — Lecture 4 TM1, sl. 42–70</t>
        </is>
      </c>
      <c r="G8" s="24" t="inlineStr">
        <is>
          <t>L12</t>
        </is>
      </c>
      <c r="H8" s="24" t="n">
        <v>10</v>
      </c>
      <c r="I8" s="24" t="n">
        <v>31</v>
      </c>
      <c r="J8" s="21" t="inlineStr">
        <is>
          <t>★★ Medium</t>
        </is>
      </c>
      <c r="K8" s="24" t="inlineStr">
        <is>
          <t>Design</t>
        </is>
      </c>
      <c r="L8" s="22" t="inlineStr">
        <is>
          <t>✔ Solved</t>
        </is>
      </c>
      <c r="M8" s="6" t="inlineStr">
        <is>
          <t>2015-16 7(a); 2014-15 8(b); 2013-14 2(a); 2012-13 3(b); 2010-11 11(b); 2009-10 12(a)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2015-16</t>
        </is>
      </c>
      <c r="C9" s="24" t="inlineStr">
        <is>
          <t>CSE 211</t>
        </is>
      </c>
      <c r="D9" s="24" t="inlineStr">
        <is>
          <t>7(a)</t>
        </is>
      </c>
      <c r="E9" s="6" t="inlineStr">
        <is>
          <t>TM for {a^n b^n c^n | n ≥ 1}; working principle</t>
        </is>
      </c>
      <c r="F9" s="6" t="inlineStr">
        <is>
          <t>Designing language-deciding TMs — Lecture 4 TM1, sl. 42–70</t>
        </is>
      </c>
      <c r="G9" s="24" t="inlineStr">
        <is>
          <t>L12</t>
        </is>
      </c>
      <c r="H9" s="24" t="n">
        <v>13</v>
      </c>
      <c r="I9" s="24" t="n">
        <v>27</v>
      </c>
      <c r="J9" s="21" t="inlineStr">
        <is>
          <t>★★ Medium</t>
        </is>
      </c>
      <c r="K9" s="24" t="inlineStr">
        <is>
          <t>Design</t>
        </is>
      </c>
      <c r="L9" s="22" t="inlineStr">
        <is>
          <t>✔ Solved</t>
        </is>
      </c>
      <c r="M9" s="6" t="inlineStr">
        <is>
          <t>2016-17 6(c); 2014-15 8(b); 2013-14 2(a); 2012-13 3(b); 2010-11 11(b); 2009-10 12(a)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2014-15</t>
        </is>
      </c>
      <c r="C10" s="24" t="inlineStr">
        <is>
          <t>CSE 211</t>
        </is>
      </c>
      <c r="D10" s="24" t="inlineStr">
        <is>
          <t>8(b)</t>
        </is>
      </c>
      <c r="E10" s="6" t="inlineStr">
        <is>
          <t>State diagram of a TM deciding {w−w | w ∈ {a,b}∗}</t>
        </is>
      </c>
      <c r="F10" s="6" t="inlineStr">
        <is>
          <t>Designing language-deciding TMs — Lecture 4 TM1, sl. 42–70</t>
        </is>
      </c>
      <c r="G10" s="24" t="inlineStr">
        <is>
          <t>L12</t>
        </is>
      </c>
      <c r="H10" s="24" t="n">
        <v>7</v>
      </c>
      <c r="I10" s="24" t="n">
        <v>23</v>
      </c>
      <c r="J10" s="21" t="inlineStr">
        <is>
          <t>★★ Medium</t>
        </is>
      </c>
      <c r="K10" s="24" t="inlineStr">
        <is>
          <t>Design</t>
        </is>
      </c>
      <c r="L10" s="22" t="inlineStr">
        <is>
          <t>✔ Solved</t>
        </is>
      </c>
      <c r="M10" s="6" t="inlineStr">
        <is>
          <t>2016-17 6(c); 2015-16 7(a); 2013-14 2(a); 2012-13 3(b); 2010-11 11(b); 2009-10 12(a)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2013-14</t>
        </is>
      </c>
      <c r="C11" s="24" t="inlineStr">
        <is>
          <t>CSE 211</t>
        </is>
      </c>
      <c r="D11" s="24" t="inlineStr">
        <is>
          <t>2(a)</t>
        </is>
      </c>
      <c r="E11" s="6" t="inlineStr">
        <is>
          <t>TM recognizing {0^N 1^N 0^N | N ≥ 0}</t>
        </is>
      </c>
      <c r="F11" s="6" t="inlineStr">
        <is>
          <t>Designing language-deciding TMs — Lecture 4 TM1, sl. 42–70</t>
        </is>
      </c>
      <c r="G11" s="24" t="inlineStr">
        <is>
          <t>L12</t>
        </is>
      </c>
      <c r="H11" s="24" t="n">
        <v>7</v>
      </c>
      <c r="I11" s="24" t="n">
        <v>19</v>
      </c>
      <c r="J11" s="21" t="inlineStr">
        <is>
          <t>★★ Medium</t>
        </is>
      </c>
      <c r="K11" s="24" t="inlineStr">
        <is>
          <t>Design</t>
        </is>
      </c>
      <c r="L11" s="22" t="inlineStr">
        <is>
          <t>✔ Solved</t>
        </is>
      </c>
      <c r="M11" s="6" t="inlineStr">
        <is>
          <t>2016-17 6(c); 2015-16 7(a); 2014-15 8(b); 2012-13 3(b); 2010-11 11(b); 2009-10 12(a)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2012-13</t>
        </is>
      </c>
      <c r="C12" s="24" t="inlineStr">
        <is>
          <t>CSE 211</t>
        </is>
      </c>
      <c r="D12" s="24" t="inlineStr">
        <is>
          <t>3(b)</t>
        </is>
      </c>
      <c r="E12" s="6" t="inlineStr">
        <is>
          <t>High-level description and state diagram of a TM deciding {w−w−w | w ∈ {a,b}∗}</t>
        </is>
      </c>
      <c r="F12" s="6" t="inlineStr">
        <is>
          <t>Designing language-deciding TMs — Lecture 4 TM1, sl. 42–70</t>
        </is>
      </c>
      <c r="G12" s="24" t="inlineStr">
        <is>
          <t>L12</t>
        </is>
      </c>
      <c r="H12" s="24" t="n">
        <v>7</v>
      </c>
      <c r="I12" s="24" t="n">
        <v>17</v>
      </c>
      <c r="J12" s="21" t="inlineStr">
        <is>
          <t>★★ Medium</t>
        </is>
      </c>
      <c r="K12" s="24" t="inlineStr">
        <is>
          <t>Design</t>
        </is>
      </c>
      <c r="L12" s="22" t="inlineStr">
        <is>
          <t>✔ Solved</t>
        </is>
      </c>
      <c r="M12" s="6" t="inlineStr">
        <is>
          <t>2016-17 6(c); 2015-16 7(a); 2014-15 8(b); 2013-14 2(a); 2010-11 11(b); 2009-10 12(a)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2010-11</t>
        </is>
      </c>
      <c r="C13" s="24" t="inlineStr">
        <is>
          <t>CSE 211</t>
        </is>
      </c>
      <c r="D13" s="24" t="inlineStr">
        <is>
          <t>11(b)</t>
        </is>
      </c>
      <c r="E13" s="6" t="inlineStr">
        <is>
          <t>TM deciding {a^(2^n) b | n ≥ 0}: state diagram and configurations on aaaab</t>
        </is>
      </c>
      <c r="F13" s="6" t="inlineStr">
        <is>
          <t>Designing language-deciding TMs — Lecture 4 TM1, sl. 42–70</t>
        </is>
      </c>
      <c r="G13" s="24" t="inlineStr">
        <is>
          <t>L12</t>
        </is>
      </c>
      <c r="H13" s="24" t="n">
        <v>8.33</v>
      </c>
      <c r="I13" s="24" t="n">
        <v>12</v>
      </c>
      <c r="J13" s="21" t="inlineStr">
        <is>
          <t>★★ Medium</t>
        </is>
      </c>
      <c r="K13" s="24" t="inlineStr">
        <is>
          <t>Trace</t>
        </is>
      </c>
      <c r="L13" s="22" t="inlineStr">
        <is>
          <t>✔ Solved</t>
        </is>
      </c>
      <c r="M13" s="6" t="inlineStr">
        <is>
          <t>2016-17 6(c); 2015-16 7(a); 2014-15 8(b); 2013-14 2(a); 2012-13 3(b); 2009-10 12(a)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2009-10</t>
        </is>
      </c>
      <c r="C14" s="24" t="inlineStr">
        <is>
          <t>CSE 211</t>
        </is>
      </c>
      <c r="D14" s="24" t="inlineStr">
        <is>
          <t>12(a)</t>
        </is>
      </c>
      <c r="E14" s="6" t="inlineStr">
        <is>
          <t>Formal TM definition; TM that scans right until it finds two consecutive a's, then halts (alphabet {a,b,⊔,▷})</t>
        </is>
      </c>
      <c r="F14" s="6" t="inlineStr">
        <is>
          <t>Designing language-deciding TMs — Lecture 4 TM1, sl. 42–70</t>
        </is>
      </c>
      <c r="G14" s="24" t="inlineStr">
        <is>
          <t>L12</t>
        </is>
      </c>
      <c r="H14" s="24" t="n">
        <v>5</v>
      </c>
      <c r="I14" s="24" t="n">
        <v>10</v>
      </c>
      <c r="J14" s="21" t="inlineStr">
        <is>
          <t>★★ Medium</t>
        </is>
      </c>
      <c r="K14" s="24" t="inlineStr">
        <is>
          <t>Design</t>
        </is>
      </c>
      <c r="L14" s="22" t="inlineStr">
        <is>
          <t>✔ Solved</t>
        </is>
      </c>
      <c r="M14" s="6" t="inlineStr">
        <is>
          <t>2016-17 6(c); 2015-16 7(a); 2014-15 8(b); 2013-14 2(a); 2012-13 3(b); 2010-11 11(b)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2009-10</t>
        </is>
      </c>
      <c r="C15" s="24" t="inlineStr">
        <is>
          <t>CSE 211</t>
        </is>
      </c>
      <c r="D15" s="24" t="inlineStr">
        <is>
          <t>12(b)</t>
        </is>
      </c>
      <c r="E15" s="6" t="inlineStr">
        <is>
          <t>TM deciding {a^n c^n b^n d^n : n ≥ 0}</t>
        </is>
      </c>
      <c r="F15" s="6" t="inlineStr">
        <is>
          <t>Designing language-deciding TMs — Lecture 4 TM1, sl. 42–70</t>
        </is>
      </c>
      <c r="G15" s="24" t="inlineStr">
        <is>
          <t>L12</t>
        </is>
      </c>
      <c r="H15" s="24" t="n">
        <v>7</v>
      </c>
      <c r="I15" s="24" t="n">
        <v>10</v>
      </c>
      <c r="J15" s="21" t="inlineStr">
        <is>
          <t>★★ Medium</t>
        </is>
      </c>
      <c r="K15" s="24" t="inlineStr">
        <is>
          <t>Design</t>
        </is>
      </c>
      <c r="L15" s="22" t="inlineStr">
        <is>
          <t>✔ Solved</t>
        </is>
      </c>
      <c r="M15" s="6" t="inlineStr">
        <is>
          <t>2016-17 6(c); 2015-16 7(a); 2014-15 8(b); 2013-14 2(a); 2012-13 3(b); 2010-11 11(b)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2007-08</t>
        </is>
      </c>
      <c r="C16" s="24" t="inlineStr">
        <is>
          <t>CSE 211</t>
        </is>
      </c>
      <c r="D16" s="24" t="inlineStr">
        <is>
          <t>7</t>
        </is>
      </c>
      <c r="E16" s="6" t="inlineStr">
        <is>
          <t>TM deciding {0^n 1^n | n ≥ 1} as a transition table; IDs on input 0011</t>
        </is>
      </c>
      <c r="F16" s="6" t="inlineStr">
        <is>
          <t>Designing language-deciding TMs — Lecture 4 TM1, sl. 42–70</t>
        </is>
      </c>
      <c r="G16" s="24" t="inlineStr">
        <is>
          <t>L12</t>
        </is>
      </c>
      <c r="H16" s="24" t="n">
        <v>10</v>
      </c>
      <c r="I16" s="24" t="n">
        <v>5</v>
      </c>
      <c r="J16" s="21" t="inlineStr">
        <is>
          <t>★★ Medium</t>
        </is>
      </c>
      <c r="K16" s="24" t="inlineStr">
        <is>
          <t>Trace</t>
        </is>
      </c>
      <c r="L16" s="22" t="inlineStr">
        <is>
          <t>✔ Solved</t>
        </is>
      </c>
      <c r="M16" s="6" t="inlineStr">
        <is>
          <t>2016-17 6(c); 2015-16 7(a); 2014-15 8(b); 2013-14 2(a); 2012-13 3(b); 2010-11 11(b)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2006-07</t>
        </is>
      </c>
      <c r="C17" s="24" t="inlineStr">
        <is>
          <t>CSE 211</t>
        </is>
      </c>
      <c r="D17" s="24" t="inlineStr">
        <is>
          <t>10</t>
        </is>
      </c>
      <c r="E17" s="6" t="inlineStr">
        <is>
          <t>TM deciding {0^n 1^n | n ≥ 1}; transition diagram</t>
        </is>
      </c>
      <c r="F17" s="6" t="inlineStr">
        <is>
          <t>Designing language-deciding TMs — Lecture 4 TM1, sl. 42–70</t>
        </is>
      </c>
      <c r="G17" s="24" t="inlineStr">
        <is>
          <t>L12</t>
        </is>
      </c>
      <c r="H17" s="24" t="n">
        <v>10</v>
      </c>
      <c r="I17" s="24" t="n">
        <v>3</v>
      </c>
      <c r="J17" s="21" t="inlineStr">
        <is>
          <t>★★ Medium</t>
        </is>
      </c>
      <c r="K17" s="24" t="inlineStr">
        <is>
          <t>Design</t>
        </is>
      </c>
      <c r="L17" s="22" t="inlineStr">
        <is>
          <t>✔ Solved</t>
        </is>
      </c>
      <c r="M17" s="6" t="inlineStr">
        <is>
          <t>2016-17 6(c); 2015-16 7(a); 2014-15 8(b); 2013-14 2(a); 2012-13 3(b); 2010-11 11(b)</t>
        </is>
      </c>
      <c r="N17" s="23" t="b">
        <v>0</v>
      </c>
      <c r="O17" s="24" t="n"/>
      <c r="P17" s="24" t="n"/>
      <c r="Q17" s="6" t="n"/>
    </row>
    <row r="18">
      <c r="A18" s="19" t="n">
        <v>15</v>
      </c>
      <c r="B18" s="19" t="inlineStr">
        <is>
          <t>2016-17</t>
        </is>
      </c>
      <c r="C18" s="19" t="inlineStr">
        <is>
          <t>CSE 211</t>
        </is>
      </c>
      <c r="D18" s="19" t="inlineStr">
        <is>
          <t>5(b)</t>
        </is>
      </c>
      <c r="E18" s="20" t="inlineStr">
        <is>
          <t>TM adding 1 to a binary number N on tape as #N</t>
        </is>
      </c>
      <c r="F18" s="20" t="inlineStr">
        <is>
          <t>TMs computing functions — Lecture 4 TM1, sl. 71–115</t>
        </is>
      </c>
      <c r="G18" s="19" t="inlineStr">
        <is>
          <t>L13</t>
        </is>
      </c>
      <c r="H18" s="19" t="n">
        <v>20</v>
      </c>
      <c r="I18" s="19" t="n">
        <v>30</v>
      </c>
      <c r="J18" s="21" t="inlineStr">
        <is>
          <t>★★ Medium</t>
        </is>
      </c>
      <c r="K18" s="19" t="inlineStr">
        <is>
          <t>Design</t>
        </is>
      </c>
      <c r="L18" s="22" t="inlineStr">
        <is>
          <t>✔ Solved</t>
        </is>
      </c>
      <c r="M18" s="20" t="inlineStr">
        <is>
          <t>2009-10 12(c); 2007-08 8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2015-16</t>
        </is>
      </c>
      <c r="C19" s="19" t="inlineStr">
        <is>
          <t>CSE 211</t>
        </is>
      </c>
      <c r="D19" s="19" t="inlineStr">
        <is>
          <t>8(a)</t>
        </is>
      </c>
      <c r="E19" s="20" t="inlineStr">
        <is>
          <t>TM computing max(b − a, 0), a and b in unary 1s separated by 0</t>
        </is>
      </c>
      <c r="F19" s="20" t="inlineStr">
        <is>
          <t>TMs computing functions — Lecture 4 TM1, sl. 71–115</t>
        </is>
      </c>
      <c r="G19" s="19" t="inlineStr">
        <is>
          <t>L13</t>
        </is>
      </c>
      <c r="H19" s="19" t="n">
        <v>13</v>
      </c>
      <c r="I19" s="19" t="n">
        <v>27</v>
      </c>
      <c r="J19" s="22" t="inlineStr">
        <is>
          <t>★ Low</t>
        </is>
      </c>
      <c r="K19" s="19" t="inlineStr">
        <is>
          <t>Design</t>
        </is>
      </c>
      <c r="L19" s="22" t="inlineStr">
        <is>
          <t>✔ Solved</t>
        </is>
      </c>
      <c r="M19" s="20" t="inlineStr">
        <is>
          <t>—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2012-13</t>
        </is>
      </c>
      <c r="C20" s="19" t="inlineStr">
        <is>
          <t>CSE 211</t>
        </is>
      </c>
      <c r="D20" s="19" t="inlineStr">
        <is>
          <t>3(c)</t>
        </is>
      </c>
      <c r="E20" s="20" t="inlineStr">
        <is>
          <t>TM on #w: if |w| even write #0^n, else #1^n</t>
        </is>
      </c>
      <c r="F20" s="20" t="inlineStr">
        <is>
          <t>TMs computing functions — Lecture 4 TM1, sl. 71–115</t>
        </is>
      </c>
      <c r="G20" s="19" t="inlineStr">
        <is>
          <t>L13</t>
        </is>
      </c>
      <c r="H20" s="19" t="n">
        <v>8.33</v>
      </c>
      <c r="I20" s="19" t="n">
        <v>17</v>
      </c>
      <c r="J20" s="21" t="inlineStr">
        <is>
          <t>★★ Medium</t>
        </is>
      </c>
      <c r="K20" s="19" t="inlineStr">
        <is>
          <t>Design</t>
        </is>
      </c>
      <c r="L20" s="22" t="inlineStr">
        <is>
          <t>✔ Solved</t>
        </is>
      </c>
      <c r="M20" s="20" t="inlineStr">
        <is>
          <t>2011-12 3(a)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2011-12</t>
        </is>
      </c>
      <c r="C21" s="19" t="inlineStr">
        <is>
          <t>CSE 211</t>
        </is>
      </c>
      <c r="D21" s="19" t="inlineStr">
        <is>
          <t>1(a)</t>
        </is>
      </c>
      <c r="E21" s="20" t="inlineStr">
        <is>
          <t>TM computing x − y (x ≥ y) in unary where N is written as 1^(N+1)</t>
        </is>
      </c>
      <c r="F21" s="20" t="inlineStr">
        <is>
          <t>TMs computing functions — Lecture 4 TM1, sl. 71–115</t>
        </is>
      </c>
      <c r="G21" s="19" t="inlineStr">
        <is>
          <t>L13</t>
        </is>
      </c>
      <c r="H21" s="19" t="n">
        <v>8.33</v>
      </c>
      <c r="I21" s="19" t="n">
        <v>14</v>
      </c>
      <c r="J21" s="22" t="inlineStr">
        <is>
          <t>★ Low</t>
        </is>
      </c>
      <c r="K21" s="19" t="inlineStr">
        <is>
          <t>Design</t>
        </is>
      </c>
      <c r="L21" s="22" t="inlineStr">
        <is>
          <t>✔ Solved</t>
        </is>
      </c>
      <c r="M21" s="20" t="inlineStr">
        <is>
          <t>—</t>
        </is>
      </c>
      <c r="N21" s="23" t="b">
        <v>0</v>
      </c>
      <c r="O21" s="19" t="n"/>
      <c r="P21" s="19" t="n"/>
      <c r="Q21" s="20" t="n"/>
    </row>
    <row r="22">
      <c r="A22" s="19" t="n">
        <v>19</v>
      </c>
      <c r="B22" s="19" t="inlineStr">
        <is>
          <t>2011-12</t>
        </is>
      </c>
      <c r="C22" s="19" t="inlineStr">
        <is>
          <t>CSE 211</t>
        </is>
      </c>
      <c r="D22" s="19" t="inlineStr">
        <is>
          <t>3(a)</t>
        </is>
      </c>
      <c r="E22" s="20" t="inlineStr">
        <is>
          <t>TM on #w: if |w| even write #0^n, else #1^n</t>
        </is>
      </c>
      <c r="F22" s="20" t="inlineStr">
        <is>
          <t>TMs computing functions — Lecture 4 TM1, sl. 71–115</t>
        </is>
      </c>
      <c r="G22" s="19" t="inlineStr">
        <is>
          <t>L13</t>
        </is>
      </c>
      <c r="H22" s="19" t="n">
        <v>8.33</v>
      </c>
      <c r="I22" s="19" t="n">
        <v>14</v>
      </c>
      <c r="J22" s="21" t="inlineStr">
        <is>
          <t>★★ Medium</t>
        </is>
      </c>
      <c r="K22" s="19" t="inlineStr">
        <is>
          <t>Design</t>
        </is>
      </c>
      <c r="L22" s="22" t="inlineStr">
        <is>
          <t>✔ Solved</t>
        </is>
      </c>
      <c r="M22" s="20" t="inlineStr">
        <is>
          <t>2012-13 3(c)</t>
        </is>
      </c>
      <c r="N22" s="23" t="b">
        <v>0</v>
      </c>
      <c r="O22" s="19" t="n"/>
      <c r="P22" s="19" t="n"/>
      <c r="Q22" s="20" t="n"/>
    </row>
  </sheetData>
  <autoFilter ref="A3:Q22"/>
  <conditionalFormatting sqref="A4:Q22">
    <cfRule type="expression" priority="1" dxfId="0">
      <formula>$N4=TRUE</formula>
    </cfRule>
  </conditionalFormatting>
  <conditionalFormatting sqref="O4:O22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2" showDropDown="0" showInputMessage="0" showErrorMessage="0" allowBlank="1" type="list">
      <formula1>"TRUE,FALSE"</formula1>
    </dataValidation>
    <dataValidation sqref="O4:O22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 5 — Programming techniques and bit-manipulation TMs</t>
        </is>
      </c>
    </row>
    <row r="2">
      <c r="A2" s="2" t="inlineStr">
        <is>
          <t>Note file: CSE211_Atif_TM_Techniques_Notes.docx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2011-12</t>
        </is>
      </c>
      <c r="C4" s="19" t="inlineStr">
        <is>
          <t>CSE 211</t>
        </is>
      </c>
      <c r="D4" s="19" t="inlineStr">
        <is>
          <t>1(b)</t>
        </is>
      </c>
      <c r="E4" s="20" t="inlineStr">
        <is>
          <t>Proof idea: every multi-track TM has an equivalent single-track TM</t>
        </is>
      </c>
      <c r="F4" s="20" t="inlineStr">
        <is>
          <t>Storage in the state, tracks, subroutines — Lecture 5 TM2, sl. 1–83, 132–133</t>
        </is>
      </c>
      <c r="G4" s="19" t="inlineStr">
        <is>
          <t>L14</t>
        </is>
      </c>
      <c r="H4" s="19" t="n">
        <v>7</v>
      </c>
      <c r="I4" s="19" t="n">
        <v>14</v>
      </c>
      <c r="J4" s="22" t="inlineStr">
        <is>
          <t>★ Low</t>
        </is>
      </c>
      <c r="K4" s="19" t="inlineStr">
        <is>
          <t>Proof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2023-24</t>
        </is>
      </c>
      <c r="C5" s="24" t="inlineStr">
        <is>
          <t>CSE 211</t>
        </is>
      </c>
      <c r="D5" s="24" t="inlineStr">
        <is>
          <t>9</t>
        </is>
      </c>
      <c r="E5" s="6" t="inlineStr">
        <is>
          <t>TM writing 0 after the second c if w1 = w2, else 1 (tape w1cw2c)</t>
        </is>
      </c>
      <c r="F5" s="6" t="inlineStr">
        <is>
          <t>Bit-manipulation TMs — Lecture 5 TM2, sl. 84–131</t>
        </is>
      </c>
      <c r="G5" s="24" t="inlineStr">
        <is>
          <t>L15</t>
        </is>
      </c>
      <c r="H5" s="24" t="n">
        <v>15</v>
      </c>
      <c r="I5" s="24" t="inlineStr">
        <is>
          <t>22 batch p.3</t>
        </is>
      </c>
      <c r="J5" s="25" t="inlineStr">
        <is>
          <t>★★★ High</t>
        </is>
      </c>
      <c r="K5" s="24" t="inlineStr">
        <is>
          <t>Design</t>
        </is>
      </c>
      <c r="L5" s="22" t="inlineStr">
        <is>
          <t>✔ Solved</t>
        </is>
      </c>
      <c r="M5" s="6" t="inlineStr">
        <is>
          <t>2022-23 10; 2021-22 9; 2020 (Jan term) 9; 2019-20 9; 2017-18 9; 2008-09 3(b)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2022-23</t>
        </is>
      </c>
      <c r="C6" s="24" t="inlineStr">
        <is>
          <t>CSE 211</t>
        </is>
      </c>
      <c r="D6" s="24" t="inlineStr">
        <is>
          <t>10</t>
        </is>
      </c>
      <c r="E6" s="6" t="inlineStr">
        <is>
          <t>TM inserting the NOT of w after the c (tape wc)</t>
        </is>
      </c>
      <c r="F6" s="6" t="inlineStr">
        <is>
          <t>Bit-manipulation TMs — Lecture 5 TM2, sl. 84–131</t>
        </is>
      </c>
      <c r="G6" s="24" t="inlineStr">
        <is>
          <t>L15</t>
        </is>
      </c>
      <c r="H6" s="24" t="n">
        <v>15</v>
      </c>
      <c r="I6" s="24" t="n">
        <v>52</v>
      </c>
      <c r="J6" s="25" t="inlineStr">
        <is>
          <t>★★★ High</t>
        </is>
      </c>
      <c r="K6" s="24" t="inlineStr">
        <is>
          <t>Design</t>
        </is>
      </c>
      <c r="L6" s="22" t="inlineStr">
        <is>
          <t>✔ Solved</t>
        </is>
      </c>
      <c r="M6" s="6" t="inlineStr">
        <is>
          <t>2023-24 9; 2021-22 9; 2020 (Jan term) 9; 2019-20 9; 2017-18 9; 2008-09 3(b)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2021-22</t>
        </is>
      </c>
      <c r="C7" s="24" t="inlineStr">
        <is>
          <t>CSE 211</t>
        </is>
      </c>
      <c r="D7" s="24" t="inlineStr">
        <is>
          <t>9</t>
        </is>
      </c>
      <c r="E7" s="6" t="inlineStr">
        <is>
          <t>TM converting a signed-magnitude binary number to 2's complement (MSB 1)</t>
        </is>
      </c>
      <c r="F7" s="6" t="inlineStr">
        <is>
          <t>Bit-manipulation TMs — Lecture 5 TM2, sl. 84–131</t>
        </is>
      </c>
      <c r="G7" s="24" t="inlineStr">
        <is>
          <t>L15</t>
        </is>
      </c>
      <c r="H7" s="24" t="n">
        <v>15</v>
      </c>
      <c r="I7" s="24" t="n">
        <v>48</v>
      </c>
      <c r="J7" s="25" t="inlineStr">
        <is>
          <t>★★★ High</t>
        </is>
      </c>
      <c r="K7" s="24" t="inlineStr">
        <is>
          <t>Design</t>
        </is>
      </c>
      <c r="L7" s="22" t="inlineStr">
        <is>
          <t>✔ Solved</t>
        </is>
      </c>
      <c r="M7" s="6" t="inlineStr">
        <is>
          <t>2023-24 9; 2022-23 10; 2020 (Jan term) 9; 2019-20 9; 2017-18 9; 2008-09 3(b)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2020 (Jan term)</t>
        </is>
      </c>
      <c r="C8" s="24" t="inlineStr">
        <is>
          <t>CSE 211</t>
        </is>
      </c>
      <c r="D8" s="24" t="inlineStr">
        <is>
          <t>9</t>
        </is>
      </c>
      <c r="E8" s="6" t="inlineStr">
        <is>
          <t>TM computing XOR of w1cw2c (result after the second c)</t>
        </is>
      </c>
      <c r="F8" s="6" t="inlineStr">
        <is>
          <t>Bit-manipulation TMs — Lecture 5 TM2, sl. 84–131</t>
        </is>
      </c>
      <c r="G8" s="24" t="inlineStr">
        <is>
          <t>L15</t>
        </is>
      </c>
      <c r="H8" s="24" t="n">
        <v>15</v>
      </c>
      <c r="I8" s="24" t="n">
        <v>38</v>
      </c>
      <c r="J8" s="25" t="inlineStr">
        <is>
          <t>★★★ High</t>
        </is>
      </c>
      <c r="K8" s="24" t="inlineStr">
        <is>
          <t>Design</t>
        </is>
      </c>
      <c r="L8" s="22" t="inlineStr">
        <is>
          <t>✔ Solved</t>
        </is>
      </c>
      <c r="M8" s="6" t="inlineStr">
        <is>
          <t>2023-24 9; 2022-23 10; 2021-22 9; 2019-20 9; 2017-18 9; 2008-09 3(b)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2019-20</t>
        </is>
      </c>
      <c r="C9" s="24" t="inlineStr">
        <is>
          <t>CSE 211</t>
        </is>
      </c>
      <c r="D9" s="24" t="inlineStr">
        <is>
          <t>9</t>
        </is>
      </c>
      <c r="E9" s="6" t="inlineStr">
        <is>
          <t>TM computing AND of w1cw2c (result after the second c)</t>
        </is>
      </c>
      <c r="F9" s="6" t="inlineStr">
        <is>
          <t>Bit-manipulation TMs — Lecture 5 TM2, sl. 84–131</t>
        </is>
      </c>
      <c r="G9" s="24" t="inlineStr">
        <is>
          <t>L15</t>
        </is>
      </c>
      <c r="H9" s="24" t="n">
        <v>15</v>
      </c>
      <c r="I9" s="24" t="n">
        <v>42</v>
      </c>
      <c r="J9" s="25" t="inlineStr">
        <is>
          <t>★★★ High</t>
        </is>
      </c>
      <c r="K9" s="24" t="inlineStr">
        <is>
          <t>Design</t>
        </is>
      </c>
      <c r="L9" s="22" t="inlineStr">
        <is>
          <t>✔ Solved</t>
        </is>
      </c>
      <c r="M9" s="6" t="inlineStr">
        <is>
          <t>2023-24 9; 2022-23 10; 2021-22 9; 2020 (Jan term) 9; 2017-18 9; 2008-09 3(b)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2017-18</t>
        </is>
      </c>
      <c r="C10" s="24" t="inlineStr">
        <is>
          <t>CSE 211</t>
        </is>
      </c>
      <c r="D10" s="24" t="inlineStr">
        <is>
          <t>9</t>
        </is>
      </c>
      <c r="E10" s="6" t="inlineStr">
        <is>
          <t>TM computing bitwise OR of N1#N2# (result after the second #)</t>
        </is>
      </c>
      <c r="F10" s="6" t="inlineStr">
        <is>
          <t>Bit-manipulation TMs — Lecture 5 TM2, sl. 84–131</t>
        </is>
      </c>
      <c r="G10" s="24" t="inlineStr">
        <is>
          <t>L15</t>
        </is>
      </c>
      <c r="H10" s="24" t="n">
        <v>15</v>
      </c>
      <c r="I10" s="24" t="n">
        <v>34</v>
      </c>
      <c r="J10" s="21" t="inlineStr">
        <is>
          <t>★★ Medium</t>
        </is>
      </c>
      <c r="K10" s="24" t="inlineStr">
        <is>
          <t>Design</t>
        </is>
      </c>
      <c r="L10" s="22" t="inlineStr">
        <is>
          <t>✔ Solved</t>
        </is>
      </c>
      <c r="M10" s="6" t="inlineStr">
        <is>
          <t>2023-24 9; 2022-23 10; 2021-22 9; 2020 (Jan term) 9; 2019-20 9; 2008-09 3(b)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2008-09</t>
        </is>
      </c>
      <c r="C11" s="24" t="inlineStr">
        <is>
          <t>CSE 211</t>
        </is>
      </c>
      <c r="D11" s="24" t="inlineStr">
        <is>
          <t>3(b)</t>
        </is>
      </c>
      <c r="E11" s="6" t="inlineStr">
        <is>
          <t>TM computing bitwise XOR of two equal-length strings (0010#1011 → 1001)</t>
        </is>
      </c>
      <c r="F11" s="6" t="inlineStr">
        <is>
          <t>Bit-manipulation TMs — Lecture 5 TM2, sl. 84–131</t>
        </is>
      </c>
      <c r="G11" s="24" t="inlineStr">
        <is>
          <t>L15</t>
        </is>
      </c>
      <c r="H11" s="24" t="n">
        <v>13</v>
      </c>
      <c r="I11" s="24" t="n">
        <v>6</v>
      </c>
      <c r="J11" s="21" t="inlineStr">
        <is>
          <t>★★ Medium</t>
        </is>
      </c>
      <c r="K11" s="24" t="inlineStr">
        <is>
          <t>Design</t>
        </is>
      </c>
      <c r="L11" s="22" t="inlineStr">
        <is>
          <t>✔ Solved</t>
        </is>
      </c>
      <c r="M11" s="6" t="inlineStr">
        <is>
          <t>2023-24 9; 2022-23 10; 2021-22 9; 2020 (Jan term) 9; 2019-20 9; 2017-18 9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2008-09</t>
        </is>
      </c>
      <c r="C12" s="24" t="inlineStr">
        <is>
          <t>CSE 211</t>
        </is>
      </c>
      <c r="D12" s="24" t="inlineStr">
        <is>
          <t>3(c)</t>
        </is>
      </c>
      <c r="E12" s="6" t="inlineStr">
        <is>
          <t>Simulate the TM of 3(b) on 1011#0010</t>
        </is>
      </c>
      <c r="F12" s="6" t="inlineStr">
        <is>
          <t>Bit-manipulation TMs — Lecture 5 TM2, sl. 84–131</t>
        </is>
      </c>
      <c r="G12" s="24" t="inlineStr">
        <is>
          <t>L15</t>
        </is>
      </c>
      <c r="H12" s="24" t="n">
        <v>8</v>
      </c>
      <c r="I12" s="24" t="n">
        <v>6</v>
      </c>
      <c r="J12" s="21" t="inlineStr">
        <is>
          <t>★★ Medium</t>
        </is>
      </c>
      <c r="K12" s="24" t="inlineStr">
        <is>
          <t>Trace</t>
        </is>
      </c>
      <c r="L12" s="22" t="inlineStr">
        <is>
          <t>✔ Solved</t>
        </is>
      </c>
      <c r="M12" s="6" t="inlineStr">
        <is>
          <t>2023-24 9; 2022-23 10; 2021-22 9; 2020 (Jan term) 9; 2019-20 9; 2017-18 9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2007-08</t>
        </is>
      </c>
      <c r="C13" s="24" t="inlineStr">
        <is>
          <t>CSE 211</t>
        </is>
      </c>
      <c r="D13" s="24" t="inlineStr">
        <is>
          <t>8</t>
        </is>
      </c>
      <c r="E13" s="6" t="inlineStr">
        <is>
          <t>TM adding two equal-length binary numbers separated by ','; only the sum remains</t>
        </is>
      </c>
      <c r="F13" s="6" t="inlineStr">
        <is>
          <t>Bit-manipulation TMs — Lecture 5 TM2, sl. 84–131</t>
        </is>
      </c>
      <c r="G13" s="24" t="inlineStr">
        <is>
          <t>L15</t>
        </is>
      </c>
      <c r="H13" s="24" t="n">
        <v>10</v>
      </c>
      <c r="I13" s="24" t="n">
        <v>5</v>
      </c>
      <c r="J13" s="21" t="inlineStr">
        <is>
          <t>★★ Medium</t>
        </is>
      </c>
      <c r="K13" s="24" t="inlineStr">
        <is>
          <t>Design</t>
        </is>
      </c>
      <c r="L13" s="22" t="inlineStr">
        <is>
          <t>✔ Solved</t>
        </is>
      </c>
      <c r="M13" s="6" t="inlineStr">
        <is>
          <t>2016-17 5(b); 2009-10 12(c)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2006-07</t>
        </is>
      </c>
      <c r="C14" s="24" t="inlineStr">
        <is>
          <t>CSE 211</t>
        </is>
      </c>
      <c r="D14" s="24" t="inlineStr">
        <is>
          <t>11</t>
        </is>
      </c>
      <c r="E14" s="6" t="inlineStr">
        <is>
          <t>TM computing XOR of two equal-length binary numbers separated by ',' — result replaces the second number</t>
        </is>
      </c>
      <c r="F14" s="6" t="inlineStr">
        <is>
          <t>Bit-manipulation TMs — Lecture 5 TM2, sl. 84–131</t>
        </is>
      </c>
      <c r="G14" s="24" t="inlineStr">
        <is>
          <t>L15</t>
        </is>
      </c>
      <c r="H14" s="24" t="n">
        <v>10</v>
      </c>
      <c r="I14" s="24" t="n">
        <v>3</v>
      </c>
      <c r="J14" s="21" t="inlineStr">
        <is>
          <t>★★ Medium</t>
        </is>
      </c>
      <c r="K14" s="24" t="inlineStr">
        <is>
          <t>Design</t>
        </is>
      </c>
      <c r="L14" s="22" t="inlineStr">
        <is>
          <t>✔ Solved</t>
        </is>
      </c>
      <c r="M14" s="6" t="inlineStr">
        <is>
          <t>2023-24 9; 2022-23 10; 2021-22 9; 2020 (Jan term) 9; 2019-20 9; 2017-18 9</t>
        </is>
      </c>
      <c r="N14" s="23" t="b">
        <v>0</v>
      </c>
      <c r="O14" s="24" t="n"/>
      <c r="P14" s="24" t="n"/>
      <c r="Q14" s="6" t="n"/>
    </row>
  </sheetData>
  <autoFilter ref="A3:Q14"/>
  <conditionalFormatting sqref="A4:Q14">
    <cfRule type="expression" priority="1" dxfId="0">
      <formula>$N4=TRUE</formula>
    </cfRule>
  </conditionalFormatting>
  <conditionalFormatting sqref="O4:O1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4" showDropDown="0" showInputMessage="0" showErrorMessage="0" allowBlank="1" type="list">
      <formula1>"TRUE,FALSE"</formula1>
    </dataValidation>
    <dataValidation sqref="O4:O1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 6 — Variants of Turing machines, TMs vs computers</t>
        </is>
      </c>
    </row>
    <row r="2">
      <c r="A2" s="2" t="inlineStr">
        <is>
          <t>Note file: CSE211_Atif_TM_Variants_Notes.docx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CSE 211</t>
        </is>
      </c>
      <c r="D4" s="19" t="inlineStr">
        <is>
          <t>10</t>
        </is>
      </c>
      <c r="E4" s="20" t="inlineStr">
        <is>
          <t>Multi-tape TM; how a one-tape TM with tracks and storage simulates it</t>
        </is>
      </c>
      <c r="F4" s="20" t="inlineStr">
        <is>
          <t>Multitape TMs and simulation — Lecture 6 TM3, sl. 1–22</t>
        </is>
      </c>
      <c r="G4" s="19" t="inlineStr">
        <is>
          <t>L16</t>
        </is>
      </c>
      <c r="H4" s="19" t="n">
        <v>15</v>
      </c>
      <c r="I4" s="19" t="inlineStr">
        <is>
          <t>22 batch p.3</t>
        </is>
      </c>
      <c r="J4" s="25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2019-20 10(b); 2012-13 3(a)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2019-20</t>
        </is>
      </c>
      <c r="C5" s="19" t="inlineStr">
        <is>
          <t>CSE 211</t>
        </is>
      </c>
      <c r="D5" s="19" t="inlineStr">
        <is>
          <t>10(b)</t>
        </is>
      </c>
      <c r="E5" s="20" t="inlineStr">
        <is>
          <t>How a one-tape TM with tracks and storage in the state simulates a multitape TM</t>
        </is>
      </c>
      <c r="F5" s="20" t="inlineStr">
        <is>
          <t>Multitape TMs and simulation — Lecture 6 TM3, sl. 1–22</t>
        </is>
      </c>
      <c r="G5" s="19" t="inlineStr">
        <is>
          <t>L16</t>
        </is>
      </c>
      <c r="H5" s="19" t="n">
        <v>7</v>
      </c>
      <c r="I5" s="19" t="n">
        <v>42</v>
      </c>
      <c r="J5" s="25" t="inlineStr">
        <is>
          <t>★★★ High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2023-24 10; 2012-13 3(a)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2015-16</t>
        </is>
      </c>
      <c r="C6" s="19" t="inlineStr">
        <is>
          <t>CSE 211</t>
        </is>
      </c>
      <c r="D6" s="19" t="inlineStr">
        <is>
          <t>8(b)</t>
        </is>
      </c>
      <c r="E6" s="20" t="inlineStr">
        <is>
          <t>How multiple tracks and multiple tapes extend the TM; difference</t>
        </is>
      </c>
      <c r="F6" s="20" t="inlineStr">
        <is>
          <t>Multitape TMs and simulation — Lecture 6 TM3, sl. 1–22</t>
        </is>
      </c>
      <c r="G6" s="19" t="inlineStr">
        <is>
          <t>L16</t>
        </is>
      </c>
      <c r="H6" s="19" t="n">
        <v>10.33</v>
      </c>
      <c r="I6" s="19" t="n">
        <v>27</v>
      </c>
      <c r="J6" s="22" t="inlineStr">
        <is>
          <t>★ Low</t>
        </is>
      </c>
      <c r="K6" s="19" t="inlineStr">
        <is>
          <t>Theory</t>
        </is>
      </c>
      <c r="L6" s="26" t="inlineStr">
        <is>
          <t>◐ Method</t>
        </is>
      </c>
      <c r="M6" s="20" t="inlineStr">
        <is>
          <t>—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2012-13</t>
        </is>
      </c>
      <c r="C7" s="19" t="inlineStr">
        <is>
          <t>CSE 211</t>
        </is>
      </c>
      <c r="D7" s="19" t="inlineStr">
        <is>
          <t>3(a)</t>
        </is>
      </c>
      <c r="E7" s="20" t="inlineStr">
        <is>
          <t>Every multitape TM has an equivalent single-tape TM</t>
        </is>
      </c>
      <c r="F7" s="20" t="inlineStr">
        <is>
          <t>Multitape TMs and simulation — Lecture 6 TM3, sl. 1–22</t>
        </is>
      </c>
      <c r="G7" s="19" t="inlineStr">
        <is>
          <t>L16</t>
        </is>
      </c>
      <c r="H7" s="19" t="n">
        <v>8</v>
      </c>
      <c r="I7" s="19" t="n">
        <v>17</v>
      </c>
      <c r="J7" s="21" t="inlineStr">
        <is>
          <t>★★ Medium</t>
        </is>
      </c>
      <c r="K7" s="19" t="inlineStr">
        <is>
          <t>Proof</t>
        </is>
      </c>
      <c r="L7" s="22" t="inlineStr">
        <is>
          <t>✔ Solved</t>
        </is>
      </c>
      <c r="M7" s="20" t="inlineStr">
        <is>
          <t>2023-24 10; 2019-20 10(b)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2011-12</t>
        </is>
      </c>
      <c r="C8" s="19" t="inlineStr">
        <is>
          <t>CSE 211</t>
        </is>
      </c>
      <c r="D8" s="19" t="inlineStr">
        <is>
          <t>2(a)</t>
        </is>
      </c>
      <c r="E8" s="20" t="inlineStr">
        <is>
          <t>2-tape TM deciding {wcw^R | w ∈ {a,b}∗} using both tapes</t>
        </is>
      </c>
      <c r="F8" s="20" t="inlineStr">
        <is>
          <t>Multitape TMs and simulation — Lecture 6 TM3, sl. 1–22</t>
        </is>
      </c>
      <c r="G8" s="19" t="inlineStr">
        <is>
          <t>L16</t>
        </is>
      </c>
      <c r="H8" s="19" t="n">
        <v>8.33</v>
      </c>
      <c r="I8" s="19" t="n">
        <v>14</v>
      </c>
      <c r="J8" s="22" t="inlineStr">
        <is>
          <t>★ Low</t>
        </is>
      </c>
      <c r="K8" s="19" t="inlineStr">
        <is>
          <t>Design</t>
        </is>
      </c>
      <c r="L8" s="26" t="inlineStr">
        <is>
          <t>◐ Method</t>
        </is>
      </c>
      <c r="M8" s="20" t="inlineStr">
        <is>
          <t>—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2010-11</t>
        </is>
      </c>
      <c r="C9" s="19" t="inlineStr">
        <is>
          <t>CSE 211</t>
        </is>
      </c>
      <c r="D9" s="19" t="inlineStr">
        <is>
          <t>11(a)</t>
        </is>
      </c>
      <c r="E9" s="20" t="inlineStr">
        <is>
          <t>Single-tape TMs simulating: multitape TM, single-tape NTM, TM with 2-D tape</t>
        </is>
      </c>
      <c r="F9" s="20" t="inlineStr">
        <is>
          <t>Multitape TMs and simulation — Lecture 6 TM3, sl. 1–22</t>
        </is>
      </c>
      <c r="G9" s="19" t="inlineStr">
        <is>
          <t>L16</t>
        </is>
      </c>
      <c r="H9" s="19" t="n">
        <v>15</v>
      </c>
      <c r="I9" s="19" t="n">
        <v>12</v>
      </c>
      <c r="J9" s="21" t="inlineStr">
        <is>
          <t>★★ Medium</t>
        </is>
      </c>
      <c r="K9" s="19" t="inlineStr">
        <is>
          <t>Theory</t>
        </is>
      </c>
      <c r="L9" s="26" t="inlineStr">
        <is>
          <t>◐ Method</t>
        </is>
      </c>
      <c r="M9" s="20" t="inlineStr">
        <is>
          <t>2007-08 9; 2006-07 13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2009-10</t>
        </is>
      </c>
      <c r="C10" s="19" t="inlineStr">
        <is>
          <t>CSE 211</t>
        </is>
      </c>
      <c r="D10" s="19" t="inlineStr">
        <is>
          <t>12(c)</t>
        </is>
      </c>
      <c r="E10" s="20" t="inlineStr">
        <is>
          <t>Three-tape TM subtracting two binary integers separated by ';' (first ≥ second)</t>
        </is>
      </c>
      <c r="F10" s="20" t="inlineStr">
        <is>
          <t>Multitape TMs and simulation — Lecture 6 TM3, sl. 1–22</t>
        </is>
      </c>
      <c r="G10" s="19" t="inlineStr">
        <is>
          <t>L16</t>
        </is>
      </c>
      <c r="H10" s="19" t="n">
        <v>11.33</v>
      </c>
      <c r="I10" s="19" t="n">
        <v>10</v>
      </c>
      <c r="J10" s="21" t="inlineStr">
        <is>
          <t>★★ Medium</t>
        </is>
      </c>
      <c r="K10" s="19" t="inlineStr">
        <is>
          <t>Design</t>
        </is>
      </c>
      <c r="L10" s="27" t="inlineStr">
        <is>
          <t>○ Partly</t>
        </is>
      </c>
      <c r="M10" s="20" t="inlineStr">
        <is>
          <t>2016-17 5(b); 2007-08 8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2006-07</t>
        </is>
      </c>
      <c r="C11" s="19" t="inlineStr">
        <is>
          <t>CSE 211</t>
        </is>
      </c>
      <c r="D11" s="19" t="inlineStr">
        <is>
          <t>13</t>
        </is>
      </c>
      <c r="E11" s="20" t="inlineStr">
        <is>
          <t>Multitape and nondeterministic TMs: do they accept languages a basic TM cannot?</t>
        </is>
      </c>
      <c r="F11" s="20" t="inlineStr">
        <is>
          <t>Multitape TMs and simulation — Lecture 6 TM3, sl. 1–22</t>
        </is>
      </c>
      <c r="G11" s="19" t="inlineStr">
        <is>
          <t>L16</t>
        </is>
      </c>
      <c r="H11" s="19" t="n">
        <v>10</v>
      </c>
      <c r="I11" s="19" t="n">
        <v>3</v>
      </c>
      <c r="J11" s="21" t="inlineStr">
        <is>
          <t>★★ Medium</t>
        </is>
      </c>
      <c r="K11" s="19" t="inlineStr">
        <is>
          <t>Theory</t>
        </is>
      </c>
      <c r="L11" s="26" t="inlineStr">
        <is>
          <t>◐ Method</t>
        </is>
      </c>
      <c r="M11" s="20" t="inlineStr">
        <is>
          <t>2010-11 11(a); 2007-08 9</t>
        </is>
      </c>
      <c r="N11" s="23" t="b">
        <v>0</v>
      </c>
      <c r="O11" s="19" t="n"/>
      <c r="P11" s="19" t="n"/>
      <c r="Q11" s="20" t="n"/>
    </row>
    <row r="12">
      <c r="A12" s="24" t="n">
        <v>9</v>
      </c>
      <c r="B12" s="24" t="inlineStr">
        <is>
          <t>2014-15</t>
        </is>
      </c>
      <c r="C12" s="24" t="inlineStr">
        <is>
          <t>CSE 211</t>
        </is>
      </c>
      <c r="D12" s="24" t="inlineStr">
        <is>
          <t>7(c)</t>
        </is>
      </c>
      <c r="E12" s="6" t="inlineStr">
        <is>
          <t>A nondeterministic TM is equivalent to a deterministic TM</t>
        </is>
      </c>
      <c r="F12" s="6" t="inlineStr">
        <is>
          <t>NTMs and restricted TMs — Lecture 6 TM3, sl. 23–39</t>
        </is>
      </c>
      <c r="G12" s="24" t="inlineStr">
        <is>
          <t>L17</t>
        </is>
      </c>
      <c r="H12" s="24" t="n">
        <v>9.33</v>
      </c>
      <c r="I12" s="24" t="n">
        <v>23</v>
      </c>
      <c r="J12" s="21" t="inlineStr">
        <is>
          <t>★★ Medium</t>
        </is>
      </c>
      <c r="K12" s="24" t="inlineStr">
        <is>
          <t>Proof</t>
        </is>
      </c>
      <c r="L12" s="22" t="inlineStr">
        <is>
          <t>✔ Solved</t>
        </is>
      </c>
      <c r="M12" s="6" t="inlineStr">
        <is>
          <t>2013-14 3(c); 2012-13 4(b)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2013-14</t>
        </is>
      </c>
      <c r="C13" s="24" t="inlineStr">
        <is>
          <t>CSE 211</t>
        </is>
      </c>
      <c r="D13" s="24" t="inlineStr">
        <is>
          <t>2(b)</t>
        </is>
      </c>
      <c r="E13" s="6" t="inlineStr">
        <is>
          <t>How can a TM recognize the left end of its tape?</t>
        </is>
      </c>
      <c r="F13" s="6" t="inlineStr">
        <is>
          <t>NTMs and restricted TMs — Lecture 6 TM3, sl. 23–39</t>
        </is>
      </c>
      <c r="G13" s="24" t="inlineStr">
        <is>
          <t>L17</t>
        </is>
      </c>
      <c r="H13" s="24" t="n">
        <v>7</v>
      </c>
      <c r="I13" s="24" t="n">
        <v>19</v>
      </c>
      <c r="J13" s="21" t="inlineStr">
        <is>
          <t>★★ Medium</t>
        </is>
      </c>
      <c r="K13" s="24" t="inlineStr">
        <is>
          <t>Theory</t>
        </is>
      </c>
      <c r="L13" s="22" t="inlineStr">
        <is>
          <t>✔ Solved</t>
        </is>
      </c>
      <c r="M13" s="6" t="inlineStr">
        <is>
          <t>2011-12 2(b)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2013-14</t>
        </is>
      </c>
      <c r="C14" s="24" t="inlineStr">
        <is>
          <t>CSE 211</t>
        </is>
      </c>
      <c r="D14" s="24" t="inlineStr">
        <is>
          <t>3(c)</t>
        </is>
      </c>
      <c r="E14" s="6" t="inlineStr">
        <is>
          <t>Every NTM has an equivalent deterministic TM</t>
        </is>
      </c>
      <c r="F14" s="6" t="inlineStr">
        <is>
          <t>NTMs and restricted TMs — Lecture 6 TM3, sl. 23–39</t>
        </is>
      </c>
      <c r="G14" s="24" t="inlineStr">
        <is>
          <t>L17</t>
        </is>
      </c>
      <c r="H14" s="24" t="n">
        <v>9.33</v>
      </c>
      <c r="I14" s="24" t="n">
        <v>19</v>
      </c>
      <c r="J14" s="21" t="inlineStr">
        <is>
          <t>★★ Medium</t>
        </is>
      </c>
      <c r="K14" s="24" t="inlineStr">
        <is>
          <t>Proof</t>
        </is>
      </c>
      <c r="L14" s="22" t="inlineStr">
        <is>
          <t>✔ Solved</t>
        </is>
      </c>
      <c r="M14" s="6" t="inlineStr">
        <is>
          <t>2014-15 7(c); 2012-13 4(b)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2012-13</t>
        </is>
      </c>
      <c r="C15" s="24" t="inlineStr">
        <is>
          <t>CSE 211</t>
        </is>
      </c>
      <c r="D15" s="24" t="inlineStr">
        <is>
          <t>4(b)</t>
        </is>
      </c>
      <c r="E15" s="6" t="inlineStr">
        <is>
          <t>Every NTM has an equivalent deterministic TM</t>
        </is>
      </c>
      <c r="F15" s="6" t="inlineStr">
        <is>
          <t>NTMs and restricted TMs — Lecture 6 TM3, sl. 23–39</t>
        </is>
      </c>
      <c r="G15" s="24" t="inlineStr">
        <is>
          <t>L17</t>
        </is>
      </c>
      <c r="H15" s="24" t="n">
        <v>7</v>
      </c>
      <c r="I15" s="24" t="n">
        <v>18</v>
      </c>
      <c r="J15" s="21" t="inlineStr">
        <is>
          <t>★★ Medium</t>
        </is>
      </c>
      <c r="K15" s="24" t="inlineStr">
        <is>
          <t>Proof</t>
        </is>
      </c>
      <c r="L15" s="22" t="inlineStr">
        <is>
          <t>✔ Solved</t>
        </is>
      </c>
      <c r="M15" s="6" t="inlineStr">
        <is>
          <t>2014-15 7(c); 2013-14 3(c)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2011-12</t>
        </is>
      </c>
      <c r="C16" s="24" t="inlineStr">
        <is>
          <t>CSE 211</t>
        </is>
      </c>
      <c r="D16" s="24" t="inlineStr">
        <is>
          <t>2(b)</t>
        </is>
      </c>
      <c r="E16" s="6" t="inlineStr">
        <is>
          <t>A language is recognized by a two-way-infinite-tape TM iff by a one-way-infinite-tape TM</t>
        </is>
      </c>
      <c r="F16" s="6" t="inlineStr">
        <is>
          <t>NTMs and restricted TMs — Lecture 6 TM3, sl. 23–39</t>
        </is>
      </c>
      <c r="G16" s="24" t="inlineStr">
        <is>
          <t>L17</t>
        </is>
      </c>
      <c r="H16" s="24" t="n">
        <v>8</v>
      </c>
      <c r="I16" s="24" t="n">
        <v>14</v>
      </c>
      <c r="J16" s="21" t="inlineStr">
        <is>
          <t>★★ Medium</t>
        </is>
      </c>
      <c r="K16" s="24" t="inlineStr">
        <is>
          <t>Proof</t>
        </is>
      </c>
      <c r="L16" s="22" t="inlineStr">
        <is>
          <t>✔ Solved</t>
        </is>
      </c>
      <c r="M16" s="6" t="inlineStr">
        <is>
          <t>2013-14 2(b)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2007-08</t>
        </is>
      </c>
      <c r="C17" s="24" t="inlineStr">
        <is>
          <t>CSE 211</t>
        </is>
      </c>
      <c r="D17" s="24" t="inlineStr">
        <is>
          <t>9</t>
        </is>
      </c>
      <c r="E17" s="6" t="inlineStr">
        <is>
          <t>Short notes: multitape TM, multistack machine</t>
        </is>
      </c>
      <c r="F17" s="6" t="inlineStr">
        <is>
          <t>NTMs and restricted TMs — Lecture 6 TM3, sl. 23–39</t>
        </is>
      </c>
      <c r="G17" s="24" t="inlineStr">
        <is>
          <t>L17</t>
        </is>
      </c>
      <c r="H17" s="24" t="n">
        <v>10</v>
      </c>
      <c r="I17" s="24" t="n">
        <v>5</v>
      </c>
      <c r="J17" s="21" t="inlineStr">
        <is>
          <t>★★ Medium</t>
        </is>
      </c>
      <c r="K17" s="24" t="inlineStr">
        <is>
          <t>Theory</t>
        </is>
      </c>
      <c r="L17" s="26" t="inlineStr">
        <is>
          <t>◐ Method</t>
        </is>
      </c>
      <c r="M17" s="6" t="inlineStr">
        <is>
          <t>2010-11 11(a); 2006-07 13</t>
        </is>
      </c>
      <c r="N17" s="23" t="b">
        <v>0</v>
      </c>
      <c r="O17" s="24" t="n"/>
      <c r="P17" s="24" t="n"/>
      <c r="Q17" s="6" t="n"/>
    </row>
    <row r="18">
      <c r="A18" s="19" t="n">
        <v>15</v>
      </c>
      <c r="B18" s="19" t="inlineStr">
        <is>
          <t>2022-23</t>
        </is>
      </c>
      <c r="C18" s="19" t="inlineStr">
        <is>
          <t>CSE 211</t>
        </is>
      </c>
      <c r="D18" s="19" t="inlineStr">
        <is>
          <t>11</t>
        </is>
      </c>
      <c r="E18" s="20" t="inlineStr">
        <is>
          <t>T/F: DTM simulates n computer moves in p(n); a computer simulates n NTM moves in p(n)</t>
        </is>
      </c>
      <c r="F18" s="20" t="inlineStr">
        <is>
          <t>TMs and computers — Lecture 6 TM3, sl. 40–68</t>
        </is>
      </c>
      <c r="G18" s="19" t="inlineStr">
        <is>
          <t>L18</t>
        </is>
      </c>
      <c r="H18" s="19" t="n">
        <v>15</v>
      </c>
      <c r="I18" s="19" t="n">
        <v>52</v>
      </c>
      <c r="J18" s="25" t="inlineStr">
        <is>
          <t>★★★ High</t>
        </is>
      </c>
      <c r="K18" s="19" t="inlineStr">
        <is>
          <t>Theory</t>
        </is>
      </c>
      <c r="L18" s="22" t="inlineStr">
        <is>
          <t>✔ Solved</t>
        </is>
      </c>
      <c r="M18" s="20" t="inlineStr">
        <is>
          <t>2021-22 10; 2020 (Jan term) 10; 2017-18 10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2021-22</t>
        </is>
      </c>
      <c r="C19" s="19" t="inlineStr">
        <is>
          <t>CSE 211</t>
        </is>
      </c>
      <c r="D19" s="19" t="inlineStr">
        <is>
          <t>10</t>
        </is>
      </c>
      <c r="E19" s="20" t="inlineStr">
        <is>
          <t>T/F: multi-track 1-tape TM simulates multitape; a computer simulates n NTM moves in p(n)</t>
        </is>
      </c>
      <c r="F19" s="20" t="inlineStr">
        <is>
          <t>TMs and computers — Lecture 6 TM3, sl. 40–68</t>
        </is>
      </c>
      <c r="G19" s="19" t="inlineStr">
        <is>
          <t>L18</t>
        </is>
      </c>
      <c r="H19" s="19" t="n">
        <v>15</v>
      </c>
      <c r="I19" s="19" t="n">
        <v>48</v>
      </c>
      <c r="J19" s="25" t="inlineStr">
        <is>
          <t>★★★ High</t>
        </is>
      </c>
      <c r="K19" s="19" t="inlineStr">
        <is>
          <t>Theory</t>
        </is>
      </c>
      <c r="L19" s="22" t="inlineStr">
        <is>
          <t>✔ Solved</t>
        </is>
      </c>
      <c r="M19" s="20" t="inlineStr">
        <is>
          <t>2022-23 11; 2020 (Jan term) 10; 2017-18 10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2020 (Jan term)</t>
        </is>
      </c>
      <c r="C20" s="19" t="inlineStr">
        <is>
          <t>CSE 211</t>
        </is>
      </c>
      <c r="D20" s="19" t="inlineStr">
        <is>
          <t>10</t>
        </is>
      </c>
      <c r="E20" s="20" t="inlineStr">
        <is>
          <t>T/F: multi-track + storage simulates multitape; DTM simulates n computer steps in p(n)</t>
        </is>
      </c>
      <c r="F20" s="20" t="inlineStr">
        <is>
          <t>TMs and computers — Lecture 6 TM3, sl. 40–68</t>
        </is>
      </c>
      <c r="G20" s="19" t="inlineStr">
        <is>
          <t>L18</t>
        </is>
      </c>
      <c r="H20" s="19" t="n">
        <v>15</v>
      </c>
      <c r="I20" s="19" t="n">
        <v>38</v>
      </c>
      <c r="J20" s="25" t="inlineStr">
        <is>
          <t>★★★ High</t>
        </is>
      </c>
      <c r="K20" s="19" t="inlineStr">
        <is>
          <t>Theory</t>
        </is>
      </c>
      <c r="L20" s="22" t="inlineStr">
        <is>
          <t>✔ Solved</t>
        </is>
      </c>
      <c r="M20" s="20" t="inlineStr">
        <is>
          <t>2022-23 11; 2021-22 10; 2017-18 10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2017-18</t>
        </is>
      </c>
      <c r="C21" s="19" t="inlineStr">
        <is>
          <t>CSE 211</t>
        </is>
      </c>
      <c r="D21" s="19" t="inlineStr">
        <is>
          <t>10</t>
        </is>
      </c>
      <c r="E21" s="20" t="inlineStr">
        <is>
          <t>T/F: multi-track 1-tape TM simulates multitape; DTM simulates NTM in poly moves; DTM simulates computer in poly moves</t>
        </is>
      </c>
      <c r="F21" s="20" t="inlineStr">
        <is>
          <t>TMs and computers — Lecture 6 TM3, sl. 40–68</t>
        </is>
      </c>
      <c r="G21" s="19" t="inlineStr">
        <is>
          <t>L18</t>
        </is>
      </c>
      <c r="H21" s="19" t="n">
        <v>15</v>
      </c>
      <c r="I21" s="19" t="inlineStr">
        <is>
          <t>34–35</t>
        </is>
      </c>
      <c r="J21" s="21" t="inlineStr">
        <is>
          <t>★★ Medium</t>
        </is>
      </c>
      <c r="K21" s="19" t="inlineStr">
        <is>
          <t>Theory</t>
        </is>
      </c>
      <c r="L21" s="22" t="inlineStr">
        <is>
          <t>✔ Solved</t>
        </is>
      </c>
      <c r="M21" s="20" t="inlineStr">
        <is>
          <t>2022-23 11; 2021-22 10; 2020 (Jan term) 10</t>
        </is>
      </c>
      <c r="N21" s="23" t="b">
        <v>0</v>
      </c>
      <c r="O21" s="19" t="n"/>
      <c r="P21" s="19" t="n"/>
      <c r="Q21" s="20" t="n"/>
    </row>
    <row r="22">
      <c r="A22" s="19" t="n">
        <v>19</v>
      </c>
      <c r="B22" s="19" t="inlineStr">
        <is>
          <t>2007-08</t>
        </is>
      </c>
      <c r="C22" s="19" t="inlineStr">
        <is>
          <t>CSE 211</t>
        </is>
      </c>
      <c r="D22" s="19" t="inlineStr">
        <is>
          <t>10</t>
        </is>
      </c>
      <c r="E22" s="20" t="inlineStr">
        <is>
          <t>How a Turing machine can simulate a computer</t>
        </is>
      </c>
      <c r="F22" s="20" t="inlineStr">
        <is>
          <t>TMs and computers — Lecture 6 TM3, sl. 40–68</t>
        </is>
      </c>
      <c r="G22" s="19" t="inlineStr">
        <is>
          <t>L18</t>
        </is>
      </c>
      <c r="H22" s="19" t="n">
        <v>10</v>
      </c>
      <c r="I22" s="19" t="n">
        <v>5</v>
      </c>
      <c r="J22" s="22" t="inlineStr">
        <is>
          <t>★ Low</t>
        </is>
      </c>
      <c r="K22" s="19" t="inlineStr">
        <is>
          <t>Theory</t>
        </is>
      </c>
      <c r="L22" s="26" t="inlineStr">
        <is>
          <t>◐ Method</t>
        </is>
      </c>
      <c r="M22" s="20" t="inlineStr">
        <is>
          <t>—</t>
        </is>
      </c>
      <c r="N22" s="23" t="b">
        <v>0</v>
      </c>
      <c r="O22" s="19" t="n"/>
      <c r="P22" s="19" t="n"/>
      <c r="Q22" s="20" t="n"/>
    </row>
  </sheetData>
  <autoFilter ref="A3:Q22"/>
  <conditionalFormatting sqref="A4:Q22">
    <cfRule type="expression" priority="1" dxfId="0">
      <formula>$N4=TRUE</formula>
    </cfRule>
  </conditionalFormatting>
  <conditionalFormatting sqref="O4:O22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2" showDropDown="0" showInputMessage="0" showErrorMessage="0" allowBlank="1" type="list">
      <formula1>"TRUE,FALSE"</formula1>
    </dataValidation>
    <dataValidation sqref="O4:O22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2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 7 — Decidability and undecidability</t>
        </is>
      </c>
    </row>
    <row r="2">
      <c r="A2" s="2" t="inlineStr">
        <is>
          <t>Note file: CSE211_Atif_Undecidability_Notes.docx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2016-17</t>
        </is>
      </c>
      <c r="C4" s="19" t="inlineStr">
        <is>
          <t>CSE 211</t>
        </is>
      </c>
      <c r="D4" s="19" t="inlineStr">
        <is>
          <t>7(a)</t>
        </is>
      </c>
      <c r="E4" s="20" t="inlineStr">
        <is>
          <t>Is {&lt;G&gt; | G connected undirected graph} decidable? Design + example</t>
        </is>
      </c>
      <c r="F4" s="20" t="inlineStr">
        <is>
          <t>Recursive, RE, decidable languages — Lecture 7 Undecidability, sl. 2–13</t>
        </is>
      </c>
      <c r="G4" s="19" t="inlineStr">
        <is>
          <t>L19</t>
        </is>
      </c>
      <c r="H4" s="19" t="n">
        <v>15</v>
      </c>
      <c r="I4" s="19" t="n">
        <v>31</v>
      </c>
      <c r="J4" s="21" t="inlineStr">
        <is>
          <t>★★ Medium</t>
        </is>
      </c>
      <c r="K4" s="19" t="inlineStr">
        <is>
          <t>Proof</t>
        </is>
      </c>
      <c r="L4" s="22" t="inlineStr">
        <is>
          <t>✔ Solved</t>
        </is>
      </c>
      <c r="M4" s="20" t="inlineStr">
        <is>
          <t>2013-14 3(b)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2014-15</t>
        </is>
      </c>
      <c r="C5" s="19" t="inlineStr">
        <is>
          <t>CSE 211</t>
        </is>
      </c>
      <c r="D5" s="19" t="inlineStr">
        <is>
          <t>8(a)</t>
        </is>
      </c>
      <c r="E5" s="20" t="inlineStr">
        <is>
          <t>Decidable, Turing-recognizable and undecidable languages</t>
        </is>
      </c>
      <c r="F5" s="20" t="inlineStr">
        <is>
          <t>Recursive, RE, decidable languages — Lecture 7 Undecidability, sl. 2–13</t>
        </is>
      </c>
      <c r="G5" s="19" t="inlineStr">
        <is>
          <t>L19</t>
        </is>
      </c>
      <c r="H5" s="19" t="n">
        <v>7</v>
      </c>
      <c r="I5" s="19" t="n">
        <v>23</v>
      </c>
      <c r="J5" s="21" t="inlineStr">
        <is>
          <t>★★ Medium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2010-11 12(a)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2013-14</t>
        </is>
      </c>
      <c r="C6" s="19" t="inlineStr">
        <is>
          <t>CSE 211</t>
        </is>
      </c>
      <c r="D6" s="19" t="inlineStr">
        <is>
          <t>3(b)</t>
        </is>
      </c>
      <c r="E6" s="20" t="inlineStr">
        <is>
          <t>A = {s}, s = 0/1 depending on life on Mars: is A decidable?</t>
        </is>
      </c>
      <c r="F6" s="20" t="inlineStr">
        <is>
          <t>Recursive, RE, decidable languages — Lecture 7 Undecidability, sl. 2–13</t>
        </is>
      </c>
      <c r="G6" s="19" t="inlineStr">
        <is>
          <t>L19</t>
        </is>
      </c>
      <c r="H6" s="19" t="n">
        <v>7</v>
      </c>
      <c r="I6" s="19" t="n">
        <v>19</v>
      </c>
      <c r="J6" s="21" t="inlineStr">
        <is>
          <t>★★ Medium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2016-17 7(a)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2013-14</t>
        </is>
      </c>
      <c r="C7" s="19" t="inlineStr">
        <is>
          <t>CSE 211</t>
        </is>
      </c>
      <c r="D7" s="19" t="inlineStr">
        <is>
          <t>4(a)</t>
        </is>
      </c>
      <c r="E7" s="20" t="inlineStr">
        <is>
          <t>Prove A_DFA = {&lt;B,w&gt; | B is a DFA accepting w} is decidable</t>
        </is>
      </c>
      <c r="F7" s="20" t="inlineStr">
        <is>
          <t>Recursive, RE, decidable languages — Lecture 7 Undecidability, sl. 2–13</t>
        </is>
      </c>
      <c r="G7" s="19" t="inlineStr">
        <is>
          <t>L19</t>
        </is>
      </c>
      <c r="H7" s="19" t="n">
        <v>7</v>
      </c>
      <c r="I7" s="19" t="n">
        <v>20</v>
      </c>
      <c r="J7" s="21" t="inlineStr">
        <is>
          <t>★★ Medium</t>
        </is>
      </c>
      <c r="K7" s="19" t="inlineStr">
        <is>
          <t>Proof</t>
        </is>
      </c>
      <c r="L7" s="22" t="inlineStr">
        <is>
          <t>✔ Solved</t>
        </is>
      </c>
      <c r="M7" s="20" t="inlineStr">
        <is>
          <t>2011-12 4(c)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2011-12</t>
        </is>
      </c>
      <c r="C8" s="19" t="inlineStr">
        <is>
          <t>CSE 211</t>
        </is>
      </c>
      <c r="D8" s="19" t="inlineStr">
        <is>
          <t>4(c)</t>
        </is>
      </c>
      <c r="E8" s="20" t="inlineStr">
        <is>
          <t>Show {&lt;A,B,C&gt; | A,B,C DFAs and L(C) = L(A) ∪ L(B)} is decidable</t>
        </is>
      </c>
      <c r="F8" s="20" t="inlineStr">
        <is>
          <t>Recursive, RE, decidable languages — Lecture 7 Undecidability, sl. 2–13</t>
        </is>
      </c>
      <c r="G8" s="19" t="inlineStr">
        <is>
          <t>L19</t>
        </is>
      </c>
      <c r="H8" s="19" t="n">
        <v>8.33</v>
      </c>
      <c r="I8" s="19" t="n">
        <v>15</v>
      </c>
      <c r="J8" s="21" t="inlineStr">
        <is>
          <t>★★ Medium</t>
        </is>
      </c>
      <c r="K8" s="19" t="inlineStr">
        <is>
          <t>Proof</t>
        </is>
      </c>
      <c r="L8" s="22" t="inlineStr">
        <is>
          <t>✔ Solved</t>
        </is>
      </c>
      <c r="M8" s="20" t="inlineStr">
        <is>
          <t>2013-14 4(a)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2010-11</t>
        </is>
      </c>
      <c r="C9" s="19" t="inlineStr">
        <is>
          <t>CSE 211</t>
        </is>
      </c>
      <c r="D9" s="19" t="inlineStr">
        <is>
          <t>12(a)</t>
        </is>
      </c>
      <c r="E9" s="20" t="inlineStr">
        <is>
          <t>Turing-decidable vs Turing-recognizable; the three conditions for M to recognize w</t>
        </is>
      </c>
      <c r="F9" s="20" t="inlineStr">
        <is>
          <t>Recursive, RE, decidable languages — Lecture 7 Undecidability, sl. 2–13</t>
        </is>
      </c>
      <c r="G9" s="19" t="inlineStr">
        <is>
          <t>L19</t>
        </is>
      </c>
      <c r="H9" s="19" t="n">
        <v>4</v>
      </c>
      <c r="I9" s="19" t="n">
        <v>13</v>
      </c>
      <c r="J9" s="21" t="inlineStr">
        <is>
          <t>★★ Medium</t>
        </is>
      </c>
      <c r="K9" s="19" t="inlineStr">
        <is>
          <t>Theory</t>
        </is>
      </c>
      <c r="L9" s="22" t="inlineStr">
        <is>
          <t>✔ Solved</t>
        </is>
      </c>
      <c r="M9" s="20" t="inlineStr">
        <is>
          <t>2014-15 8(a)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2009-10</t>
        </is>
      </c>
      <c r="C10" s="19" t="inlineStr">
        <is>
          <t>CSE 211</t>
        </is>
      </c>
      <c r="D10" s="19" t="inlineStr">
        <is>
          <t>13(a)</t>
        </is>
      </c>
      <c r="E10" s="20" t="inlineStr">
        <is>
          <t>'The operation of a TM may never stop' — agree? Example</t>
        </is>
      </c>
      <c r="F10" s="20" t="inlineStr">
        <is>
          <t>Recursive, RE, decidable languages — Lecture 7 Undecidability, sl. 2–13</t>
        </is>
      </c>
      <c r="G10" s="19" t="inlineStr">
        <is>
          <t>L19</t>
        </is>
      </c>
      <c r="H10" s="19" t="n">
        <v>4</v>
      </c>
      <c r="I10" s="19" t="n">
        <v>10</v>
      </c>
      <c r="J10" s="22" t="inlineStr">
        <is>
          <t>★ Low</t>
        </is>
      </c>
      <c r="K10" s="19" t="inlineStr">
        <is>
          <t>Theory</t>
        </is>
      </c>
      <c r="L10" s="22" t="inlineStr">
        <is>
          <t>✔ Solved</t>
        </is>
      </c>
      <c r="M10" s="20" t="inlineStr">
        <is>
          <t>—</t>
        </is>
      </c>
      <c r="N10" s="23" t="b">
        <v>0</v>
      </c>
      <c r="O10" s="19" t="n"/>
      <c r="P10" s="19" t="n"/>
      <c r="Q10" s="20" t="n"/>
    </row>
    <row r="11">
      <c r="A11" s="24" t="n">
        <v>8</v>
      </c>
      <c r="B11" s="24" t="inlineStr">
        <is>
          <t>2022-23</t>
        </is>
      </c>
      <c r="C11" s="24" t="inlineStr">
        <is>
          <t>CSE 211</t>
        </is>
      </c>
      <c r="D11" s="24" t="inlineStr">
        <is>
          <t>12</t>
        </is>
      </c>
      <c r="E11" s="6" t="inlineStr">
        <is>
          <t>Diagonalization language; prove it is not RE</t>
        </is>
      </c>
      <c r="F11" s="6" t="inlineStr">
        <is>
          <t>Counting, TM codes, L_d — Lecture 7 Undecidability, sl. 14–51</t>
        </is>
      </c>
      <c r="G11" s="24" t="inlineStr">
        <is>
          <t>L20</t>
        </is>
      </c>
      <c r="H11" s="24" t="n">
        <v>15</v>
      </c>
      <c r="I11" s="24" t="n">
        <v>52</v>
      </c>
      <c r="J11" s="25" t="inlineStr">
        <is>
          <t>★★★ High</t>
        </is>
      </c>
      <c r="K11" s="24" t="inlineStr">
        <is>
          <t>Proof</t>
        </is>
      </c>
      <c r="L11" s="22" t="inlineStr">
        <is>
          <t>✔ Solved</t>
        </is>
      </c>
      <c r="M11" s="6" t="inlineStr">
        <is>
          <t>2017-18 11; 2007-08 12; 2006-07 4(a)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2017-18</t>
        </is>
      </c>
      <c r="C12" s="24" t="inlineStr">
        <is>
          <t>CSE 211</t>
        </is>
      </c>
      <c r="D12" s="24" t="inlineStr">
        <is>
          <t>11</t>
        </is>
      </c>
      <c r="E12" s="6" t="inlineStr">
        <is>
          <t>Define diagonalization language, universal language, halting problem; show one is not RE</t>
        </is>
      </c>
      <c r="F12" s="6" t="inlineStr">
        <is>
          <t>Counting, TM codes, L_d — Lecture 7 Undecidability, sl. 14–51</t>
        </is>
      </c>
      <c r="G12" s="24" t="inlineStr">
        <is>
          <t>L20</t>
        </is>
      </c>
      <c r="H12" s="24" t="n">
        <v>15</v>
      </c>
      <c r="I12" s="24" t="n">
        <v>35</v>
      </c>
      <c r="J12" s="21" t="inlineStr">
        <is>
          <t>★★ Medium</t>
        </is>
      </c>
      <c r="K12" s="24" t="inlineStr">
        <is>
          <t>Proof</t>
        </is>
      </c>
      <c r="L12" s="22" t="inlineStr">
        <is>
          <t>✔ Solved</t>
        </is>
      </c>
      <c r="M12" s="6" t="inlineStr">
        <is>
          <t>2022-23 12; 2007-08 12; 2006-07 4(a)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2014-15</t>
        </is>
      </c>
      <c r="C13" s="24" t="inlineStr">
        <is>
          <t>CSE 211</t>
        </is>
      </c>
      <c r="D13" s="24" t="inlineStr">
        <is>
          <t>7(b)</t>
        </is>
      </c>
      <c r="E13" s="6" t="inlineStr">
        <is>
          <t>The set of infinite binary sequences is not countable</t>
        </is>
      </c>
      <c r="F13" s="6" t="inlineStr">
        <is>
          <t>Counting, TM codes, L_d — Lecture 7 Undecidability, sl. 14–51</t>
        </is>
      </c>
      <c r="G13" s="24" t="inlineStr">
        <is>
          <t>L20</t>
        </is>
      </c>
      <c r="H13" s="24" t="n">
        <v>7</v>
      </c>
      <c r="I13" s="24" t="n">
        <v>23</v>
      </c>
      <c r="J13" s="21" t="inlineStr">
        <is>
          <t>★★ Medium</t>
        </is>
      </c>
      <c r="K13" s="24" t="inlineStr">
        <is>
          <t>Proof</t>
        </is>
      </c>
      <c r="L13" s="22" t="inlineStr">
        <is>
          <t>✔ Solved</t>
        </is>
      </c>
      <c r="M13" s="6" t="inlineStr">
        <is>
          <t>2013-14 4(b); 2010-11 10(a); 2010-11 10(b)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2013-14</t>
        </is>
      </c>
      <c r="C14" s="24" t="inlineStr">
        <is>
          <t>CSE 211</t>
        </is>
      </c>
      <c r="D14" s="24" t="inlineStr">
        <is>
          <t>4(b)</t>
        </is>
      </c>
      <c r="E14" s="6" t="inlineStr">
        <is>
          <t>Prove the set of rational numbers is countable</t>
        </is>
      </c>
      <c r="F14" s="6" t="inlineStr">
        <is>
          <t>Counting, TM codes, L_d — Lecture 7 Undecidability, sl. 14–51</t>
        </is>
      </c>
      <c r="G14" s="24" t="inlineStr">
        <is>
          <t>L20</t>
        </is>
      </c>
      <c r="H14" s="24" t="n">
        <v>7</v>
      </c>
      <c r="I14" s="24" t="n">
        <v>20</v>
      </c>
      <c r="J14" s="21" t="inlineStr">
        <is>
          <t>★★ Medium</t>
        </is>
      </c>
      <c r="K14" s="24" t="inlineStr">
        <is>
          <t>Proof</t>
        </is>
      </c>
      <c r="L14" s="22" t="inlineStr">
        <is>
          <t>✔ Solved</t>
        </is>
      </c>
      <c r="M14" s="6" t="inlineStr">
        <is>
          <t>2014-15 7(b); 2010-11 10(a); 2010-11 10(b)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2011-12</t>
        </is>
      </c>
      <c r="C15" s="24" t="inlineStr">
        <is>
          <t>CSE 211</t>
        </is>
      </c>
      <c r="D15" s="24" t="inlineStr">
        <is>
          <t>1(c)</t>
        </is>
      </c>
      <c r="E15" s="6" t="inlineStr">
        <is>
          <t>An encoding technique for TMs; show the number of TMs is countable</t>
        </is>
      </c>
      <c r="F15" s="6" t="inlineStr">
        <is>
          <t>Counting, TM codes, L_d — Lecture 7 Undecidability, sl. 14–51</t>
        </is>
      </c>
      <c r="G15" s="24" t="inlineStr">
        <is>
          <t>L20</t>
        </is>
      </c>
      <c r="H15" s="24" t="n">
        <v>8</v>
      </c>
      <c r="I15" s="24" t="n">
        <v>14</v>
      </c>
      <c r="J15" s="21" t="inlineStr">
        <is>
          <t>★★ Medium</t>
        </is>
      </c>
      <c r="K15" s="24" t="inlineStr">
        <is>
          <t>Proof</t>
        </is>
      </c>
      <c r="L15" s="22" t="inlineStr">
        <is>
          <t>✔ Solved</t>
        </is>
      </c>
      <c r="M15" s="6" t="inlineStr">
        <is>
          <t>2006-07 4(c)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2010-11</t>
        </is>
      </c>
      <c r="C16" s="24" t="inlineStr">
        <is>
          <t>CSE 211</t>
        </is>
      </c>
      <c r="D16" s="24" t="inlineStr">
        <is>
          <t>10(a)</t>
        </is>
      </c>
      <c r="E16" s="6" t="inlineStr">
        <is>
          <t>Show the set of all infinite binary sequences is uncountable</t>
        </is>
      </c>
      <c r="F16" s="6" t="inlineStr">
        <is>
          <t>Counting, TM codes, L_d — Lecture 7 Undecidability, sl. 14–51</t>
        </is>
      </c>
      <c r="G16" s="24" t="inlineStr">
        <is>
          <t>L20</t>
        </is>
      </c>
      <c r="H16" s="24" t="n">
        <v>4</v>
      </c>
      <c r="I16" s="24" t="n">
        <v>12</v>
      </c>
      <c r="J16" s="21" t="inlineStr">
        <is>
          <t>★★ Medium</t>
        </is>
      </c>
      <c r="K16" s="24" t="inlineStr">
        <is>
          <t>Proof</t>
        </is>
      </c>
      <c r="L16" s="22" t="inlineStr">
        <is>
          <t>✔ Solved</t>
        </is>
      </c>
      <c r="M16" s="6" t="inlineStr">
        <is>
          <t>2014-15 7(b); 2013-14 4(b); 2010-11 10(b)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2010-11</t>
        </is>
      </c>
      <c r="C17" s="24" t="inlineStr">
        <is>
          <t>CSE 211</t>
        </is>
      </c>
      <c r="D17" s="24" t="inlineStr">
        <is>
          <t>10(b)</t>
        </is>
      </c>
      <c r="E17" s="6" t="inlineStr">
        <is>
          <t>Using 10(a), prove that some languages are not Turing-recognizable</t>
        </is>
      </c>
      <c r="F17" s="6" t="inlineStr">
        <is>
          <t>Counting, TM codes, L_d — Lecture 7 Undecidability, sl. 14–51</t>
        </is>
      </c>
      <c r="G17" s="24" t="inlineStr">
        <is>
          <t>L20</t>
        </is>
      </c>
      <c r="H17" s="24" t="n">
        <v>8.33</v>
      </c>
      <c r="I17" s="24" t="n">
        <v>12</v>
      </c>
      <c r="J17" s="21" t="inlineStr">
        <is>
          <t>★★ Medium</t>
        </is>
      </c>
      <c r="K17" s="24" t="inlineStr">
        <is>
          <t>Proof</t>
        </is>
      </c>
      <c r="L17" s="22" t="inlineStr">
        <is>
          <t>✔ Solved</t>
        </is>
      </c>
      <c r="M17" s="6" t="inlineStr">
        <is>
          <t>2014-15 7(b); 2013-14 4(b); 2010-11 10(a)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2007-08</t>
        </is>
      </c>
      <c r="C18" s="24" t="inlineStr">
        <is>
          <t>CSE 211</t>
        </is>
      </c>
      <c r="D18" s="24" t="inlineStr">
        <is>
          <t>12</t>
        </is>
      </c>
      <c r="E18" s="6" t="inlineStr">
        <is>
          <t>Define the diagonalization language; prove it is not RE</t>
        </is>
      </c>
      <c r="F18" s="6" t="inlineStr">
        <is>
          <t>Counting, TM codes, L_d — Lecture 7 Undecidability, sl. 14–51</t>
        </is>
      </c>
      <c r="G18" s="24" t="inlineStr">
        <is>
          <t>L20</t>
        </is>
      </c>
      <c r="H18" s="24" t="n">
        <v>10</v>
      </c>
      <c r="I18" s="24" t="n">
        <v>5</v>
      </c>
      <c r="J18" s="21" t="inlineStr">
        <is>
          <t>★★ Medium</t>
        </is>
      </c>
      <c r="K18" s="24" t="inlineStr">
        <is>
          <t>Proof</t>
        </is>
      </c>
      <c r="L18" s="22" t="inlineStr">
        <is>
          <t>✔ Solved</t>
        </is>
      </c>
      <c r="M18" s="6" t="inlineStr">
        <is>
          <t>2022-23 12; 2017-18 11; 2006-07 4(a)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2006-07</t>
        </is>
      </c>
      <c r="C19" s="24" t="inlineStr">
        <is>
          <t>CSE 211</t>
        </is>
      </c>
      <c r="D19" s="24" t="inlineStr">
        <is>
          <t>3(c)</t>
        </is>
      </c>
      <c r="E19" s="6" t="inlineStr">
        <is>
          <t>Enumeration of binary strings; find the 13th binary string</t>
        </is>
      </c>
      <c r="F19" s="6" t="inlineStr">
        <is>
          <t>Counting, TM codes, L_d — Lecture 7 Undecidability, sl. 14–51</t>
        </is>
      </c>
      <c r="G19" s="24" t="inlineStr">
        <is>
          <t>L20</t>
        </is>
      </c>
      <c r="H19" s="24" t="n">
        <v>5.33</v>
      </c>
      <c r="I19" s="24" t="n">
        <v>1</v>
      </c>
      <c r="J19" s="22" t="inlineStr">
        <is>
          <t>★ Low</t>
        </is>
      </c>
      <c r="K19" s="24" t="inlineStr">
        <is>
          <t>Numerical</t>
        </is>
      </c>
      <c r="L19" s="22" t="inlineStr">
        <is>
          <t>✔ Solved</t>
        </is>
      </c>
      <c r="M19" s="6" t="inlineStr">
        <is>
          <t>—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2006-07</t>
        </is>
      </c>
      <c r="C20" s="24" t="inlineStr">
        <is>
          <t>CSE 211</t>
        </is>
      </c>
      <c r="D20" s="24" t="inlineStr">
        <is>
          <t>4(a)</t>
        </is>
      </c>
      <c r="E20" s="6" t="inlineStr">
        <is>
          <t>Prove the diagonalization language is not recursively enumerable</t>
        </is>
      </c>
      <c r="F20" s="6" t="inlineStr">
        <is>
          <t>Counting, TM codes, L_d — Lecture 7 Undecidability, sl. 14–51</t>
        </is>
      </c>
      <c r="G20" s="24" t="inlineStr">
        <is>
          <t>L20</t>
        </is>
      </c>
      <c r="H20" s="24" t="n">
        <v>10</v>
      </c>
      <c r="I20" s="24" t="n">
        <v>1</v>
      </c>
      <c r="J20" s="21" t="inlineStr">
        <is>
          <t>★★ Medium</t>
        </is>
      </c>
      <c r="K20" s="24" t="inlineStr">
        <is>
          <t>Proof</t>
        </is>
      </c>
      <c r="L20" s="22" t="inlineStr">
        <is>
          <t>✔ Solved</t>
        </is>
      </c>
      <c r="M20" s="6" t="inlineStr">
        <is>
          <t>2022-23 12; 2017-18 11; 2007-08 12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2006-07</t>
        </is>
      </c>
      <c r="C21" s="24" t="inlineStr">
        <is>
          <t>CSE 211</t>
        </is>
      </c>
      <c r="D21" s="24" t="inlineStr">
        <is>
          <t>4(c)</t>
        </is>
      </c>
      <c r="E21" s="6" t="inlineStr">
        <is>
          <t>Encode the TM M = ({q1,q2,q3},{0,1},{0,1,B},δ,q1,B,{q2}) with the given 4 rules</t>
        </is>
      </c>
      <c r="F21" s="6" t="inlineStr">
        <is>
          <t>Counting, TM codes, L_d — Lecture 7 Undecidability, sl. 14–51</t>
        </is>
      </c>
      <c r="G21" s="24" t="inlineStr">
        <is>
          <t>L20</t>
        </is>
      </c>
      <c r="H21" s="24" t="n">
        <v>5.33</v>
      </c>
      <c r="I21" s="24" t="n">
        <v>2</v>
      </c>
      <c r="J21" s="21" t="inlineStr">
        <is>
          <t>★★ Medium</t>
        </is>
      </c>
      <c r="K21" s="24" t="inlineStr">
        <is>
          <t>Trace</t>
        </is>
      </c>
      <c r="L21" s="22" t="inlineStr">
        <is>
          <t>✔ Solved</t>
        </is>
      </c>
      <c r="M21" s="6" t="inlineStr">
        <is>
          <t>2011-12 1(c)</t>
        </is>
      </c>
      <c r="N21" s="23" t="b">
        <v>0</v>
      </c>
      <c r="O21" s="24" t="n"/>
      <c r="P21" s="24" t="n"/>
      <c r="Q21" s="6" t="n"/>
    </row>
    <row r="22">
      <c r="A22" s="19" t="n">
        <v>19</v>
      </c>
      <c r="B22" s="19" t="inlineStr">
        <is>
          <t>2023-24</t>
        </is>
      </c>
      <c r="C22" s="19" t="inlineStr">
        <is>
          <t>CSE 211</t>
        </is>
      </c>
      <c r="D22" s="19" t="inlineStr">
        <is>
          <t>11</t>
        </is>
      </c>
      <c r="E22" s="20" t="inlineStr">
        <is>
          <t>Example of a non-RE language; prove halting is not recursive (Lu not recursive given)</t>
        </is>
      </c>
      <c r="F22" s="20" t="inlineStr">
        <is>
          <t>Complements, L_u, halting, A_TM — Lecture 7 Undecidability, sl. 52–70</t>
        </is>
      </c>
      <c r="G22" s="19" t="inlineStr">
        <is>
          <t>L21</t>
        </is>
      </c>
      <c r="H22" s="19" t="n">
        <v>15</v>
      </c>
      <c r="I22" s="19" t="inlineStr">
        <is>
          <t>22 batch p.4</t>
        </is>
      </c>
      <c r="J22" s="25" t="inlineStr">
        <is>
          <t>★★★ High</t>
        </is>
      </c>
      <c r="K22" s="19" t="inlineStr">
        <is>
          <t>Proof</t>
        </is>
      </c>
      <c r="L22" s="22" t="inlineStr">
        <is>
          <t>✔ Solved</t>
        </is>
      </c>
      <c r="M22" s="20" t="inlineStr">
        <is>
          <t>2021-22 11; 2019-20 12; 2012-13 2(a); 2011-12 2(c); 2010-11 10(d); 2009-10 13(d)</t>
        </is>
      </c>
      <c r="N22" s="23" t="b">
        <v>0</v>
      </c>
      <c r="O22" s="19" t="n"/>
      <c r="P22" s="19" t="n"/>
      <c r="Q22" s="20" t="n"/>
    </row>
    <row r="23">
      <c r="A23" s="19" t="n">
        <v>20</v>
      </c>
      <c r="B23" s="19" t="inlineStr">
        <is>
          <t>2021-22</t>
        </is>
      </c>
      <c r="C23" s="19" t="inlineStr">
        <is>
          <t>CSE 211</t>
        </is>
      </c>
      <c r="D23" s="19" t="inlineStr">
        <is>
          <t>11</t>
        </is>
      </c>
      <c r="E23" s="20" t="inlineStr">
        <is>
          <t>Diagonalization and universal languages; show halting is not recursive</t>
        </is>
      </c>
      <c r="F23" s="20" t="inlineStr">
        <is>
          <t>Complements, L_u, halting, A_TM — Lecture 7 Undecidability, sl. 52–70</t>
        </is>
      </c>
      <c r="G23" s="19" t="inlineStr">
        <is>
          <t>L21</t>
        </is>
      </c>
      <c r="H23" s="19" t="n">
        <v>15</v>
      </c>
      <c r="I23" s="19" t="n">
        <v>48</v>
      </c>
      <c r="J23" s="25" t="inlineStr">
        <is>
          <t>★★★ High</t>
        </is>
      </c>
      <c r="K23" s="19" t="inlineStr">
        <is>
          <t>Proof</t>
        </is>
      </c>
      <c r="L23" s="22" t="inlineStr">
        <is>
          <t>✔ Solved</t>
        </is>
      </c>
      <c r="M23" s="20" t="inlineStr">
        <is>
          <t>2023-24 11; 2019-20 12; 2012-13 2(a); 2011-12 2(c); 2010-11 10(d); 2009-10 13(d)</t>
        </is>
      </c>
      <c r="N23" s="23" t="b">
        <v>0</v>
      </c>
      <c r="O23" s="19" t="n"/>
      <c r="P23" s="19" t="n"/>
      <c r="Q23" s="20" t="n"/>
    </row>
    <row r="24">
      <c r="A24" s="19" t="n">
        <v>21</v>
      </c>
      <c r="B24" s="19" t="inlineStr">
        <is>
          <t>2020 (Jan term)</t>
        </is>
      </c>
      <c r="C24" s="19" t="inlineStr">
        <is>
          <t>CSE 211</t>
        </is>
      </c>
      <c r="D24" s="19" t="inlineStr">
        <is>
          <t>11</t>
        </is>
      </c>
      <c r="E24" s="20" t="inlineStr">
        <is>
          <t>Define RE and recursive languages; example of non-RE and of RE-but-not-recursive</t>
        </is>
      </c>
      <c r="F24" s="20" t="inlineStr">
        <is>
          <t>Complements, L_u, halting, A_TM — Lecture 7 Undecidability, sl. 52–70</t>
        </is>
      </c>
      <c r="G24" s="19" t="inlineStr">
        <is>
          <t>L21</t>
        </is>
      </c>
      <c r="H24" s="19" t="n">
        <v>15</v>
      </c>
      <c r="I24" s="19" t="n">
        <v>39</v>
      </c>
      <c r="J24" s="25" t="inlineStr">
        <is>
          <t>★★★ High</t>
        </is>
      </c>
      <c r="K24" s="19" t="inlineStr">
        <is>
          <t>Theory</t>
        </is>
      </c>
      <c r="L24" s="22" t="inlineStr">
        <is>
          <t>✔ Solved</t>
        </is>
      </c>
      <c r="M24" s="20" t="inlineStr">
        <is>
          <t>2019-20 11; 2008-09 4(c)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2019-20</t>
        </is>
      </c>
      <c r="C25" s="19" t="inlineStr">
        <is>
          <t>CSE 211</t>
        </is>
      </c>
      <c r="D25" s="19" t="inlineStr">
        <is>
          <t>11</t>
        </is>
      </c>
      <c r="E25" s="20" t="inlineStr">
        <is>
          <t>One example each: regular; CF not regular; recursive not CF; RE not recursive; not RE</t>
        </is>
      </c>
      <c r="F25" s="20" t="inlineStr">
        <is>
          <t>Complements, L_u, halting, A_TM — Lecture 7 Undecidability, sl. 52–70</t>
        </is>
      </c>
      <c r="G25" s="19" t="inlineStr">
        <is>
          <t>L21</t>
        </is>
      </c>
      <c r="H25" s="19" t="n">
        <v>15</v>
      </c>
      <c r="I25" s="19" t="n">
        <v>42</v>
      </c>
      <c r="J25" s="25" t="inlineStr">
        <is>
          <t>★★★ High</t>
        </is>
      </c>
      <c r="K25" s="19" t="inlineStr">
        <is>
          <t>Theory</t>
        </is>
      </c>
      <c r="L25" s="22" t="inlineStr">
        <is>
          <t>✔ Solved</t>
        </is>
      </c>
      <c r="M25" s="20" t="inlineStr">
        <is>
          <t>2020 (Jan term) 11; 2008-09 4(c)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2019-20</t>
        </is>
      </c>
      <c r="C26" s="19" t="inlineStr">
        <is>
          <t>CSE 211</t>
        </is>
      </c>
      <c r="D26" s="19" t="inlineStr">
        <is>
          <t>12</t>
        </is>
      </c>
      <c r="E26" s="20" t="inlineStr">
        <is>
          <t>Halting problem; prove it is RE but not recursive</t>
        </is>
      </c>
      <c r="F26" s="20" t="inlineStr">
        <is>
          <t>Complements, L_u, halting, A_TM — Lecture 7 Undecidability, sl. 52–70</t>
        </is>
      </c>
      <c r="G26" s="19" t="inlineStr">
        <is>
          <t>L21</t>
        </is>
      </c>
      <c r="H26" s="19" t="n">
        <v>15</v>
      </c>
      <c r="I26" s="19" t="n">
        <v>43</v>
      </c>
      <c r="J26" s="25" t="inlineStr">
        <is>
          <t>★★★ High</t>
        </is>
      </c>
      <c r="K26" s="19" t="inlineStr">
        <is>
          <t>Proof</t>
        </is>
      </c>
      <c r="L26" s="22" t="inlineStr">
        <is>
          <t>✔ Solved</t>
        </is>
      </c>
      <c r="M26" s="20" t="inlineStr">
        <is>
          <t>2023-24 11; 2021-22 11; 2012-13 2(a); 2011-12 2(c); 2010-11 10(d); 2009-10 13(d)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2016-17</t>
        </is>
      </c>
      <c r="C27" s="19" t="inlineStr">
        <is>
          <t>CSE 211</t>
        </is>
      </c>
      <c r="D27" s="19" t="inlineStr">
        <is>
          <t>8(a)</t>
        </is>
      </c>
      <c r="E27" s="20" t="inlineStr">
        <is>
          <t>Prove A_TM is undecidable</t>
        </is>
      </c>
      <c r="F27" s="20" t="inlineStr">
        <is>
          <t>Complements, L_u, halting, A_TM — Lecture 7 Undecidability, sl. 52–70</t>
        </is>
      </c>
      <c r="G27" s="19" t="inlineStr">
        <is>
          <t>L21</t>
        </is>
      </c>
      <c r="H27" s="19" t="n">
        <v>15</v>
      </c>
      <c r="I27" s="19" t="n">
        <v>31</v>
      </c>
      <c r="J27" s="21" t="inlineStr">
        <is>
          <t>★★ Medium</t>
        </is>
      </c>
      <c r="K27" s="19" t="inlineStr">
        <is>
          <t>Proof</t>
        </is>
      </c>
      <c r="L27" s="22" t="inlineStr">
        <is>
          <t>✔ Solved</t>
        </is>
      </c>
      <c r="M27" s="20" t="inlineStr">
        <is>
          <t>2014-15 8(c); 2013-14 4(c)</t>
        </is>
      </c>
      <c r="N27" s="23" t="b">
        <v>0</v>
      </c>
      <c r="O27" s="19" t="n"/>
      <c r="P27" s="19" t="n"/>
      <c r="Q27" s="20" t="n"/>
    </row>
    <row r="28">
      <c r="A28" s="19" t="n">
        <v>25</v>
      </c>
      <c r="B28" s="19" t="inlineStr">
        <is>
          <t>2014-15</t>
        </is>
      </c>
      <c r="C28" s="19" t="inlineStr">
        <is>
          <t>CSE 211</t>
        </is>
      </c>
      <c r="D28" s="19" t="inlineStr">
        <is>
          <t>8(c)</t>
        </is>
      </c>
      <c r="E28" s="20" t="inlineStr">
        <is>
          <t>Prove A_TM is undecidable</t>
        </is>
      </c>
      <c r="F28" s="20" t="inlineStr">
        <is>
          <t>Complements, L_u, halting, A_TM — Lecture 7 Undecidability, sl. 52–70</t>
        </is>
      </c>
      <c r="G28" s="19" t="inlineStr">
        <is>
          <t>L21</t>
        </is>
      </c>
      <c r="H28" s="19" t="n">
        <v>9.33</v>
      </c>
      <c r="I28" s="19" t="n">
        <v>23</v>
      </c>
      <c r="J28" s="21" t="inlineStr">
        <is>
          <t>★★ Medium</t>
        </is>
      </c>
      <c r="K28" s="19" t="inlineStr">
        <is>
          <t>Proof</t>
        </is>
      </c>
      <c r="L28" s="22" t="inlineStr">
        <is>
          <t>✔ Solved</t>
        </is>
      </c>
      <c r="M28" s="20" t="inlineStr">
        <is>
          <t>2016-17 8(a); 2013-14 4(c)</t>
        </is>
      </c>
      <c r="N28" s="23" t="b">
        <v>0</v>
      </c>
      <c r="O28" s="19" t="n"/>
      <c r="P28" s="19" t="n"/>
      <c r="Q28" s="20" t="n"/>
    </row>
    <row r="29">
      <c r="A29" s="19" t="n">
        <v>26</v>
      </c>
      <c r="B29" s="19" t="inlineStr">
        <is>
          <t>2013-14</t>
        </is>
      </c>
      <c r="C29" s="19" t="inlineStr">
        <is>
          <t>CSE 211</t>
        </is>
      </c>
      <c r="D29" s="19" t="inlineStr">
        <is>
          <t>4(c)</t>
        </is>
      </c>
      <c r="E29" s="20" t="inlineStr">
        <is>
          <t>Prove A_TM is undecidable</t>
        </is>
      </c>
      <c r="F29" s="20" t="inlineStr">
        <is>
          <t>Complements, L_u, halting, A_TM — Lecture 7 Undecidability, sl. 52–70</t>
        </is>
      </c>
      <c r="G29" s="19" t="inlineStr">
        <is>
          <t>L21</t>
        </is>
      </c>
      <c r="H29" s="19" t="n">
        <v>9.33</v>
      </c>
      <c r="I29" s="19" t="n">
        <v>20</v>
      </c>
      <c r="J29" s="21" t="inlineStr">
        <is>
          <t>★★ Medium</t>
        </is>
      </c>
      <c r="K29" s="19" t="inlineStr">
        <is>
          <t>Proof</t>
        </is>
      </c>
      <c r="L29" s="22" t="inlineStr">
        <is>
          <t>✔ Solved</t>
        </is>
      </c>
      <c r="M29" s="20" t="inlineStr">
        <is>
          <t>2016-17 8(a); 2014-15 8(c)</t>
        </is>
      </c>
      <c r="N29" s="23" t="b">
        <v>0</v>
      </c>
      <c r="O29" s="19" t="n"/>
      <c r="P29" s="19" t="n"/>
      <c r="Q29" s="20" t="n"/>
    </row>
    <row r="30">
      <c r="A30" s="19" t="n">
        <v>27</v>
      </c>
      <c r="B30" s="19" t="inlineStr">
        <is>
          <t>2012-13</t>
        </is>
      </c>
      <c r="C30" s="19" t="inlineStr">
        <is>
          <t>CSE 211</t>
        </is>
      </c>
      <c r="D30" s="19" t="inlineStr">
        <is>
          <t>2(a)</t>
        </is>
      </c>
      <c r="E30" s="20" t="inlineStr">
        <is>
          <t>Recognizable vs decidable; show HALT is Turing-acceptable</t>
        </is>
      </c>
      <c r="F30" s="20" t="inlineStr">
        <is>
          <t>Complements, L_u, halting, A_TM — Lecture 7 Undecidability, sl. 52–70</t>
        </is>
      </c>
      <c r="G30" s="19" t="inlineStr">
        <is>
          <t>L21</t>
        </is>
      </c>
      <c r="H30" s="19" t="n">
        <v>10</v>
      </c>
      <c r="I30" s="19" t="n">
        <v>17</v>
      </c>
      <c r="J30" s="21" t="inlineStr">
        <is>
          <t>★★ Medium</t>
        </is>
      </c>
      <c r="K30" s="19" t="inlineStr">
        <is>
          <t>Proof</t>
        </is>
      </c>
      <c r="L30" s="22" t="inlineStr">
        <is>
          <t>✔ Solved</t>
        </is>
      </c>
      <c r="M30" s="20" t="inlineStr">
        <is>
          <t>2023-24 11; 2021-22 11; 2019-20 12; 2011-12 2(c); 2010-11 10(d); 2009-10 13(d)</t>
        </is>
      </c>
      <c r="N30" s="23" t="b">
        <v>0</v>
      </c>
      <c r="O30" s="19" t="n"/>
      <c r="P30" s="19" t="n"/>
      <c r="Q30" s="20" t="n"/>
    </row>
    <row r="31">
      <c r="A31" s="19" t="n">
        <v>28</v>
      </c>
      <c r="B31" s="19" t="inlineStr">
        <is>
          <t>2011-12</t>
        </is>
      </c>
      <c r="C31" s="19" t="inlineStr">
        <is>
          <t>CSE 211</t>
        </is>
      </c>
      <c r="D31" s="19" t="inlineStr">
        <is>
          <t>2(c)</t>
        </is>
      </c>
      <c r="E31" s="20" t="inlineStr">
        <is>
          <t>Show HALT = {&lt;M,w&gt; | M halts on w} is Turing-acceptable</t>
        </is>
      </c>
      <c r="F31" s="20" t="inlineStr">
        <is>
          <t>Complements, L_u, halting, A_TM — Lecture 7 Undecidability, sl. 52–70</t>
        </is>
      </c>
      <c r="G31" s="19" t="inlineStr">
        <is>
          <t>L21</t>
        </is>
      </c>
      <c r="H31" s="19" t="n">
        <v>7</v>
      </c>
      <c r="I31" s="19" t="n">
        <v>14</v>
      </c>
      <c r="J31" s="21" t="inlineStr">
        <is>
          <t>★★ Medium</t>
        </is>
      </c>
      <c r="K31" s="19" t="inlineStr">
        <is>
          <t>Proof</t>
        </is>
      </c>
      <c r="L31" s="22" t="inlineStr">
        <is>
          <t>✔ Solved</t>
        </is>
      </c>
      <c r="M31" s="20" t="inlineStr">
        <is>
          <t>2023-24 11; 2021-22 11; 2019-20 12; 2012-13 2(a); 2010-11 10(d); 2009-10 13(d)</t>
        </is>
      </c>
      <c r="N31" s="23" t="b">
        <v>0</v>
      </c>
      <c r="O31" s="19" t="n"/>
      <c r="P31" s="19" t="n"/>
      <c r="Q31" s="20" t="n"/>
    </row>
    <row r="32">
      <c r="A32" s="19" t="n">
        <v>29</v>
      </c>
      <c r="B32" s="19" t="inlineStr">
        <is>
          <t>2011-12</t>
        </is>
      </c>
      <c r="C32" s="19" t="inlineStr">
        <is>
          <t>CSE 211</t>
        </is>
      </c>
      <c r="D32" s="19" t="inlineStr">
        <is>
          <t>3(b)</t>
        </is>
      </c>
      <c r="E32" s="20" t="inlineStr">
        <is>
          <t>Prove: the union of two RE languages is RE</t>
        </is>
      </c>
      <c r="F32" s="20" t="inlineStr">
        <is>
          <t>Complements, L_u, halting, A_TM — Lecture 7 Undecidability, sl. 52–70</t>
        </is>
      </c>
      <c r="G32" s="19" t="inlineStr">
        <is>
          <t>L21</t>
        </is>
      </c>
      <c r="H32" s="19" t="n">
        <v>8</v>
      </c>
      <c r="I32" s="19" t="n">
        <v>15</v>
      </c>
      <c r="J32" s="22" t="inlineStr">
        <is>
          <t>★ Low</t>
        </is>
      </c>
      <c r="K32" s="19" t="inlineStr">
        <is>
          <t>Proof</t>
        </is>
      </c>
      <c r="L32" s="22" t="inlineStr">
        <is>
          <t>✔ Solved</t>
        </is>
      </c>
      <c r="M32" s="20" t="inlineStr">
        <is>
          <t>—</t>
        </is>
      </c>
      <c r="N32" s="23" t="b">
        <v>0</v>
      </c>
      <c r="O32" s="19" t="n"/>
      <c r="P32" s="19" t="n"/>
      <c r="Q32" s="20" t="n"/>
    </row>
    <row r="33">
      <c r="A33" s="19" t="n">
        <v>30</v>
      </c>
      <c r="B33" s="19" t="inlineStr">
        <is>
          <t>2010-11</t>
        </is>
      </c>
      <c r="C33" s="19" t="inlineStr">
        <is>
          <t>CSE 211</t>
        </is>
      </c>
      <c r="D33" s="19" t="inlineStr">
        <is>
          <t>10(c)</t>
        </is>
      </c>
      <c r="E33" s="20" t="inlineStr">
        <is>
          <t>L is decidable iff L and its complement are Turing-recognizable</t>
        </is>
      </c>
      <c r="F33" s="20" t="inlineStr">
        <is>
          <t>Complements, L_u, halting, A_TM — Lecture 7 Undecidability, sl. 52–70</t>
        </is>
      </c>
      <c r="G33" s="19" t="inlineStr">
        <is>
          <t>L21</t>
        </is>
      </c>
      <c r="H33" s="19" t="n">
        <v>7</v>
      </c>
      <c r="I33" s="19" t="n">
        <v>12</v>
      </c>
      <c r="J33" s="21" t="inlineStr">
        <is>
          <t>★★ Medium</t>
        </is>
      </c>
      <c r="K33" s="19" t="inlineStr">
        <is>
          <t>Proof</t>
        </is>
      </c>
      <c r="L33" s="22" t="inlineStr">
        <is>
          <t>✔ Solved</t>
        </is>
      </c>
      <c r="M33" s="20" t="inlineStr">
        <is>
          <t>2009-10 13(b); 2008-09 4(d)</t>
        </is>
      </c>
      <c r="N33" s="23" t="b">
        <v>0</v>
      </c>
      <c r="O33" s="19" t="n"/>
      <c r="P33" s="19" t="n"/>
      <c r="Q33" s="20" t="n"/>
    </row>
    <row r="34">
      <c r="A34" s="19" t="n">
        <v>31</v>
      </c>
      <c r="B34" s="19" t="inlineStr">
        <is>
          <t>2010-11</t>
        </is>
      </c>
      <c r="C34" s="19" t="inlineStr">
        <is>
          <t>CSE 211</t>
        </is>
      </c>
      <c r="D34" s="19" t="inlineStr">
        <is>
          <t>10(d)</t>
        </is>
      </c>
      <c r="E34" s="20" t="inlineStr">
        <is>
          <t>Formal description of the halting problem; a language that is not Turing-recognizable</t>
        </is>
      </c>
      <c r="F34" s="20" t="inlineStr">
        <is>
          <t>Complements, L_u, halting, A_TM — Lecture 7 Undecidability, sl. 52–70</t>
        </is>
      </c>
      <c r="G34" s="19" t="inlineStr">
        <is>
          <t>L21</t>
        </is>
      </c>
      <c r="H34" s="19" t="n">
        <v>4</v>
      </c>
      <c r="I34" s="19" t="n">
        <v>12</v>
      </c>
      <c r="J34" s="21" t="inlineStr">
        <is>
          <t>★★ Medium</t>
        </is>
      </c>
      <c r="K34" s="19" t="inlineStr">
        <is>
          <t>Theory</t>
        </is>
      </c>
      <c r="L34" s="22" t="inlineStr">
        <is>
          <t>✔ Solved</t>
        </is>
      </c>
      <c r="M34" s="20" t="inlineStr">
        <is>
          <t>2023-24 11; 2021-22 11; 2019-20 12; 2012-13 2(a); 2011-12 2(c); 2009-10 13(d)</t>
        </is>
      </c>
      <c r="N34" s="23" t="b">
        <v>0</v>
      </c>
      <c r="O34" s="19" t="n"/>
      <c r="P34" s="19" t="n"/>
      <c r="Q34" s="20" t="n"/>
    </row>
    <row r="35">
      <c r="A35" s="19" t="n">
        <v>32</v>
      </c>
      <c r="B35" s="19" t="inlineStr">
        <is>
          <t>2009-10</t>
        </is>
      </c>
      <c r="C35" s="19" t="inlineStr">
        <is>
          <t>CSE 211</t>
        </is>
      </c>
      <c r="D35" s="19" t="inlineStr">
        <is>
          <t>13(b)</t>
        </is>
      </c>
      <c r="E35" s="20" t="inlineStr">
        <is>
          <t>Prove: L recursive ⇒ complement of L recursive</t>
        </is>
      </c>
      <c r="F35" s="20" t="inlineStr">
        <is>
          <t>Complements, L_u, halting, A_TM — Lecture 7 Undecidability, sl. 52–70</t>
        </is>
      </c>
      <c r="G35" s="19" t="inlineStr">
        <is>
          <t>L21</t>
        </is>
      </c>
      <c r="H35" s="19" t="n">
        <v>4</v>
      </c>
      <c r="I35" s="19" t="n">
        <v>10</v>
      </c>
      <c r="J35" s="21" t="inlineStr">
        <is>
          <t>★★ Medium</t>
        </is>
      </c>
      <c r="K35" s="19" t="inlineStr">
        <is>
          <t>Proof</t>
        </is>
      </c>
      <c r="L35" s="22" t="inlineStr">
        <is>
          <t>✔ Solved</t>
        </is>
      </c>
      <c r="M35" s="20" t="inlineStr">
        <is>
          <t>2010-11 10(c); 2008-09 4(d)</t>
        </is>
      </c>
      <c r="N35" s="23" t="b">
        <v>0</v>
      </c>
      <c r="O35" s="19" t="n"/>
      <c r="P35" s="19" t="n"/>
      <c r="Q35" s="20" t="n"/>
    </row>
    <row r="36">
      <c r="A36" s="19" t="n">
        <v>33</v>
      </c>
      <c r="B36" s="19" t="inlineStr">
        <is>
          <t>2009-10</t>
        </is>
      </c>
      <c r="C36" s="19" t="inlineStr">
        <is>
          <t>CSE 211</t>
        </is>
      </c>
      <c r="D36" s="19" t="inlineStr">
        <is>
          <t>13(c)</t>
        </is>
      </c>
      <c r="E36" s="20" t="inlineStr">
        <is>
          <t>Universal Turing machine with an example</t>
        </is>
      </c>
      <c r="F36" s="20" t="inlineStr">
        <is>
          <t>Complements, L_u, halting, A_TM — Lecture 7 Undecidability, sl. 52–70</t>
        </is>
      </c>
      <c r="G36" s="19" t="inlineStr">
        <is>
          <t>L21</t>
        </is>
      </c>
      <c r="H36" s="19" t="n">
        <v>11</v>
      </c>
      <c r="I36" s="19" t="n">
        <v>10</v>
      </c>
      <c r="J36" s="22" t="inlineStr">
        <is>
          <t>★ Low</t>
        </is>
      </c>
      <c r="K36" s="19" t="inlineStr">
        <is>
          <t>Theory</t>
        </is>
      </c>
      <c r="L36" s="26" t="inlineStr">
        <is>
          <t>◐ Method</t>
        </is>
      </c>
      <c r="M36" s="20" t="inlineStr">
        <is>
          <t>—</t>
        </is>
      </c>
      <c r="N36" s="23" t="b">
        <v>0</v>
      </c>
      <c r="O36" s="19" t="n"/>
      <c r="P36" s="19" t="n"/>
      <c r="Q36" s="20" t="n"/>
    </row>
    <row r="37">
      <c r="A37" s="19" t="n">
        <v>34</v>
      </c>
      <c r="B37" s="19" t="inlineStr">
        <is>
          <t>2009-10</t>
        </is>
      </c>
      <c r="C37" s="19" t="inlineStr">
        <is>
          <t>CSE 211</t>
        </is>
      </c>
      <c r="D37" s="19" t="inlineStr">
        <is>
          <t>13(d)</t>
        </is>
      </c>
      <c r="E37" s="20" t="inlineStr">
        <is>
          <t>The halting problem with an example</t>
        </is>
      </c>
      <c r="F37" s="20" t="inlineStr">
        <is>
          <t>Complements, L_u, halting, A_TM — Lecture 7 Undecidability, sl. 52–70</t>
        </is>
      </c>
      <c r="G37" s="19" t="inlineStr">
        <is>
          <t>L21</t>
        </is>
      </c>
      <c r="H37" s="19" t="n">
        <v>4.33</v>
      </c>
      <c r="I37" s="19" t="n">
        <v>10</v>
      </c>
      <c r="J37" s="21" t="inlineStr">
        <is>
          <t>★★ Medium</t>
        </is>
      </c>
      <c r="K37" s="19" t="inlineStr">
        <is>
          <t>Theory</t>
        </is>
      </c>
      <c r="L37" s="22" t="inlineStr">
        <is>
          <t>✔ Solved</t>
        </is>
      </c>
      <c r="M37" s="20" t="inlineStr">
        <is>
          <t>2023-24 11; 2021-22 11; 2019-20 12; 2012-13 2(a); 2011-12 2(c); 2010-11 10(d)</t>
        </is>
      </c>
      <c r="N37" s="23" t="b">
        <v>0</v>
      </c>
      <c r="O37" s="19" t="n"/>
      <c r="P37" s="19" t="n"/>
      <c r="Q37" s="20" t="n"/>
    </row>
    <row r="38">
      <c r="A38" s="19" t="n">
        <v>35</v>
      </c>
      <c r="B38" s="19" t="inlineStr">
        <is>
          <t>2008-09</t>
        </is>
      </c>
      <c r="C38" s="19" t="inlineStr">
        <is>
          <t>CSE 211</t>
        </is>
      </c>
      <c r="D38" s="19" t="inlineStr">
        <is>
          <t>4(c)</t>
        </is>
      </c>
      <c r="E38" s="20" t="inlineStr">
        <is>
          <t>Example of a language that is RE but not recursive</t>
        </is>
      </c>
      <c r="F38" s="20" t="inlineStr">
        <is>
          <t>Complements, L_u, halting, A_TM — Lecture 7 Undecidability, sl. 52–70</t>
        </is>
      </c>
      <c r="G38" s="19" t="inlineStr">
        <is>
          <t>L21</t>
        </is>
      </c>
      <c r="H38" s="19" t="n">
        <v>3</v>
      </c>
      <c r="I38" s="19" t="n">
        <v>6</v>
      </c>
      <c r="J38" s="21" t="inlineStr">
        <is>
          <t>★★ Medium</t>
        </is>
      </c>
      <c r="K38" s="19" t="inlineStr">
        <is>
          <t>Theory</t>
        </is>
      </c>
      <c r="L38" s="22" t="inlineStr">
        <is>
          <t>✔ Solved</t>
        </is>
      </c>
      <c r="M38" s="20" t="inlineStr">
        <is>
          <t>2020 (Jan term) 11; 2019-20 11</t>
        </is>
      </c>
      <c r="N38" s="23" t="b">
        <v>0</v>
      </c>
      <c r="O38" s="19" t="n"/>
      <c r="P38" s="19" t="n"/>
      <c r="Q38" s="20" t="n"/>
    </row>
    <row r="39">
      <c r="A39" s="19" t="n">
        <v>36</v>
      </c>
      <c r="B39" s="19" t="inlineStr">
        <is>
          <t>2008-09</t>
        </is>
      </c>
      <c r="C39" s="19" t="inlineStr">
        <is>
          <t>CSE 211</t>
        </is>
      </c>
      <c r="D39" s="19" t="inlineStr">
        <is>
          <t>4(d)</t>
        </is>
      </c>
      <c r="E39" s="20" t="inlineStr">
        <is>
          <t>Prove: if L and its complement are both RE then both are recursive</t>
        </is>
      </c>
      <c r="F39" s="20" t="inlineStr">
        <is>
          <t>Complements, L_u, halting, A_TM — Lecture 7 Undecidability, sl. 52–70</t>
        </is>
      </c>
      <c r="G39" s="19" t="inlineStr">
        <is>
          <t>L21</t>
        </is>
      </c>
      <c r="H39" s="19" t="n">
        <v>5</v>
      </c>
      <c r="I39" s="19" t="n">
        <v>6</v>
      </c>
      <c r="J39" s="21" t="inlineStr">
        <is>
          <t>★★ Medium</t>
        </is>
      </c>
      <c r="K39" s="19" t="inlineStr">
        <is>
          <t>Proof</t>
        </is>
      </c>
      <c r="L39" s="22" t="inlineStr">
        <is>
          <t>✔ Solved</t>
        </is>
      </c>
      <c r="M39" s="20" t="inlineStr">
        <is>
          <t>2010-11 10(c); 2009-10 13(b)</t>
        </is>
      </c>
      <c r="N39" s="23" t="b">
        <v>0</v>
      </c>
      <c r="O39" s="19" t="n"/>
      <c r="P39" s="19" t="n"/>
      <c r="Q39" s="20" t="n"/>
    </row>
    <row r="40">
      <c r="A40" s="24" t="n">
        <v>37</v>
      </c>
      <c r="B40" s="24" t="inlineStr">
        <is>
          <t>2015-16</t>
        </is>
      </c>
      <c r="C40" s="24" t="inlineStr">
        <is>
          <t>CSE 211</t>
        </is>
      </c>
      <c r="D40" s="24" t="inlineStr">
        <is>
          <t>7(b)</t>
        </is>
      </c>
      <c r="E40" s="6" t="inlineStr">
        <is>
          <t>P undecidable: use P and reduction to prove Q undecidable</t>
        </is>
      </c>
      <c r="F40" s="6" t="inlineStr">
        <is>
          <t>Reductions, Rice, PCP — Lecture 7 Undecidability, sl. 71–77</t>
        </is>
      </c>
      <c r="G40" s="24" t="inlineStr">
        <is>
          <t>L22</t>
        </is>
      </c>
      <c r="H40" s="24" t="n">
        <v>10.33</v>
      </c>
      <c r="I40" s="24" t="n">
        <v>27</v>
      </c>
      <c r="J40" s="22" t="inlineStr">
        <is>
          <t>★ Low</t>
        </is>
      </c>
      <c r="K40" s="24" t="inlineStr">
        <is>
          <t>Proof</t>
        </is>
      </c>
      <c r="L40" s="22" t="inlineStr">
        <is>
          <t>✔ Solved</t>
        </is>
      </c>
      <c r="M40" s="6" t="inlineStr">
        <is>
          <t>—</t>
        </is>
      </c>
      <c r="N40" s="23" t="b">
        <v>0</v>
      </c>
      <c r="O40" s="24" t="n"/>
      <c r="P40" s="24" t="n"/>
      <c r="Q40" s="6" t="n"/>
    </row>
    <row r="41">
      <c r="A41" s="24" t="n">
        <v>38</v>
      </c>
      <c r="B41" s="24" t="inlineStr">
        <is>
          <t>2008-09</t>
        </is>
      </c>
      <c r="C41" s="24" t="inlineStr">
        <is>
          <t>CSE 211</t>
        </is>
      </c>
      <c r="D41" s="24" t="inlineStr">
        <is>
          <t>4(a)</t>
        </is>
      </c>
      <c r="E41" s="6" t="inlineStr">
        <is>
          <t>Describe and sketch a proof of Rice's theorem</t>
        </is>
      </c>
      <c r="F41" s="6" t="inlineStr">
        <is>
          <t>Reductions, Rice, PCP — Lecture 7 Undecidability, sl. 71–77</t>
        </is>
      </c>
      <c r="G41" s="24" t="inlineStr">
        <is>
          <t>L22</t>
        </is>
      </c>
      <c r="H41" s="24" t="n">
        <v>12</v>
      </c>
      <c r="I41" s="24" t="n">
        <v>6</v>
      </c>
      <c r="J41" s="21" t="inlineStr">
        <is>
          <t>★★ Medium</t>
        </is>
      </c>
      <c r="K41" s="24" t="inlineStr">
        <is>
          <t>Proof</t>
        </is>
      </c>
      <c r="L41" s="26" t="inlineStr">
        <is>
          <t>◐ Method</t>
        </is>
      </c>
      <c r="M41" s="6" t="inlineStr">
        <is>
          <t>2008-09 4(b)</t>
        </is>
      </c>
      <c r="N41" s="23" t="b">
        <v>0</v>
      </c>
      <c r="O41" s="24" t="n"/>
      <c r="P41" s="24" t="n"/>
      <c r="Q41" s="6" t="n"/>
    </row>
    <row r="42">
      <c r="A42" s="24" t="n">
        <v>39</v>
      </c>
      <c r="B42" s="24" t="inlineStr">
        <is>
          <t>2008-09</t>
        </is>
      </c>
      <c r="C42" s="24" t="inlineStr">
        <is>
          <t>CSE 211</t>
        </is>
      </c>
      <c r="D42" s="24" t="inlineStr">
        <is>
          <t>4(b)</t>
        </is>
      </c>
      <c r="E42" s="6" t="inlineStr">
        <is>
          <t>Is 'the language accepted by a TM is palindromic' decidable?</t>
        </is>
      </c>
      <c r="F42" s="6" t="inlineStr">
        <is>
          <t>Reductions, Rice, PCP — Lecture 7 Undecidability, sl. 71–77</t>
        </is>
      </c>
      <c r="G42" s="24" t="inlineStr">
        <is>
          <t>L22</t>
        </is>
      </c>
      <c r="H42" s="24" t="n">
        <v>3.33</v>
      </c>
      <c r="I42" s="24" t="n">
        <v>6</v>
      </c>
      <c r="J42" s="21" t="inlineStr">
        <is>
          <t>★★ Medium</t>
        </is>
      </c>
      <c r="K42" s="24" t="inlineStr">
        <is>
          <t>Proof</t>
        </is>
      </c>
      <c r="L42" s="26" t="inlineStr">
        <is>
          <t>◐ Method</t>
        </is>
      </c>
      <c r="M42" s="6" t="inlineStr">
        <is>
          <t>2008-09 4(a)</t>
        </is>
      </c>
      <c r="N42" s="23" t="b">
        <v>0</v>
      </c>
      <c r="O42" s="24" t="n"/>
      <c r="P42" s="24" t="n"/>
      <c r="Q42" s="6" t="n"/>
    </row>
  </sheetData>
  <autoFilter ref="A3:Q42"/>
  <conditionalFormatting sqref="A4:Q42">
    <cfRule type="expression" priority="1" dxfId="0">
      <formula>$N4=TRUE</formula>
    </cfRule>
  </conditionalFormatting>
  <conditionalFormatting sqref="O4:O42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42" showDropDown="0" showInputMessage="0" showErrorMessage="0" allowBlank="1" type="list">
      <formula1>"TRUE,FALSE"</formula1>
    </dataValidation>
    <dataValidation sqref="O4:O42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Lectures 8–9 — P, NP, NP-completeness, PSPACE</t>
        </is>
      </c>
    </row>
    <row r="2">
      <c r="A2" s="2" t="inlineStr">
        <is>
          <t>Note file: CSE211_Atif_Complexity_Notes.docx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2020 (Jan term)</t>
        </is>
      </c>
      <c r="C4" s="19" t="inlineStr">
        <is>
          <t>CSE 211</t>
        </is>
      </c>
      <c r="D4" s="19" t="inlineStr">
        <is>
          <t>1(a)</t>
        </is>
      </c>
      <c r="E4" s="20" t="inlineStr">
        <is>
          <t>Certificate showing Dominating Set is in NP</t>
        </is>
      </c>
      <c r="F4" s="20" t="inlineStr">
        <is>
          <t>P, NP, certificates — Lecture 8 Complexity, sl. 2–8</t>
        </is>
      </c>
      <c r="G4" s="19" t="inlineStr">
        <is>
          <t>L23</t>
        </is>
      </c>
      <c r="H4" s="19" t="n">
        <v>6</v>
      </c>
      <c r="I4" s="19" t="n">
        <v>36</v>
      </c>
      <c r="J4" s="25" t="inlineStr">
        <is>
          <t>★★★ High</t>
        </is>
      </c>
      <c r="K4" s="19" t="inlineStr">
        <is>
          <t>Proof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2023-24</t>
        </is>
      </c>
      <c r="C5" s="24" t="inlineStr">
        <is>
          <t>CSE 211</t>
        </is>
      </c>
      <c r="D5" s="24" t="inlineStr">
        <is>
          <t>13</t>
        </is>
      </c>
      <c r="E5" s="6" t="inlineStr">
        <is>
          <t>Cook's theorem; build the Boolean clause for δ(q,t) = {(q1,t1,R),(q2,t2,L)} with head at cell i, step j</t>
        </is>
      </c>
      <c r="F5" s="6" t="inlineStr">
        <is>
          <t>NP-completeness, SAT, Cook — Lecture 8 Complexity, sl. 9–28</t>
        </is>
      </c>
      <c r="G5" s="24" t="inlineStr">
        <is>
          <t>L24</t>
        </is>
      </c>
      <c r="H5" s="24" t="n">
        <v>15</v>
      </c>
      <c r="I5" s="24" t="inlineStr">
        <is>
          <t>22 batch p.4</t>
        </is>
      </c>
      <c r="J5" s="25" t="inlineStr">
        <is>
          <t>★★★ High</t>
        </is>
      </c>
      <c r="K5" s="24" t="inlineStr">
        <is>
          <t>Theory</t>
        </is>
      </c>
      <c r="L5" s="22" t="inlineStr">
        <is>
          <t>✔ Solved</t>
        </is>
      </c>
      <c r="M5" s="6" t="inlineStr">
        <is>
          <t>2022-23 13(i); 2021-22 12; 2020 (Jan term) 12(a)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2022-23</t>
        </is>
      </c>
      <c r="C6" s="24" t="inlineStr">
        <is>
          <t>CSE 211</t>
        </is>
      </c>
      <c r="D6" s="24" t="inlineStr">
        <is>
          <t>13(i)</t>
        </is>
      </c>
      <c r="E6" s="6" t="inlineStr">
        <is>
          <t>How Cook's theorem shows all of NP reduces to SAT in polynomial time</t>
        </is>
      </c>
      <c r="F6" s="6" t="inlineStr">
        <is>
          <t>NP-completeness, SAT, Cook — Lecture 8 Complexity, sl. 9–28</t>
        </is>
      </c>
      <c r="G6" s="24" t="inlineStr">
        <is>
          <t>L24</t>
        </is>
      </c>
      <c r="H6" s="24" t="n">
        <v>8</v>
      </c>
      <c r="I6" s="24" t="n">
        <v>52</v>
      </c>
      <c r="J6" s="25" t="inlineStr">
        <is>
          <t>★★★ High</t>
        </is>
      </c>
      <c r="K6" s="24" t="inlineStr">
        <is>
          <t>Theory</t>
        </is>
      </c>
      <c r="L6" s="22" t="inlineStr">
        <is>
          <t>✔ Solved</t>
        </is>
      </c>
      <c r="M6" s="6" t="inlineStr">
        <is>
          <t>2023-24 13; 2021-22 12; 2020 (Jan term) 12(a)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2021-22</t>
        </is>
      </c>
      <c r="C7" s="24" t="inlineStr">
        <is>
          <t>CSE 211</t>
        </is>
      </c>
      <c r="D7" s="24" t="inlineStr">
        <is>
          <t>12</t>
        </is>
      </c>
      <c r="E7" s="6" t="inlineStr">
        <is>
          <t>How Cook's theorem reduces all of NP to SAT; why poly algorithm for an NPC problem ⇒ P = NP</t>
        </is>
      </c>
      <c r="F7" s="6" t="inlineStr">
        <is>
          <t>NP-completeness, SAT, Cook — Lecture 8 Complexity, sl. 9–28</t>
        </is>
      </c>
      <c r="G7" s="24" t="inlineStr">
        <is>
          <t>L24</t>
        </is>
      </c>
      <c r="H7" s="24" t="n">
        <v>15</v>
      </c>
      <c r="I7" s="24" t="n">
        <v>48</v>
      </c>
      <c r="J7" s="25" t="inlineStr">
        <is>
          <t>★★★ High</t>
        </is>
      </c>
      <c r="K7" s="24" t="inlineStr">
        <is>
          <t>Theory</t>
        </is>
      </c>
      <c r="L7" s="22" t="inlineStr">
        <is>
          <t>✔ Solved</t>
        </is>
      </c>
      <c r="M7" s="6" t="inlineStr">
        <is>
          <t>2023-24 13; 2022-23 13(i); 2020 (Jan term) 12(a)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2020 (Jan term)</t>
        </is>
      </c>
      <c r="C8" s="24" t="inlineStr">
        <is>
          <t>CSE 211</t>
        </is>
      </c>
      <c r="D8" s="24" t="inlineStr">
        <is>
          <t>12(a)</t>
        </is>
      </c>
      <c r="E8" s="6" t="inlineStr">
        <is>
          <t>State Cook's theorem; why a poly algorithm for an NP-complete problem gives P = NP</t>
        </is>
      </c>
      <c r="F8" s="6" t="inlineStr">
        <is>
          <t>NP-completeness, SAT, Cook — Lecture 8 Complexity, sl. 9–28</t>
        </is>
      </c>
      <c r="G8" s="24" t="inlineStr">
        <is>
          <t>L24</t>
        </is>
      </c>
      <c r="H8" s="24" t="n">
        <v>7</v>
      </c>
      <c r="I8" s="24" t="n">
        <v>39</v>
      </c>
      <c r="J8" s="25" t="inlineStr">
        <is>
          <t>★★★ High</t>
        </is>
      </c>
      <c r="K8" s="24" t="inlineStr">
        <is>
          <t>Theory</t>
        </is>
      </c>
      <c r="L8" s="22" t="inlineStr">
        <is>
          <t>✔ Solved</t>
        </is>
      </c>
      <c r="M8" s="6" t="inlineStr">
        <is>
          <t>2023-24 13; 2022-23 13(i); 2021-22 12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2017-18</t>
        </is>
      </c>
      <c r="C9" s="24" t="inlineStr">
        <is>
          <t>CSE 211</t>
        </is>
      </c>
      <c r="D9" s="24" t="inlineStr">
        <is>
          <t>1(a)</t>
        </is>
      </c>
      <c r="E9" s="6" t="inlineStr">
        <is>
          <t>Define the Boolean satisfiability problem with examples</t>
        </is>
      </c>
      <c r="F9" s="6" t="inlineStr">
        <is>
          <t>NP-completeness, SAT, Cook — Lecture 8 Complexity, sl. 9–28</t>
        </is>
      </c>
      <c r="G9" s="24" t="inlineStr">
        <is>
          <t>L24</t>
        </is>
      </c>
      <c r="H9" s="24" t="n">
        <v>6</v>
      </c>
      <c r="I9" s="24" t="n">
        <v>32</v>
      </c>
      <c r="J9" s="22" t="inlineStr">
        <is>
          <t>★ Low</t>
        </is>
      </c>
      <c r="K9" s="24" t="inlineStr">
        <is>
          <t>Theory</t>
        </is>
      </c>
      <c r="L9" s="22" t="inlineStr">
        <is>
          <t>✔ Solved</t>
        </is>
      </c>
      <c r="M9" s="6" t="inlineStr">
        <is>
          <t>—</t>
        </is>
      </c>
      <c r="N9" s="23" t="b">
        <v>0</v>
      </c>
      <c r="O9" s="24" t="n"/>
      <c r="P9" s="24" t="n"/>
      <c r="Q9" s="6" t="n"/>
    </row>
    <row r="10">
      <c r="A10" s="19" t="n">
        <v>7</v>
      </c>
      <c r="B10" s="19" t="inlineStr">
        <is>
          <t>2017-18</t>
        </is>
      </c>
      <c r="C10" s="19" t="inlineStr">
        <is>
          <t>CSE 211</t>
        </is>
      </c>
      <c r="D10" s="19" t="inlineStr">
        <is>
          <t>1(b)</t>
        </is>
      </c>
      <c r="E10" s="20" t="inlineStr">
        <is>
          <t>Given 3-SAT is NP(-complete), prove graph 3-colourability is NP-complete</t>
        </is>
      </c>
      <c r="F10" s="20" t="inlineStr">
        <is>
          <t>NP-completeness proofs — Lecture 8 Complexity, sl. 29–51 + textbook</t>
        </is>
      </c>
      <c r="G10" s="19" t="inlineStr">
        <is>
          <t>L25</t>
        </is>
      </c>
      <c r="H10" s="19" t="n">
        <v>20</v>
      </c>
      <c r="I10" s="19" t="n">
        <v>32</v>
      </c>
      <c r="J10" s="21" t="inlineStr">
        <is>
          <t>★★ Medium</t>
        </is>
      </c>
      <c r="K10" s="19" t="inlineStr">
        <is>
          <t>Proof</t>
        </is>
      </c>
      <c r="L10" s="22" t="inlineStr">
        <is>
          <t>✔ Solved</t>
        </is>
      </c>
      <c r="M10" s="20" t="inlineStr">
        <is>
          <t>2017-18 1(c); 2017-18 12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2017-18</t>
        </is>
      </c>
      <c r="C11" s="19" t="inlineStr">
        <is>
          <t>CSE 211</t>
        </is>
      </c>
      <c r="D11" s="19" t="inlineStr">
        <is>
          <t>1(c)</t>
        </is>
      </c>
      <c r="E11" s="20" t="inlineStr">
        <is>
          <t>3-colour graph of the reduction for (x1 ∨ ¬x2 ∨ ¬x3) ∧ (x1 ∨ x3 ∨ x4)</t>
        </is>
      </c>
      <c r="F11" s="20" t="inlineStr">
        <is>
          <t>NP-completeness proofs — Lecture 8 Complexity, sl. 29–51 + textbook</t>
        </is>
      </c>
      <c r="G11" s="19" t="inlineStr">
        <is>
          <t>L25</t>
        </is>
      </c>
      <c r="H11" s="19" t="n">
        <v>9</v>
      </c>
      <c r="I11" s="19" t="n">
        <v>32</v>
      </c>
      <c r="J11" s="21" t="inlineStr">
        <is>
          <t>★★ Medium</t>
        </is>
      </c>
      <c r="K11" s="19" t="inlineStr">
        <is>
          <t>Design</t>
        </is>
      </c>
      <c r="L11" s="22" t="inlineStr">
        <is>
          <t>✔ Solved</t>
        </is>
      </c>
      <c r="M11" s="20" t="inlineStr">
        <is>
          <t>2017-18 1(b); 2017-18 12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2017-18</t>
        </is>
      </c>
      <c r="C12" s="19" t="inlineStr">
        <is>
          <t>CSE 211</t>
        </is>
      </c>
      <c r="D12" s="19" t="inlineStr">
        <is>
          <t>12</t>
        </is>
      </c>
      <c r="E12" s="20" t="inlineStr">
        <is>
          <t>Prove subgraph isomorphism is NP-complete</t>
        </is>
      </c>
      <c r="F12" s="20" t="inlineStr">
        <is>
          <t>NP-completeness proofs — Lecture 8 Complexity, sl. 29–51 + textbook</t>
        </is>
      </c>
      <c r="G12" s="19" t="inlineStr">
        <is>
          <t>L25</t>
        </is>
      </c>
      <c r="H12" s="19" t="n">
        <v>15</v>
      </c>
      <c r="I12" s="19" t="n">
        <v>35</v>
      </c>
      <c r="J12" s="21" t="inlineStr">
        <is>
          <t>★★ Medium</t>
        </is>
      </c>
      <c r="K12" s="19" t="inlineStr">
        <is>
          <t>Proof</t>
        </is>
      </c>
      <c r="L12" s="22" t="inlineStr">
        <is>
          <t>✔ Solved</t>
        </is>
      </c>
      <c r="M12" s="20" t="inlineStr">
        <is>
          <t>2017-18 1(b); 2017-18 1(c)</t>
        </is>
      </c>
      <c r="N12" s="23" t="b">
        <v>0</v>
      </c>
      <c r="O12" s="19" t="n"/>
      <c r="P12" s="19" t="n"/>
      <c r="Q12" s="20" t="n"/>
    </row>
    <row r="13">
      <c r="A13" s="24" t="n">
        <v>10</v>
      </c>
      <c r="B13" s="24" t="inlineStr">
        <is>
          <t>2023-24</t>
        </is>
      </c>
      <c r="C13" s="24" t="inlineStr">
        <is>
          <t>CSE 211</t>
        </is>
      </c>
      <c r="D13" s="24" t="inlineStr">
        <is>
          <t>12(i)</t>
        </is>
      </c>
      <c r="E13" s="6" t="inlineStr">
        <is>
          <t>Venn diagram: P, NP, NP-complete, recursive, RE</t>
        </is>
      </c>
      <c r="F13" s="6" t="inlineStr">
        <is>
          <t>PSPACE, Savitch, class relationships — Lecture 9 Space complexity, sl. 2–20</t>
        </is>
      </c>
      <c r="G13" s="24" t="inlineStr">
        <is>
          <t>L26</t>
        </is>
      </c>
      <c r="H13" s="24" t="n">
        <v>8</v>
      </c>
      <c r="I13" s="24" t="inlineStr">
        <is>
          <t>22 batch p.4</t>
        </is>
      </c>
      <c r="J13" s="25" t="inlineStr">
        <is>
          <t>★★★ High</t>
        </is>
      </c>
      <c r="K13" s="24" t="inlineStr">
        <is>
          <t>Theory</t>
        </is>
      </c>
      <c r="L13" s="22" t="inlineStr">
        <is>
          <t>✔ Solved</t>
        </is>
      </c>
      <c r="M13" s="6" t="inlineStr">
        <is>
          <t>2023-24 12(ii); 2022-23 13(ii); 2021-22 13; 2020 (Jan term) 12(b); 2019-20 13; 2017-18 13(a)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2023-24</t>
        </is>
      </c>
      <c r="C14" s="24" t="inlineStr">
        <is>
          <t>CSE 211</t>
        </is>
      </c>
      <c r="D14" s="24" t="inlineStr">
        <is>
          <t>12(ii)</t>
        </is>
      </c>
      <c r="E14" s="6" t="inlineStr">
        <is>
          <t>Relationship between PSPACE and NPSPACE; justify</t>
        </is>
      </c>
      <c r="F14" s="6" t="inlineStr">
        <is>
          <t>PSPACE, Savitch, class relationships — Lecture 9 Space complexity, sl. 2–20</t>
        </is>
      </c>
      <c r="G14" s="24" t="inlineStr">
        <is>
          <t>L26</t>
        </is>
      </c>
      <c r="H14" s="24" t="n">
        <v>7</v>
      </c>
      <c r="I14" s="24" t="inlineStr">
        <is>
          <t>22 batch p.4</t>
        </is>
      </c>
      <c r="J14" s="25" t="inlineStr">
        <is>
          <t>★★★ High</t>
        </is>
      </c>
      <c r="K14" s="24" t="inlineStr">
        <is>
          <t>Theory</t>
        </is>
      </c>
      <c r="L14" s="22" t="inlineStr">
        <is>
          <t>✔ Solved</t>
        </is>
      </c>
      <c r="M14" s="6" t="inlineStr">
        <is>
          <t>2023-24 12(i); 2022-23 13(ii); 2021-22 13; 2020 (Jan term) 12(b); 2019-20 13; 2017-18 13(a)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2022-23</t>
        </is>
      </c>
      <c r="C15" s="24" t="inlineStr">
        <is>
          <t>CSE 211</t>
        </is>
      </c>
      <c r="D15" s="24" t="inlineStr">
        <is>
          <t>13(ii)</t>
        </is>
      </c>
      <c r="E15" s="6" t="inlineStr">
        <is>
          <t>Relationship between PSPACE and NPSPACE; justify</t>
        </is>
      </c>
      <c r="F15" s="6" t="inlineStr">
        <is>
          <t>PSPACE, Savitch, class relationships — Lecture 9 Space complexity, sl. 2–20</t>
        </is>
      </c>
      <c r="G15" s="24" t="inlineStr">
        <is>
          <t>L26</t>
        </is>
      </c>
      <c r="H15" s="24" t="n">
        <v>7</v>
      </c>
      <c r="I15" s="24" t="n">
        <v>52</v>
      </c>
      <c r="J15" s="25" t="inlineStr">
        <is>
          <t>★★★ High</t>
        </is>
      </c>
      <c r="K15" s="24" t="inlineStr">
        <is>
          <t>Theory</t>
        </is>
      </c>
      <c r="L15" s="22" t="inlineStr">
        <is>
          <t>✔ Solved</t>
        </is>
      </c>
      <c r="M15" s="6" t="inlineStr">
        <is>
          <t>2023-24 12(i); 2023-24 12(ii); 2021-22 13; 2020 (Jan term) 12(b); 2019-20 13; 2017-18 13(a)</t>
        </is>
      </c>
      <c r="N15" s="23" t="b">
        <v>0</v>
      </c>
      <c r="O15" s="24" t="n"/>
      <c r="P15" s="24" t="n"/>
      <c r="Q15" s="6" t="n"/>
    </row>
    <row r="16">
      <c r="A16" s="24" t="n">
        <v>13</v>
      </c>
      <c r="B16" s="24" t="inlineStr">
        <is>
          <t>2021-22</t>
        </is>
      </c>
      <c r="C16" s="24" t="inlineStr">
        <is>
          <t>CSE 211</t>
        </is>
      </c>
      <c r="D16" s="24" t="inlineStr">
        <is>
          <t>13</t>
        </is>
      </c>
      <c r="E16" s="6" t="inlineStr">
        <is>
          <t>Believed relationship: P vs NP, P vs PSPACE, PSPACE vs NPSPACE</t>
        </is>
      </c>
      <c r="F16" s="6" t="inlineStr">
        <is>
          <t>PSPACE, Savitch, class relationships — Lecture 9 Space complexity, sl. 2–20</t>
        </is>
      </c>
      <c r="G16" s="24" t="inlineStr">
        <is>
          <t>L26</t>
        </is>
      </c>
      <c r="H16" s="24" t="n">
        <v>15</v>
      </c>
      <c r="I16" s="24" t="n">
        <v>48</v>
      </c>
      <c r="J16" s="25" t="inlineStr">
        <is>
          <t>★★★ High</t>
        </is>
      </c>
      <c r="K16" s="24" t="inlineStr">
        <is>
          <t>Theory</t>
        </is>
      </c>
      <c r="L16" s="22" t="inlineStr">
        <is>
          <t>✔ Solved</t>
        </is>
      </c>
      <c r="M16" s="6" t="inlineStr">
        <is>
          <t>2023-24 12(i); 2023-24 12(ii); 2022-23 13(ii); 2020 (Jan term) 12(b); 2019-20 13; 2017-18 13(a)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2020 (Jan term)</t>
        </is>
      </c>
      <c r="C17" s="24" t="inlineStr">
        <is>
          <t>CSE 211</t>
        </is>
      </c>
      <c r="D17" s="24" t="inlineStr">
        <is>
          <t>12(b)</t>
        </is>
      </c>
      <c r="E17" s="6" t="inlineStr">
        <is>
          <t>Venn diagram of P, NP, PSPACE, NPSPACE, EXPTIME with justification</t>
        </is>
      </c>
      <c r="F17" s="6" t="inlineStr">
        <is>
          <t>PSPACE, Savitch, class relationships — Lecture 9 Space complexity, sl. 2–20</t>
        </is>
      </c>
      <c r="G17" s="24" t="inlineStr">
        <is>
          <t>L26</t>
        </is>
      </c>
      <c r="H17" s="24" t="n">
        <v>8</v>
      </c>
      <c r="I17" s="24" t="n">
        <v>39</v>
      </c>
      <c r="J17" s="25" t="inlineStr">
        <is>
          <t>★★★ High</t>
        </is>
      </c>
      <c r="K17" s="24" t="inlineStr">
        <is>
          <t>Theory</t>
        </is>
      </c>
      <c r="L17" s="22" t="inlineStr">
        <is>
          <t>✔ Solved</t>
        </is>
      </c>
      <c r="M17" s="6" t="inlineStr">
        <is>
          <t>2023-24 12(i); 2023-24 12(ii); 2022-23 13(ii); 2021-22 13; 2019-20 13; 2017-18 13(a)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2019-20</t>
        </is>
      </c>
      <c r="C18" s="24" t="inlineStr">
        <is>
          <t>CSE 211</t>
        </is>
      </c>
      <c r="D18" s="24" t="inlineStr">
        <is>
          <t>13</t>
        </is>
      </c>
      <c r="E18" s="6" t="inlineStr">
        <is>
          <t>T/F: SAT in P ⇒ P = NP; NP ⊇ PSPACE; PSPACE = NPSPACE</t>
        </is>
      </c>
      <c r="F18" s="6" t="inlineStr">
        <is>
          <t>PSPACE, Savitch, class relationships — Lecture 9 Space complexity, sl. 2–20</t>
        </is>
      </c>
      <c r="G18" s="24" t="inlineStr">
        <is>
          <t>L26</t>
        </is>
      </c>
      <c r="H18" s="24" t="n">
        <v>15</v>
      </c>
      <c r="I18" s="24" t="n">
        <v>43</v>
      </c>
      <c r="J18" s="25" t="inlineStr">
        <is>
          <t>★★★ High</t>
        </is>
      </c>
      <c r="K18" s="24" t="inlineStr">
        <is>
          <t>Theory</t>
        </is>
      </c>
      <c r="L18" s="22" t="inlineStr">
        <is>
          <t>✔ Solved</t>
        </is>
      </c>
      <c r="M18" s="6" t="inlineStr">
        <is>
          <t>2023-24 12(i); 2023-24 12(ii); 2022-23 13(ii); 2021-22 13; 2020 (Jan term) 12(b); 2017-18 13(a)</t>
        </is>
      </c>
      <c r="N18" s="23" t="b">
        <v>0</v>
      </c>
      <c r="O18" s="24" t="n"/>
      <c r="P18" s="24" t="n"/>
      <c r="Q18" s="6" t="n"/>
    </row>
    <row r="19">
      <c r="A19" s="24" t="n">
        <v>16</v>
      </c>
      <c r="B19" s="24" t="inlineStr">
        <is>
          <t>2017-18</t>
        </is>
      </c>
      <c r="C19" s="24" t="inlineStr">
        <is>
          <t>CSE 211</t>
        </is>
      </c>
      <c r="D19" s="24" t="inlineStr">
        <is>
          <t>13(a)</t>
        </is>
      </c>
      <c r="E19" s="6" t="inlineStr">
        <is>
          <t>Define P, NP, PSPACE, NPSPACE</t>
        </is>
      </c>
      <c r="F19" s="6" t="inlineStr">
        <is>
          <t>PSPACE, Savitch, class relationships — Lecture 9 Space complexity, sl. 2–20</t>
        </is>
      </c>
      <c r="G19" s="24" t="inlineStr">
        <is>
          <t>L26</t>
        </is>
      </c>
      <c r="H19" s="24" t="n">
        <v>6</v>
      </c>
      <c r="I19" s="24" t="n">
        <v>35</v>
      </c>
      <c r="J19" s="21" t="inlineStr">
        <is>
          <t>★★ Medium</t>
        </is>
      </c>
      <c r="K19" s="24" t="inlineStr">
        <is>
          <t>Theory</t>
        </is>
      </c>
      <c r="L19" s="22" t="inlineStr">
        <is>
          <t>✔ Solved</t>
        </is>
      </c>
      <c r="M19" s="6" t="inlineStr">
        <is>
          <t>2023-24 12(i); 2023-24 12(ii); 2022-23 13(ii); 2021-22 13; 2020 (Jan term) 12(b); 2019-20 13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2017-18</t>
        </is>
      </c>
      <c r="C20" s="24" t="inlineStr">
        <is>
          <t>CSE 211</t>
        </is>
      </c>
      <c r="D20" s="24" t="inlineStr">
        <is>
          <t>13(b)</t>
        </is>
      </c>
      <c r="E20" s="6" t="inlineStr">
        <is>
          <t>Believed relationship: P vs NP, PSPACE vs NPSPACE, NP vs PSPACE</t>
        </is>
      </c>
      <c r="F20" s="6" t="inlineStr">
        <is>
          <t>PSPACE, Savitch, class relationships — Lecture 9 Space complexity, sl. 2–20</t>
        </is>
      </c>
      <c r="G20" s="24" t="inlineStr">
        <is>
          <t>L26</t>
        </is>
      </c>
      <c r="H20" s="24" t="n">
        <v>9</v>
      </c>
      <c r="I20" s="24" t="n">
        <v>35</v>
      </c>
      <c r="J20" s="21" t="inlineStr">
        <is>
          <t>★★ Medium</t>
        </is>
      </c>
      <c r="K20" s="24" t="inlineStr">
        <is>
          <t>Theory</t>
        </is>
      </c>
      <c r="L20" s="22" t="inlineStr">
        <is>
          <t>✔ Solved</t>
        </is>
      </c>
      <c r="M20" s="6" t="inlineStr">
        <is>
          <t>2023-24 12(i); 2023-24 12(ii); 2022-23 13(ii); 2021-22 13; 2020 (Jan term) 12(b); 2019-20 13</t>
        </is>
      </c>
      <c r="N20" s="23" t="b">
        <v>0</v>
      </c>
      <c r="O20" s="24" t="n"/>
      <c r="P20" s="24" t="n"/>
      <c r="Q20" s="6" t="n"/>
    </row>
  </sheetData>
  <autoFilter ref="A3:Q20"/>
  <conditionalFormatting sqref="A4:Q20">
    <cfRule type="expression" priority="1" dxfId="0">
      <formula>$N4=TRUE</formula>
    </cfRule>
  </conditionalFormatting>
  <conditionalFormatting sqref="O4:O20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20" showDropDown="0" showInputMessage="0" showErrorMessage="0" allowBlank="1" type="list">
      <formula1>"TRUE,FALSE"</formula1>
    </dataValidation>
    <dataValidation sqref="O4:O20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34" customWidth="1" min="6" max="6"/>
    <col width="7" customWidth="1" min="7" max="7"/>
    <col width="8" customWidth="1" min="8" max="8"/>
    <col width="7" customWidth="1" min="9" max="9"/>
    <col width="32" customWidth="1" min="10" max="10"/>
  </cols>
  <sheetData>
    <row r="1">
      <c r="A1" s="18" t="inlineStr">
        <is>
          <t>Atif-section questions on topics NOT in the current slides</t>
        </is>
      </c>
    </row>
    <row r="2">
      <c r="A2" s="2" t="inlineStr">
        <is>
          <t>Mostly older papers. Ask sir/ma'am whether these topics are in this term's syllabus before practising them.</t>
        </is>
      </c>
    </row>
    <row r="3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Area</t>
        </is>
      </c>
      <c r="G3" s="7" t="inlineStr">
        <is>
          <t>Marks</t>
        </is>
      </c>
      <c r="H3" s="7" t="inlineStr">
        <is>
          <t>TF Page</t>
        </is>
      </c>
      <c r="I3" s="7" t="inlineStr">
        <is>
          <t>Done</t>
        </is>
      </c>
      <c r="J3" s="7" t="inlineStr">
        <is>
          <t>My Notes</t>
        </is>
      </c>
    </row>
    <row r="4">
      <c r="A4" s="24" t="n">
        <v>1</v>
      </c>
      <c r="B4" s="24" t="inlineStr">
        <is>
          <t>2010-11</t>
        </is>
      </c>
      <c r="C4" s="24" t="inlineStr">
        <is>
          <t>CSE 211</t>
        </is>
      </c>
      <c r="D4" s="24" t="inlineStr">
        <is>
          <t>12(b)</t>
        </is>
      </c>
      <c r="E4" s="6" t="inlineStr">
        <is>
          <t>What does the machine schema &gt;R(a≠⊔)R(b≠⊔)R⊔aR⊔b do? Do LR and RL always behave the same?</t>
        </is>
      </c>
      <c r="F4" s="6" t="inlineStr">
        <is>
          <t>Lewis–Papadimitriou machine-schema notation (not in slides)</t>
        </is>
      </c>
      <c r="G4" s="24" t="n">
        <v>3</v>
      </c>
      <c r="H4" s="24" t="n">
        <v>13</v>
      </c>
      <c r="I4" s="23" t="b">
        <v>0</v>
      </c>
      <c r="J4" s="6" t="n"/>
    </row>
  </sheetData>
  <autoFilter ref="A3:J4"/>
  <conditionalFormatting sqref="A4:J4">
    <cfRule type="expression" priority="1" dxfId="3">
      <formula>$I4=TRUE</formula>
    </cfRule>
  </conditionalFormatting>
  <dataValidations count="1">
    <dataValidation sqref="I4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2026-10-21T15:40:34Z</dcterms:created>
  <dcterms:modified xmlns:dcterms="http://purl.org/dc/terms/" xmlns:xsi="http://www.w3.org/2001/XMLSchema-instance" xsi:type="dcterms:W3CDTF">2026-10-21T15:40:34Z</dcterms:modified>
</cp:coreProperties>
</file>