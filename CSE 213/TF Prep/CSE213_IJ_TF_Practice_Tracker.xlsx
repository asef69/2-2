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1 Structural Patterns" sheetId="3" state="visible" r:id="rId3"/>
    <sheet xmlns:r="http://schemas.openxmlformats.org/officeDocument/2006/relationships" name="2 Behavioral Patterns" sheetId="4" state="visible" r:id="rId4"/>
    <sheet xmlns:r="http://schemas.openxmlformats.org/officeDocument/2006/relationships" name="3 Process + Agile" sheetId="5" state="visible" r:id="rId5"/>
    <sheet xmlns:r="http://schemas.openxmlformats.org/officeDocument/2006/relationships" name="4 Unit Testing + Review" sheetId="6" state="visible" r:id="rId6"/>
    <sheet xmlns:r="http://schemas.openxmlformats.org/officeDocument/2006/relationships" name="5 Refactoring" sheetId="7" state="visible" r:id="rId7"/>
    <sheet xmlns:r="http://schemas.openxmlformats.org/officeDocument/2006/relationships" name="6 Ethics + Requirements" sheetId="8" state="visible" r:id="rId8"/>
    <sheet xmlns:r="http://schemas.openxmlformats.org/officeDocument/2006/relationships" name="Outside Notes" sheetId="9" state="visible" r:id="rId9"/>
  </sheets>
  <definedNames>
    <definedName name="_xlnm._FilterDatabase" localSheetId="2" hidden="1">'1 Structural Patterns'!$A$3:$Q$14</definedName>
    <definedName name="_xlnm._FilterDatabase" localSheetId="3" hidden="1">'2 Behavioral Patterns'!$A$3:$Q$21</definedName>
    <definedName name="_xlnm._FilterDatabase" localSheetId="4" hidden="1">'3 Process + Agile'!$A$3:$Q$43</definedName>
    <definedName name="_xlnm._FilterDatabase" localSheetId="5" hidden="1">'4 Unit Testing + Review'!$A$3:$Q$19</definedName>
    <definedName name="_xlnm._FilterDatabase" localSheetId="6" hidden="1">'5 Refactoring'!$A$3:$Q$12</definedName>
    <definedName name="_xlnm._FilterDatabase" localSheetId="7" hidden="1">'6 Ethics + Requirements'!$A$3:$Q$19</definedName>
    <definedName name="_xlnm._FilterDatabase" localSheetId="8" hidden="1">'Outside Notes'!$A$3:$J$104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  <color rgb="001F3864"/>
      <sz val="16"/>
    </font>
    <font>
      <b val="1"/>
    </font>
    <font>
      <b val="1"/>
      <color rgb="001F3864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/>
    </xf>
    <xf numFmtId="9" fontId="5" fillId="9" borderId="1" applyAlignment="1" pivotButton="0" quotePrefix="0" xfId="0">
      <alignment horizontal="center"/>
    </xf>
    <xf numFmtId="0" fontId="6" fillId="0" borderId="0" pivotButton="0" quotePrefix="0" xfId="0"/>
    <xf numFmtId="0" fontId="0" fillId="10" borderId="1" applyAlignment="1" pivotButton="0" quotePrefix="0" xfId="0">
      <alignment horizontal="center"/>
    </xf>
    <xf numFmtId="9" fontId="0" fillId="1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" fillId="0" borderId="0" pivotButton="0" quotePrefix="0" xfId="0"/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2">
      <c r="B2" s="1" t="inlineStr">
        <is>
          <t>CSE 213 (IJ Mam part) — TF Practice Tracker</t>
        </is>
      </c>
    </row>
    <row r="3">
      <c r="B3" s="2" t="inlineStr">
        <is>
          <t>Every IJ-part question in CSE 213 All Past Papers.pdf, mapped to the note file and lesson that teaches it.</t>
        </is>
      </c>
    </row>
    <row r="5">
      <c r="B5" s="3" t="inlineStr">
        <is>
          <t>Workflow — after you finish a note file</t>
        </is>
      </c>
      <c r="C5" s="4" t="n"/>
    </row>
    <row r="6">
      <c r="B6" s="5" t="inlineStr">
        <is>
          <t>1. Open its tab</t>
        </is>
      </c>
      <c r="C6" s="6" t="inlineStr">
        <is>
          <t>Tabs 1–6 follow the order of your note files. Q No. runs lesson by lesson, newest year first inside each lesson.</t>
        </is>
      </c>
    </row>
    <row r="7">
      <c r="B7" s="5" t="inlineStr">
        <is>
          <t>2. Filter</t>
        </is>
      </c>
      <c r="C7" s="6" t="inlineStr">
        <is>
          <t>Use the filter arrow on Priority → ★★★ High first (2019-20 onward). Then ★★ Medium, then ★ Low.</t>
        </is>
      </c>
    </row>
    <row r="8">
      <c r="B8" s="5" t="inlineStr">
        <is>
          <t>3. Solve</t>
        </is>
      </c>
      <c r="C8" s="6" t="inlineStr">
        <is>
          <t>Open CSE 213 All Past Papers.pdf at the TF Page shown. Solve on paper under exam time (≈1.5 min per mark). Do not read the note solution first.</t>
        </is>
      </c>
    </row>
    <row r="9">
      <c r="B9" s="5" t="inlineStr">
        <is>
          <t>4. Check</t>
        </is>
      </c>
      <c r="C9" s="6" t="inlineStr">
        <is>
          <t>In Notes tells you what the note has: ✔ Solved = same question worked out; ◐ Method = method / model answer you can apply; ○ Partly = notes cover most of it, finish the rest yourself.</t>
        </is>
      </c>
    </row>
    <row r="10">
      <c r="B10" s="5" t="inlineStr">
        <is>
          <t>5. Record</t>
        </is>
      </c>
      <c r="C10" s="6" t="inlineStr">
        <is>
          <t>Tick Done, pick Confidence, add the Date. Write mistakes in My Notes. Re-solve every 'Weak' row before the exam.</t>
        </is>
      </c>
    </row>
    <row r="11">
      <c r="B11" s="5" t="inlineStr">
        <is>
          <t>6. Repeats</t>
        </is>
      </c>
      <c r="C11" s="6" t="inlineStr">
        <is>
          <t>'Same Type Also In' lists other papers with the same question type. Solve one, then try a repeat cold — that is the real test.</t>
        </is>
      </c>
    </row>
    <row r="13">
      <c r="B13" s="3" t="inlineStr">
        <is>
          <t>Columns you edit (all others are fixed data)</t>
        </is>
      </c>
      <c r="C13" s="4" t="n"/>
    </row>
    <row r="14">
      <c r="B14" s="5" t="inlineStr">
        <is>
          <t>Done (col N)</t>
        </is>
      </c>
      <c r="C14" s="6" t="inlineStr">
        <is>
          <t>TRUE / FALSE. In Google Sheets: select N4 downward → Insert → Checkbox. The values stay; ticking turns the row green.</t>
        </is>
      </c>
    </row>
    <row r="15">
      <c r="B15" s="5" t="inlineStr">
        <is>
          <t>Confidence (col O)</t>
        </is>
      </c>
      <c r="C15" s="6" t="inlineStr">
        <is>
          <t>Dropdown: Weak / OK / Strong. Weak rows turn the cell red.</t>
        </is>
      </c>
    </row>
    <row r="16">
      <c r="B16" s="5" t="inlineStr">
        <is>
          <t>Date (col P)</t>
        </is>
      </c>
      <c r="C16" s="6" t="inlineStr">
        <is>
          <t>Date you solved it, e.g. 16-Oct-2026.</t>
        </is>
      </c>
    </row>
    <row r="17">
      <c r="B17" s="5" t="inlineStr">
        <is>
          <t>My Notes (col Q)</t>
        </is>
      </c>
      <c r="C17" s="6" t="inlineStr">
        <is>
          <t>Mistakes, missing steps, formula you forgot.</t>
        </is>
      </c>
    </row>
    <row r="19">
      <c r="B19" s="3" t="inlineStr">
        <is>
          <t>Legend</t>
        </is>
      </c>
      <c r="C19" s="4" t="n"/>
    </row>
    <row r="20">
      <c r="B20" s="5" t="inlineStr">
        <is>
          <t>★★★ High</t>
        </is>
      </c>
      <c r="C20" s="6" t="inlineStr">
        <is>
          <t>Asked in 2019-20 or later (most important — current question style).</t>
        </is>
      </c>
    </row>
    <row r="21">
      <c r="B21" s="5" t="inlineStr">
        <is>
          <t>★★ Medium</t>
        </is>
      </c>
      <c r="C21" s="6" t="inlineStr">
        <is>
          <t>Older paper, but the same question type appears at least twice in TF.</t>
        </is>
      </c>
    </row>
    <row r="22">
      <c r="B22" s="5" t="inlineStr">
        <is>
          <t>★ Low</t>
        </is>
      </c>
      <c r="C22" s="6" t="inlineStr">
        <is>
          <t>Older paper, asked once.</t>
        </is>
      </c>
    </row>
    <row r="23">
      <c r="B23" s="5" t="inlineStr">
        <is>
          <t>Type</t>
        </is>
      </c>
      <c r="C23" s="6" t="inlineStr">
        <is>
          <t>Numerical = calculation · Trace = tables / step-by-step simulation · Design = construct / draw · Proof = prove / disprove · Theory = explain.</t>
        </is>
      </c>
    </row>
    <row r="24">
      <c r="B24" s="5" t="inlineStr">
        <is>
          <t>Course</t>
        </is>
      </c>
      <c r="C24" s="6" t="inlineStr">
        <is>
          <t>CSE 213 = current code (2023-24 onward); CSE 307 = old L-3/T-1 code for the same course. '2024-25' = the 22-batch paper (exam 10/05/2026, header says 2023-2024), separate file 'CSE 213 (22 batch).pdf' → TF Page '22 batch p.N'.</t>
        </is>
      </c>
    </row>
    <row r="25">
      <c r="B25" s="5" t="inlineStr">
        <is>
          <t>Topic</t>
        </is>
      </c>
      <c r="C25" s="6" t="inlineStr">
        <is>
          <t>Note lesson title — slide PDF and slide numbers.</t>
        </is>
      </c>
    </row>
    <row r="26">
      <c r="B26" s="5" t="inlineStr">
        <is>
          <t>Outside Notes tab</t>
        </is>
      </c>
      <c r="C26" s="6" t="inlineStr">
        <is>
          <t>IJ-section questions from older papers on topics not in the current slides. Check with your teacher before spending time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" customWidth="1" min="3" max="3"/>
    <col width="8" customWidth="1" min="4" max="4"/>
    <col width="9" customWidth="1" min="5" max="5"/>
    <col width="12" customWidth="1" min="6" max="6"/>
    <col width="11" customWidth="1" min="7" max="7"/>
    <col width="14" customWidth="1" min="8" max="8"/>
    <col width="7" customWidth="1" min="9" max="9"/>
    <col width="46" customWidth="1" min="10" max="10"/>
  </cols>
  <sheetData>
    <row r="1">
      <c r="A1" s="1" t="inlineStr">
        <is>
          <t>Progress Dashboard</t>
        </is>
      </c>
    </row>
    <row r="2">
      <c r="A2" s="2" t="inlineStr">
        <is>
          <t>Updates automatically when you tick Done / set Confidence in tabs 1–6.</t>
        </is>
      </c>
    </row>
    <row r="4">
      <c r="A4" s="7" t="inlineStr">
        <is>
          <t>#</t>
        </is>
      </c>
      <c r="B4" s="7" t="inlineStr">
        <is>
          <t>Note file (tab)</t>
        </is>
      </c>
      <c r="C4" s="7" t="inlineStr">
        <is>
          <t>Questions</t>
        </is>
      </c>
      <c r="D4" s="7" t="inlineStr">
        <is>
          <t>Done</t>
        </is>
      </c>
      <c r="E4" s="7" t="inlineStr">
        <is>
          <t>% Done</t>
        </is>
      </c>
      <c r="F4" s="7" t="inlineStr">
        <is>
          <t>Marks (total)</t>
        </is>
      </c>
      <c r="G4" s="7" t="inlineStr">
        <is>
          <t>Marks done</t>
        </is>
      </c>
      <c r="H4" s="7" t="inlineStr">
        <is>
          <t>High-priority left</t>
        </is>
      </c>
      <c r="I4" s="7" t="inlineStr">
        <is>
          <t>Weak</t>
        </is>
      </c>
      <c r="J4" s="7" t="inlineStr">
        <is>
          <t>Next unsolved (top of tab)</t>
        </is>
      </c>
    </row>
    <row r="5">
      <c r="A5" s="8" t="n">
        <v>1</v>
      </c>
      <c r="B5" s="9" t="inlineStr">
        <is>
          <t>1 Structural Patterns</t>
        </is>
      </c>
      <c r="C5" s="8">
        <f>COUNTA('1 Structural Patterns'!$E$4:$E$14)</f>
        <v/>
      </c>
      <c r="D5" s="8">
        <f>COUNTIF('1 Structural Patterns'!$N$4:$N$14,TRUE())</f>
        <v/>
      </c>
      <c r="E5" s="10">
        <f>IF(C5=0,0,D5/C5)</f>
        <v/>
      </c>
      <c r="F5" s="8">
        <f>SUM('1 Structural Patterns'!$H$4:$H$14)</f>
        <v/>
      </c>
      <c r="G5" s="8">
        <f>SUMIF('1 Structural Patterns'!$N$4:$N$14,TRUE(),'1 Structural Patterns'!$H$4:$H$14)</f>
        <v/>
      </c>
      <c r="H5" s="8">
        <f>COUNTIFS('1 Structural Patterns'!$J$4:$J$14,"★★★ High",'1 Structural Patterns'!$N$4:$N$14,FALSE())</f>
        <v/>
      </c>
      <c r="I5" s="8">
        <f>COUNTIF('1 Structural Patterns'!$O$4:$O$14,"Weak")</f>
        <v/>
      </c>
      <c r="J5" s="9">
        <f>IFERROR("Q"&amp;INDEX('1 Structural Patterns'!$A$4:$A$14,MATCH(FALSE(),'1 Structural Patterns'!$N$4:$N$14,0))&amp;" · "&amp;INDEX('1 Structural Patterns'!$B$4:$B$14,MATCH(FALSE(),'1 Structural Patterns'!$N$4:$N$14,0))&amp;" "&amp;INDEX('1 Structural Patterns'!$D$4:$D$14,MATCH(FALSE(),'1 Structural Patterns'!$N$4:$N$14,0))&amp;" · TF p."&amp;INDEX('1 Structural Patterns'!$I$4:$I$14,MATCH(FALSE(),'1 Structural Patterns'!$N$4:$N$14,0)),"All done ✔")</f>
        <v/>
      </c>
    </row>
    <row r="6">
      <c r="A6" s="8" t="n">
        <v>2</v>
      </c>
      <c r="B6" s="9" t="inlineStr">
        <is>
          <t>2 Behavioral Patterns</t>
        </is>
      </c>
      <c r="C6" s="8">
        <f>COUNTA('2 Behavioral Patterns'!$E$4:$E$21)</f>
        <v/>
      </c>
      <c r="D6" s="8">
        <f>COUNTIF('2 Behavioral Patterns'!$N$4:$N$21,TRUE())</f>
        <v/>
      </c>
      <c r="E6" s="10">
        <f>IF(C6=0,0,D6/C6)</f>
        <v/>
      </c>
      <c r="F6" s="8">
        <f>SUM('2 Behavioral Patterns'!$H$4:$H$21)</f>
        <v/>
      </c>
      <c r="G6" s="8">
        <f>SUMIF('2 Behavioral Patterns'!$N$4:$N$21,TRUE(),'2 Behavioral Patterns'!$H$4:$H$21)</f>
        <v/>
      </c>
      <c r="H6" s="8">
        <f>COUNTIFS('2 Behavioral Patterns'!$J$4:$J$21,"★★★ High",'2 Behavioral Patterns'!$N$4:$N$21,FALSE())</f>
        <v/>
      </c>
      <c r="I6" s="8">
        <f>COUNTIF('2 Behavioral Patterns'!$O$4:$O$21,"Weak")</f>
        <v/>
      </c>
      <c r="J6" s="9">
        <f>IFERROR("Q"&amp;INDEX('2 Behavioral Patterns'!$A$4:$A$21,MATCH(FALSE(),'2 Behavioral Patterns'!$N$4:$N$21,0))&amp;" · "&amp;INDEX('2 Behavioral Patterns'!$B$4:$B$21,MATCH(FALSE(),'2 Behavioral Patterns'!$N$4:$N$21,0))&amp;" "&amp;INDEX('2 Behavioral Patterns'!$D$4:$D$21,MATCH(FALSE(),'2 Behavioral Patterns'!$N$4:$N$21,0))&amp;" · TF p."&amp;INDEX('2 Behavioral Patterns'!$I$4:$I$21,MATCH(FALSE(),'2 Behavioral Patterns'!$N$4:$N$21,0)),"All done ✔")</f>
        <v/>
      </c>
    </row>
    <row r="7">
      <c r="A7" s="8" t="n">
        <v>3</v>
      </c>
      <c r="B7" s="9" t="inlineStr">
        <is>
          <t>3 Process + Agile</t>
        </is>
      </c>
      <c r="C7" s="8">
        <f>COUNTA('3 Process + Agile'!$E$4:$E$43)</f>
        <v/>
      </c>
      <c r="D7" s="8">
        <f>COUNTIF('3 Process + Agile'!$N$4:$N$43,TRUE())</f>
        <v/>
      </c>
      <c r="E7" s="10">
        <f>IF(C7=0,0,D7/C7)</f>
        <v/>
      </c>
      <c r="F7" s="8">
        <f>SUM('3 Process + Agile'!$H$4:$H$43)</f>
        <v/>
      </c>
      <c r="G7" s="8">
        <f>SUMIF('3 Process + Agile'!$N$4:$N$43,TRUE(),'3 Process + Agile'!$H$4:$H$43)</f>
        <v/>
      </c>
      <c r="H7" s="8">
        <f>COUNTIFS('3 Process + Agile'!$J$4:$J$43,"★★★ High",'3 Process + Agile'!$N$4:$N$43,FALSE())</f>
        <v/>
      </c>
      <c r="I7" s="8">
        <f>COUNTIF('3 Process + Agile'!$O$4:$O$43,"Weak")</f>
        <v/>
      </c>
      <c r="J7" s="9">
        <f>IFERROR("Q"&amp;INDEX('3 Process + Agile'!$A$4:$A$43,MATCH(FALSE(),'3 Process + Agile'!$N$4:$N$43,0))&amp;" · "&amp;INDEX('3 Process + Agile'!$B$4:$B$43,MATCH(FALSE(),'3 Process + Agile'!$N$4:$N$43,0))&amp;" "&amp;INDEX('3 Process + Agile'!$D$4:$D$43,MATCH(FALSE(),'3 Process + Agile'!$N$4:$N$43,0))&amp;" · TF p."&amp;INDEX('3 Process + Agile'!$I$4:$I$43,MATCH(FALSE(),'3 Process + Agile'!$N$4:$N$43,0)),"All done ✔")</f>
        <v/>
      </c>
    </row>
    <row r="8">
      <c r="A8" s="8" t="n">
        <v>4</v>
      </c>
      <c r="B8" s="9" t="inlineStr">
        <is>
          <t>4 Unit Testing + Review</t>
        </is>
      </c>
      <c r="C8" s="8">
        <f>COUNTA('4 Unit Testing + Review'!$E$4:$E$19)</f>
        <v/>
      </c>
      <c r="D8" s="8">
        <f>COUNTIF('4 Unit Testing + Review'!$N$4:$N$19,TRUE())</f>
        <v/>
      </c>
      <c r="E8" s="10">
        <f>IF(C8=0,0,D8/C8)</f>
        <v/>
      </c>
      <c r="F8" s="8">
        <f>SUM('4 Unit Testing + Review'!$H$4:$H$19)</f>
        <v/>
      </c>
      <c r="G8" s="8">
        <f>SUMIF('4 Unit Testing + Review'!$N$4:$N$19,TRUE(),'4 Unit Testing + Review'!$H$4:$H$19)</f>
        <v/>
      </c>
      <c r="H8" s="8">
        <f>COUNTIFS('4 Unit Testing + Review'!$J$4:$J$19,"★★★ High",'4 Unit Testing + Review'!$N$4:$N$19,FALSE())</f>
        <v/>
      </c>
      <c r="I8" s="8">
        <f>COUNTIF('4 Unit Testing + Review'!$O$4:$O$19,"Weak")</f>
        <v/>
      </c>
      <c r="J8" s="9">
        <f>IFERROR("Q"&amp;INDEX('4 Unit Testing + Review'!$A$4:$A$19,MATCH(FALSE(),'4 Unit Testing + Review'!$N$4:$N$19,0))&amp;" · "&amp;INDEX('4 Unit Testing + Review'!$B$4:$B$19,MATCH(FALSE(),'4 Unit Testing + Review'!$N$4:$N$19,0))&amp;" "&amp;INDEX('4 Unit Testing + Review'!$D$4:$D$19,MATCH(FALSE(),'4 Unit Testing + Review'!$N$4:$N$19,0))&amp;" · TF p."&amp;INDEX('4 Unit Testing + Review'!$I$4:$I$19,MATCH(FALSE(),'4 Unit Testing + Review'!$N$4:$N$19,0)),"All done ✔")</f>
        <v/>
      </c>
    </row>
    <row r="9">
      <c r="A9" s="8" t="n">
        <v>5</v>
      </c>
      <c r="B9" s="9" t="inlineStr">
        <is>
          <t>5 Refactoring</t>
        </is>
      </c>
      <c r="C9" s="8">
        <f>COUNTA('5 Refactoring'!$E$4:$E$12)</f>
        <v/>
      </c>
      <c r="D9" s="8">
        <f>COUNTIF('5 Refactoring'!$N$4:$N$12,TRUE())</f>
        <v/>
      </c>
      <c r="E9" s="10">
        <f>IF(C9=0,0,D9/C9)</f>
        <v/>
      </c>
      <c r="F9" s="8">
        <f>SUM('5 Refactoring'!$H$4:$H$12)</f>
        <v/>
      </c>
      <c r="G9" s="8">
        <f>SUMIF('5 Refactoring'!$N$4:$N$12,TRUE(),'5 Refactoring'!$H$4:$H$12)</f>
        <v/>
      </c>
      <c r="H9" s="8">
        <f>COUNTIFS('5 Refactoring'!$J$4:$J$12,"★★★ High",'5 Refactoring'!$N$4:$N$12,FALSE())</f>
        <v/>
      </c>
      <c r="I9" s="8">
        <f>COUNTIF('5 Refactoring'!$O$4:$O$12,"Weak")</f>
        <v/>
      </c>
      <c r="J9" s="9">
        <f>IFERROR("Q"&amp;INDEX('5 Refactoring'!$A$4:$A$12,MATCH(FALSE(),'5 Refactoring'!$N$4:$N$12,0))&amp;" · "&amp;INDEX('5 Refactoring'!$B$4:$B$12,MATCH(FALSE(),'5 Refactoring'!$N$4:$N$12,0))&amp;" "&amp;INDEX('5 Refactoring'!$D$4:$D$12,MATCH(FALSE(),'5 Refactoring'!$N$4:$N$12,0))&amp;" · TF p."&amp;INDEX('5 Refactoring'!$I$4:$I$12,MATCH(FALSE(),'5 Refactoring'!$N$4:$N$12,0)),"All done ✔")</f>
        <v/>
      </c>
    </row>
    <row r="10">
      <c r="A10" s="8" t="n">
        <v>6</v>
      </c>
      <c r="B10" s="9" t="inlineStr">
        <is>
          <t>6 Ethics + Requirements</t>
        </is>
      </c>
      <c r="C10" s="8">
        <f>COUNTA('6 Ethics + Requirements'!$E$4:$E$19)</f>
        <v/>
      </c>
      <c r="D10" s="8">
        <f>COUNTIF('6 Ethics + Requirements'!$N$4:$N$19,TRUE())</f>
        <v/>
      </c>
      <c r="E10" s="10">
        <f>IF(C10=0,0,D10/C10)</f>
        <v/>
      </c>
      <c r="F10" s="8">
        <f>SUM('6 Ethics + Requirements'!$H$4:$H$19)</f>
        <v/>
      </c>
      <c r="G10" s="8">
        <f>SUMIF('6 Ethics + Requirements'!$N$4:$N$19,TRUE(),'6 Ethics + Requirements'!$H$4:$H$19)</f>
        <v/>
      </c>
      <c r="H10" s="8">
        <f>COUNTIFS('6 Ethics + Requirements'!$J$4:$J$19,"★★★ High",'6 Ethics + Requirements'!$N$4:$N$19,FALSE())</f>
        <v/>
      </c>
      <c r="I10" s="8">
        <f>COUNTIF('6 Ethics + Requirements'!$O$4:$O$19,"Weak")</f>
        <v/>
      </c>
      <c r="J10" s="9">
        <f>IFERROR("Q"&amp;INDEX('6 Ethics + Requirements'!$A$4:$A$19,MATCH(FALSE(),'6 Ethics + Requirements'!$N$4:$N$19,0))&amp;" · "&amp;INDEX('6 Ethics + Requirements'!$B$4:$B$19,MATCH(FALSE(),'6 Ethics + Requirements'!$N$4:$N$19,0))&amp;" "&amp;INDEX('6 Ethics + Requirements'!$D$4:$D$19,MATCH(FALSE(),'6 Ethics + Requirements'!$N$4:$N$19,0))&amp;" · TF p."&amp;INDEX('6 Ethics + Requirements'!$I$4:$I$19,MATCH(FALSE(),'6 Ethics + Requirements'!$N$4:$N$19,0)),"All done ✔")</f>
        <v/>
      </c>
    </row>
    <row r="11">
      <c r="B11" s="11" t="inlineStr">
        <is>
          <t>TOTAL</t>
        </is>
      </c>
      <c r="C11" s="11">
        <f>SUM(C5:C10)</f>
        <v/>
      </c>
      <c r="D11" s="11">
        <f>SUM(D5:D10)</f>
        <v/>
      </c>
      <c r="E11" s="12">
        <f>IF(C11=0,0,D11/C11)</f>
        <v/>
      </c>
      <c r="F11" s="11">
        <f>SUM(F5:F10)</f>
        <v/>
      </c>
      <c r="G11" s="11">
        <f>SUM(G5:G10)</f>
        <v/>
      </c>
      <c r="H11" s="11">
        <f>SUM(H5:H10)</f>
        <v/>
      </c>
      <c r="I11" s="11">
        <f>SUM(I5:I10)</f>
        <v/>
      </c>
    </row>
    <row r="13">
      <c r="A13" s="13" t="inlineStr">
        <is>
          <t>Questions by year (tabs 1–6)</t>
        </is>
      </c>
    </row>
    <row r="14">
      <c r="A14" s="7" t="inlineStr">
        <is>
          <t>#</t>
        </is>
      </c>
      <c r="B14" s="7" t="inlineStr">
        <is>
          <t>Year</t>
        </is>
      </c>
      <c r="C14" s="7" t="inlineStr">
        <is>
          <t>Questions</t>
        </is>
      </c>
      <c r="D14" s="7" t="inlineStr">
        <is>
          <t>Done</t>
        </is>
      </c>
      <c r="E14" s="7" t="inlineStr">
        <is>
          <t>% Done</t>
        </is>
      </c>
      <c r="F14" s="7" t="inlineStr">
        <is>
          <t>Marks (total)</t>
        </is>
      </c>
    </row>
    <row r="15">
      <c r="A15" s="14" t="n">
        <v>1</v>
      </c>
      <c r="B15" s="14" t="inlineStr">
        <is>
          <t>2024-25</t>
        </is>
      </c>
      <c r="C15" s="14">
        <f>COUNTIF('1 Structural Patterns'!$B$4:$B$14,$B15)+COUNTIF('2 Behavioral Patterns'!$B$4:$B$21,$B15)+COUNTIF('3 Process + Agile'!$B$4:$B$43,$B15)+COUNTIF('4 Unit Testing + Review'!$B$4:$B$19,$B15)+COUNTIF('5 Refactoring'!$B$4:$B$12,$B15)+COUNTIF('6 Ethics + Requirements'!$B$4:$B$19,$B15)</f>
        <v/>
      </c>
      <c r="D15" s="14">
        <f>COUNTIFS('1 Structural Patterns'!$B$4:$B$14,$B15,'1 Structural Patterns'!$N$4:$N$14,TRUE())+COUNTIFS('2 Behavioral Patterns'!$B$4:$B$21,$B15,'2 Behavioral Patterns'!$N$4:$N$21,TRUE())+COUNTIFS('3 Process + Agile'!$B$4:$B$43,$B15,'3 Process + Agile'!$N$4:$N$43,TRUE())+COUNTIFS('4 Unit Testing + Review'!$B$4:$B$19,$B15,'4 Unit Testing + Review'!$N$4:$N$19,TRUE())+COUNTIFS('5 Refactoring'!$B$4:$B$12,$B15,'5 Refactoring'!$N$4:$N$12,TRUE())+COUNTIFS('6 Ethics + Requirements'!$B$4:$B$19,$B15,'6 Ethics + Requirements'!$N$4:$N$19,TRUE())</f>
        <v/>
      </c>
      <c r="E15" s="15">
        <f>IF(C15=0,0,D15/C15)</f>
        <v/>
      </c>
      <c r="F15" s="14">
        <f>SUMIF('1 Structural Patterns'!$B$4:$B$14,$B15,'1 Structural Patterns'!$H$4:$H$14)+SUMIF('2 Behavioral Patterns'!$B$4:$B$21,$B15,'2 Behavioral Patterns'!$H$4:$H$21)+SUMIF('3 Process + Agile'!$B$4:$B$43,$B15,'3 Process + Agile'!$H$4:$H$43)+SUMIF('4 Unit Testing + Review'!$B$4:$B$19,$B15,'4 Unit Testing + Review'!$H$4:$H$19)+SUMIF('5 Refactoring'!$B$4:$B$12,$B15,'5 Refactoring'!$H$4:$H$12)+SUMIF('6 Ethics + Requirements'!$B$4:$B$19,$B15,'6 Ethics + Requirements'!$H$4:$H$19)</f>
        <v/>
      </c>
    </row>
    <row r="16">
      <c r="A16" s="14" t="n">
        <v>2</v>
      </c>
      <c r="B16" s="14" t="inlineStr">
        <is>
          <t>2023-24</t>
        </is>
      </c>
      <c r="C16" s="14">
        <f>COUNTIF('1 Structural Patterns'!$B$4:$B$14,$B16)+COUNTIF('2 Behavioral Patterns'!$B$4:$B$21,$B16)+COUNTIF('3 Process + Agile'!$B$4:$B$43,$B16)+COUNTIF('4 Unit Testing + Review'!$B$4:$B$19,$B16)+COUNTIF('5 Refactoring'!$B$4:$B$12,$B16)+COUNTIF('6 Ethics + Requirements'!$B$4:$B$19,$B16)</f>
        <v/>
      </c>
      <c r="D16" s="14">
        <f>COUNTIFS('1 Structural Patterns'!$B$4:$B$14,$B16,'1 Structural Patterns'!$N$4:$N$14,TRUE())+COUNTIFS('2 Behavioral Patterns'!$B$4:$B$21,$B16,'2 Behavioral Patterns'!$N$4:$N$21,TRUE())+COUNTIFS('3 Process + Agile'!$B$4:$B$43,$B16,'3 Process + Agile'!$N$4:$N$43,TRUE())+COUNTIFS('4 Unit Testing + Review'!$B$4:$B$19,$B16,'4 Unit Testing + Review'!$N$4:$N$19,TRUE())+COUNTIFS('5 Refactoring'!$B$4:$B$12,$B16,'5 Refactoring'!$N$4:$N$12,TRUE())+COUNTIFS('6 Ethics + Requirements'!$B$4:$B$19,$B16,'6 Ethics + Requirements'!$N$4:$N$19,TRUE())</f>
        <v/>
      </c>
      <c r="E16" s="15">
        <f>IF(C16=0,0,D16/C16)</f>
        <v/>
      </c>
      <c r="F16" s="14">
        <f>SUMIF('1 Structural Patterns'!$B$4:$B$14,$B16,'1 Structural Patterns'!$H$4:$H$14)+SUMIF('2 Behavioral Patterns'!$B$4:$B$21,$B16,'2 Behavioral Patterns'!$H$4:$H$21)+SUMIF('3 Process + Agile'!$B$4:$B$43,$B16,'3 Process + Agile'!$H$4:$H$43)+SUMIF('4 Unit Testing + Review'!$B$4:$B$19,$B16,'4 Unit Testing + Review'!$H$4:$H$19)+SUMIF('5 Refactoring'!$B$4:$B$12,$B16,'5 Refactoring'!$H$4:$H$12)+SUMIF('6 Ethics + Requirements'!$B$4:$B$19,$B16,'6 Ethics + Requirements'!$H$4:$H$19)</f>
        <v/>
      </c>
    </row>
    <row r="17">
      <c r="A17" s="14" t="n">
        <v>3</v>
      </c>
      <c r="B17" s="14" t="inlineStr">
        <is>
          <t>2022-23</t>
        </is>
      </c>
      <c r="C17" s="14">
        <f>COUNTIF('1 Structural Patterns'!$B$4:$B$14,$B17)+COUNTIF('2 Behavioral Patterns'!$B$4:$B$21,$B17)+COUNTIF('3 Process + Agile'!$B$4:$B$43,$B17)+COUNTIF('4 Unit Testing + Review'!$B$4:$B$19,$B17)+COUNTIF('5 Refactoring'!$B$4:$B$12,$B17)+COUNTIF('6 Ethics + Requirements'!$B$4:$B$19,$B17)</f>
        <v/>
      </c>
      <c r="D17" s="14">
        <f>COUNTIFS('1 Structural Patterns'!$B$4:$B$14,$B17,'1 Structural Patterns'!$N$4:$N$14,TRUE())+COUNTIFS('2 Behavioral Patterns'!$B$4:$B$21,$B17,'2 Behavioral Patterns'!$N$4:$N$21,TRUE())+COUNTIFS('3 Process + Agile'!$B$4:$B$43,$B17,'3 Process + Agile'!$N$4:$N$43,TRUE())+COUNTIFS('4 Unit Testing + Review'!$B$4:$B$19,$B17,'4 Unit Testing + Review'!$N$4:$N$19,TRUE())+COUNTIFS('5 Refactoring'!$B$4:$B$12,$B17,'5 Refactoring'!$N$4:$N$12,TRUE())+COUNTIFS('6 Ethics + Requirements'!$B$4:$B$19,$B17,'6 Ethics + Requirements'!$N$4:$N$19,TRUE())</f>
        <v/>
      </c>
      <c r="E17" s="15">
        <f>IF(C17=0,0,D17/C17)</f>
        <v/>
      </c>
      <c r="F17" s="14">
        <f>SUMIF('1 Structural Patterns'!$B$4:$B$14,$B17,'1 Structural Patterns'!$H$4:$H$14)+SUMIF('2 Behavioral Patterns'!$B$4:$B$21,$B17,'2 Behavioral Patterns'!$H$4:$H$21)+SUMIF('3 Process + Agile'!$B$4:$B$43,$B17,'3 Process + Agile'!$H$4:$H$43)+SUMIF('4 Unit Testing + Review'!$B$4:$B$19,$B17,'4 Unit Testing + Review'!$H$4:$H$19)+SUMIF('5 Refactoring'!$B$4:$B$12,$B17,'5 Refactoring'!$H$4:$H$12)+SUMIF('6 Ethics + Requirements'!$B$4:$B$19,$B17,'6 Ethics + Requirements'!$H$4:$H$19)</f>
        <v/>
      </c>
    </row>
    <row r="18">
      <c r="A18" s="14" t="n">
        <v>4</v>
      </c>
      <c r="B18" s="14" t="inlineStr">
        <is>
          <t>2021-22</t>
        </is>
      </c>
      <c r="C18" s="14">
        <f>COUNTIF('1 Structural Patterns'!$B$4:$B$14,$B18)+COUNTIF('2 Behavioral Patterns'!$B$4:$B$21,$B18)+COUNTIF('3 Process + Agile'!$B$4:$B$43,$B18)+COUNTIF('4 Unit Testing + Review'!$B$4:$B$19,$B18)+COUNTIF('5 Refactoring'!$B$4:$B$12,$B18)+COUNTIF('6 Ethics + Requirements'!$B$4:$B$19,$B18)</f>
        <v/>
      </c>
      <c r="D18" s="14">
        <f>COUNTIFS('1 Structural Patterns'!$B$4:$B$14,$B18,'1 Structural Patterns'!$N$4:$N$14,TRUE())+COUNTIFS('2 Behavioral Patterns'!$B$4:$B$21,$B18,'2 Behavioral Patterns'!$N$4:$N$21,TRUE())+COUNTIFS('3 Process + Agile'!$B$4:$B$43,$B18,'3 Process + Agile'!$N$4:$N$43,TRUE())+COUNTIFS('4 Unit Testing + Review'!$B$4:$B$19,$B18,'4 Unit Testing + Review'!$N$4:$N$19,TRUE())+COUNTIFS('5 Refactoring'!$B$4:$B$12,$B18,'5 Refactoring'!$N$4:$N$12,TRUE())+COUNTIFS('6 Ethics + Requirements'!$B$4:$B$19,$B18,'6 Ethics + Requirements'!$N$4:$N$19,TRUE())</f>
        <v/>
      </c>
      <c r="E18" s="15">
        <f>IF(C18=0,0,D18/C18)</f>
        <v/>
      </c>
      <c r="F18" s="14">
        <f>SUMIF('1 Structural Patterns'!$B$4:$B$14,$B18,'1 Structural Patterns'!$H$4:$H$14)+SUMIF('2 Behavioral Patterns'!$B$4:$B$21,$B18,'2 Behavioral Patterns'!$H$4:$H$21)+SUMIF('3 Process + Agile'!$B$4:$B$43,$B18,'3 Process + Agile'!$H$4:$H$43)+SUMIF('4 Unit Testing + Review'!$B$4:$B$19,$B18,'4 Unit Testing + Review'!$H$4:$H$19)+SUMIF('5 Refactoring'!$B$4:$B$12,$B18,'5 Refactoring'!$H$4:$H$12)+SUMIF('6 Ethics + Requirements'!$B$4:$B$19,$B18,'6 Ethics + Requirements'!$H$4:$H$19)</f>
        <v/>
      </c>
    </row>
    <row r="19">
      <c r="A19" s="14" t="n">
        <v>5</v>
      </c>
      <c r="B19" s="14" t="inlineStr">
        <is>
          <t>2020-21</t>
        </is>
      </c>
      <c r="C19" s="14">
        <f>COUNTIF('1 Structural Patterns'!$B$4:$B$14,$B19)+COUNTIF('2 Behavioral Patterns'!$B$4:$B$21,$B19)+COUNTIF('3 Process + Agile'!$B$4:$B$43,$B19)+COUNTIF('4 Unit Testing + Review'!$B$4:$B$19,$B19)+COUNTIF('5 Refactoring'!$B$4:$B$12,$B19)+COUNTIF('6 Ethics + Requirements'!$B$4:$B$19,$B19)</f>
        <v/>
      </c>
      <c r="D19" s="14">
        <f>COUNTIFS('1 Structural Patterns'!$B$4:$B$14,$B19,'1 Structural Patterns'!$N$4:$N$14,TRUE())+COUNTIFS('2 Behavioral Patterns'!$B$4:$B$21,$B19,'2 Behavioral Patterns'!$N$4:$N$21,TRUE())+COUNTIFS('3 Process + Agile'!$B$4:$B$43,$B19,'3 Process + Agile'!$N$4:$N$43,TRUE())+COUNTIFS('4 Unit Testing + Review'!$B$4:$B$19,$B19,'4 Unit Testing + Review'!$N$4:$N$19,TRUE())+COUNTIFS('5 Refactoring'!$B$4:$B$12,$B19,'5 Refactoring'!$N$4:$N$12,TRUE())+COUNTIFS('6 Ethics + Requirements'!$B$4:$B$19,$B19,'6 Ethics + Requirements'!$N$4:$N$19,TRUE())</f>
        <v/>
      </c>
      <c r="E19" s="15">
        <f>IF(C19=0,0,D19/C19)</f>
        <v/>
      </c>
      <c r="F19" s="14">
        <f>SUMIF('1 Structural Patterns'!$B$4:$B$14,$B19,'1 Structural Patterns'!$H$4:$H$14)+SUMIF('2 Behavioral Patterns'!$B$4:$B$21,$B19,'2 Behavioral Patterns'!$H$4:$H$21)+SUMIF('3 Process + Agile'!$B$4:$B$43,$B19,'3 Process + Agile'!$H$4:$H$43)+SUMIF('4 Unit Testing + Review'!$B$4:$B$19,$B19,'4 Unit Testing + Review'!$H$4:$H$19)+SUMIF('5 Refactoring'!$B$4:$B$12,$B19,'5 Refactoring'!$H$4:$H$12)+SUMIF('6 Ethics + Requirements'!$B$4:$B$19,$B19,'6 Ethics + Requirements'!$H$4:$H$19)</f>
        <v/>
      </c>
    </row>
    <row r="20">
      <c r="A20" s="14" t="n">
        <v>6</v>
      </c>
      <c r="B20" s="14" t="inlineStr">
        <is>
          <t>2019-20</t>
        </is>
      </c>
      <c r="C20" s="14">
        <f>COUNTIF('1 Structural Patterns'!$B$4:$B$14,$B20)+COUNTIF('2 Behavioral Patterns'!$B$4:$B$21,$B20)+COUNTIF('3 Process + Agile'!$B$4:$B$43,$B20)+COUNTIF('4 Unit Testing + Review'!$B$4:$B$19,$B20)+COUNTIF('5 Refactoring'!$B$4:$B$12,$B20)+COUNTIF('6 Ethics + Requirements'!$B$4:$B$19,$B20)</f>
        <v/>
      </c>
      <c r="D20" s="14">
        <f>COUNTIFS('1 Structural Patterns'!$B$4:$B$14,$B20,'1 Structural Patterns'!$N$4:$N$14,TRUE())+COUNTIFS('2 Behavioral Patterns'!$B$4:$B$21,$B20,'2 Behavioral Patterns'!$N$4:$N$21,TRUE())+COUNTIFS('3 Process + Agile'!$B$4:$B$43,$B20,'3 Process + Agile'!$N$4:$N$43,TRUE())+COUNTIFS('4 Unit Testing + Review'!$B$4:$B$19,$B20,'4 Unit Testing + Review'!$N$4:$N$19,TRUE())+COUNTIFS('5 Refactoring'!$B$4:$B$12,$B20,'5 Refactoring'!$N$4:$N$12,TRUE())+COUNTIFS('6 Ethics + Requirements'!$B$4:$B$19,$B20,'6 Ethics + Requirements'!$N$4:$N$19,TRUE())</f>
        <v/>
      </c>
      <c r="E20" s="15">
        <f>IF(C20=0,0,D20/C20)</f>
        <v/>
      </c>
      <c r="F20" s="14">
        <f>SUMIF('1 Structural Patterns'!$B$4:$B$14,$B20,'1 Structural Patterns'!$H$4:$H$14)+SUMIF('2 Behavioral Patterns'!$B$4:$B$21,$B20,'2 Behavioral Patterns'!$H$4:$H$21)+SUMIF('3 Process + Agile'!$B$4:$B$43,$B20,'3 Process + Agile'!$H$4:$H$43)+SUMIF('4 Unit Testing + Review'!$B$4:$B$19,$B20,'4 Unit Testing + Review'!$H$4:$H$19)+SUMIF('5 Refactoring'!$B$4:$B$12,$B20,'5 Refactoring'!$H$4:$H$12)+SUMIF('6 Ethics + Requirements'!$B$4:$B$19,$B20,'6 Ethics + Requirements'!$H$4:$H$19)</f>
        <v/>
      </c>
    </row>
    <row r="21">
      <c r="A21" s="16" t="n">
        <v>7</v>
      </c>
      <c r="B21" s="16" t="inlineStr">
        <is>
          <t>2018-19</t>
        </is>
      </c>
      <c r="C21" s="16">
        <f>COUNTIF('1 Structural Patterns'!$B$4:$B$14,$B21)+COUNTIF('2 Behavioral Patterns'!$B$4:$B$21,$B21)+COUNTIF('3 Process + Agile'!$B$4:$B$43,$B21)+COUNTIF('4 Unit Testing + Review'!$B$4:$B$19,$B21)+COUNTIF('5 Refactoring'!$B$4:$B$12,$B21)+COUNTIF('6 Ethics + Requirements'!$B$4:$B$19,$B21)</f>
        <v/>
      </c>
      <c r="D21" s="16">
        <f>COUNTIFS('1 Structural Patterns'!$B$4:$B$14,$B21,'1 Structural Patterns'!$N$4:$N$14,TRUE())+COUNTIFS('2 Behavioral Patterns'!$B$4:$B$21,$B21,'2 Behavioral Patterns'!$N$4:$N$21,TRUE())+COUNTIFS('3 Process + Agile'!$B$4:$B$43,$B21,'3 Process + Agile'!$N$4:$N$43,TRUE())+COUNTIFS('4 Unit Testing + Review'!$B$4:$B$19,$B21,'4 Unit Testing + Review'!$N$4:$N$19,TRUE())+COUNTIFS('5 Refactoring'!$B$4:$B$12,$B21,'5 Refactoring'!$N$4:$N$12,TRUE())+COUNTIFS('6 Ethics + Requirements'!$B$4:$B$19,$B21,'6 Ethics + Requirements'!$N$4:$N$19,TRUE())</f>
        <v/>
      </c>
      <c r="E21" s="17">
        <f>IF(C21=0,0,D21/C21)</f>
        <v/>
      </c>
      <c r="F21" s="16">
        <f>SUMIF('1 Structural Patterns'!$B$4:$B$14,$B21,'1 Structural Patterns'!$H$4:$H$14)+SUMIF('2 Behavioral Patterns'!$B$4:$B$21,$B21,'2 Behavioral Patterns'!$H$4:$H$21)+SUMIF('3 Process + Agile'!$B$4:$B$43,$B21,'3 Process + Agile'!$H$4:$H$43)+SUMIF('4 Unit Testing + Review'!$B$4:$B$19,$B21,'4 Unit Testing + Review'!$H$4:$H$19)+SUMIF('5 Refactoring'!$B$4:$B$12,$B21,'5 Refactoring'!$H$4:$H$12)+SUMIF('6 Ethics + Requirements'!$B$4:$B$19,$B21,'6 Ethics + Requirements'!$H$4:$H$19)</f>
        <v/>
      </c>
    </row>
    <row r="22">
      <c r="A22" s="16" t="n">
        <v>8</v>
      </c>
      <c r="B22" s="16" t="inlineStr">
        <is>
          <t>2017-18</t>
        </is>
      </c>
      <c r="C22" s="16">
        <f>COUNTIF('1 Structural Patterns'!$B$4:$B$14,$B22)+COUNTIF('2 Behavioral Patterns'!$B$4:$B$21,$B22)+COUNTIF('3 Process + Agile'!$B$4:$B$43,$B22)+COUNTIF('4 Unit Testing + Review'!$B$4:$B$19,$B22)+COUNTIF('5 Refactoring'!$B$4:$B$12,$B22)+COUNTIF('6 Ethics + Requirements'!$B$4:$B$19,$B22)</f>
        <v/>
      </c>
      <c r="D22" s="16">
        <f>COUNTIFS('1 Structural Patterns'!$B$4:$B$14,$B22,'1 Structural Patterns'!$N$4:$N$14,TRUE())+COUNTIFS('2 Behavioral Patterns'!$B$4:$B$21,$B22,'2 Behavioral Patterns'!$N$4:$N$21,TRUE())+COUNTIFS('3 Process + Agile'!$B$4:$B$43,$B22,'3 Process + Agile'!$N$4:$N$43,TRUE())+COUNTIFS('4 Unit Testing + Review'!$B$4:$B$19,$B22,'4 Unit Testing + Review'!$N$4:$N$19,TRUE())+COUNTIFS('5 Refactoring'!$B$4:$B$12,$B22,'5 Refactoring'!$N$4:$N$12,TRUE())+COUNTIFS('6 Ethics + Requirements'!$B$4:$B$19,$B22,'6 Ethics + Requirements'!$N$4:$N$19,TRUE())</f>
        <v/>
      </c>
      <c r="E22" s="17">
        <f>IF(C22=0,0,D22/C22)</f>
        <v/>
      </c>
      <c r="F22" s="16">
        <f>SUMIF('1 Structural Patterns'!$B$4:$B$14,$B22,'1 Structural Patterns'!$H$4:$H$14)+SUMIF('2 Behavioral Patterns'!$B$4:$B$21,$B22,'2 Behavioral Patterns'!$H$4:$H$21)+SUMIF('3 Process + Agile'!$B$4:$B$43,$B22,'3 Process + Agile'!$H$4:$H$43)+SUMIF('4 Unit Testing + Review'!$B$4:$B$19,$B22,'4 Unit Testing + Review'!$H$4:$H$19)+SUMIF('5 Refactoring'!$B$4:$B$12,$B22,'5 Refactoring'!$H$4:$H$12)+SUMIF('6 Ethics + Requirements'!$B$4:$B$19,$B22,'6 Ethics + Requirements'!$H$4:$H$19)</f>
        <v/>
      </c>
    </row>
    <row r="23">
      <c r="A23" s="16" t="n">
        <v>9</v>
      </c>
      <c r="B23" s="16" t="inlineStr">
        <is>
          <t>2016-17</t>
        </is>
      </c>
      <c r="C23" s="16">
        <f>COUNTIF('1 Structural Patterns'!$B$4:$B$14,$B23)+COUNTIF('2 Behavioral Patterns'!$B$4:$B$21,$B23)+COUNTIF('3 Process + Agile'!$B$4:$B$43,$B23)+COUNTIF('4 Unit Testing + Review'!$B$4:$B$19,$B23)+COUNTIF('5 Refactoring'!$B$4:$B$12,$B23)+COUNTIF('6 Ethics + Requirements'!$B$4:$B$19,$B23)</f>
        <v/>
      </c>
      <c r="D23" s="16">
        <f>COUNTIFS('1 Structural Patterns'!$B$4:$B$14,$B23,'1 Structural Patterns'!$N$4:$N$14,TRUE())+COUNTIFS('2 Behavioral Patterns'!$B$4:$B$21,$B23,'2 Behavioral Patterns'!$N$4:$N$21,TRUE())+COUNTIFS('3 Process + Agile'!$B$4:$B$43,$B23,'3 Process + Agile'!$N$4:$N$43,TRUE())+COUNTIFS('4 Unit Testing + Review'!$B$4:$B$19,$B23,'4 Unit Testing + Review'!$N$4:$N$19,TRUE())+COUNTIFS('5 Refactoring'!$B$4:$B$12,$B23,'5 Refactoring'!$N$4:$N$12,TRUE())+COUNTIFS('6 Ethics + Requirements'!$B$4:$B$19,$B23,'6 Ethics + Requirements'!$N$4:$N$19,TRUE())</f>
        <v/>
      </c>
      <c r="E23" s="17">
        <f>IF(C23=0,0,D23/C23)</f>
        <v/>
      </c>
      <c r="F23" s="16">
        <f>SUMIF('1 Structural Patterns'!$B$4:$B$14,$B23,'1 Structural Patterns'!$H$4:$H$14)+SUMIF('2 Behavioral Patterns'!$B$4:$B$21,$B23,'2 Behavioral Patterns'!$H$4:$H$21)+SUMIF('3 Process + Agile'!$B$4:$B$43,$B23,'3 Process + Agile'!$H$4:$H$43)+SUMIF('4 Unit Testing + Review'!$B$4:$B$19,$B23,'4 Unit Testing + Review'!$H$4:$H$19)+SUMIF('5 Refactoring'!$B$4:$B$12,$B23,'5 Refactoring'!$H$4:$H$12)+SUMIF('6 Ethics + Requirements'!$B$4:$B$19,$B23,'6 Ethics + Requirements'!$H$4:$H$19)</f>
        <v/>
      </c>
    </row>
    <row r="24">
      <c r="A24" s="16" t="n">
        <v>10</v>
      </c>
      <c r="B24" s="16" t="inlineStr">
        <is>
          <t>2014-15</t>
        </is>
      </c>
      <c r="C24" s="16">
        <f>COUNTIF('1 Structural Patterns'!$B$4:$B$14,$B24)+COUNTIF('2 Behavioral Patterns'!$B$4:$B$21,$B24)+COUNTIF('3 Process + Agile'!$B$4:$B$43,$B24)+COUNTIF('4 Unit Testing + Review'!$B$4:$B$19,$B24)+COUNTIF('5 Refactoring'!$B$4:$B$12,$B24)+COUNTIF('6 Ethics + Requirements'!$B$4:$B$19,$B24)</f>
        <v/>
      </c>
      <c r="D24" s="16">
        <f>COUNTIFS('1 Structural Patterns'!$B$4:$B$14,$B24,'1 Structural Patterns'!$N$4:$N$14,TRUE())+COUNTIFS('2 Behavioral Patterns'!$B$4:$B$21,$B24,'2 Behavioral Patterns'!$N$4:$N$21,TRUE())+COUNTIFS('3 Process + Agile'!$B$4:$B$43,$B24,'3 Process + Agile'!$N$4:$N$43,TRUE())+COUNTIFS('4 Unit Testing + Review'!$B$4:$B$19,$B24,'4 Unit Testing + Review'!$N$4:$N$19,TRUE())+COUNTIFS('5 Refactoring'!$B$4:$B$12,$B24,'5 Refactoring'!$N$4:$N$12,TRUE())+COUNTIFS('6 Ethics + Requirements'!$B$4:$B$19,$B24,'6 Ethics + Requirements'!$N$4:$N$19,TRUE())</f>
        <v/>
      </c>
      <c r="E24" s="17">
        <f>IF(C24=0,0,D24/C24)</f>
        <v/>
      </c>
      <c r="F24" s="16">
        <f>SUMIF('1 Structural Patterns'!$B$4:$B$14,$B24,'1 Structural Patterns'!$H$4:$H$14)+SUMIF('2 Behavioral Patterns'!$B$4:$B$21,$B24,'2 Behavioral Patterns'!$H$4:$H$21)+SUMIF('3 Process + Agile'!$B$4:$B$43,$B24,'3 Process + Agile'!$H$4:$H$43)+SUMIF('4 Unit Testing + Review'!$B$4:$B$19,$B24,'4 Unit Testing + Review'!$H$4:$H$19)+SUMIF('5 Refactoring'!$B$4:$B$12,$B24,'5 Refactoring'!$H$4:$H$12)+SUMIF('6 Ethics + Requirements'!$B$4:$B$19,$B24,'6 Ethics + Requirements'!$H$4:$H$19)</f>
        <v/>
      </c>
    </row>
    <row r="25">
      <c r="A25" s="16" t="n">
        <v>11</v>
      </c>
      <c r="B25" s="16" t="inlineStr">
        <is>
          <t>2013-14</t>
        </is>
      </c>
      <c r="C25" s="16">
        <f>COUNTIF('1 Structural Patterns'!$B$4:$B$14,$B25)+COUNTIF('2 Behavioral Patterns'!$B$4:$B$21,$B25)+COUNTIF('3 Process + Agile'!$B$4:$B$43,$B25)+COUNTIF('4 Unit Testing + Review'!$B$4:$B$19,$B25)+COUNTIF('5 Refactoring'!$B$4:$B$12,$B25)+COUNTIF('6 Ethics + Requirements'!$B$4:$B$19,$B25)</f>
        <v/>
      </c>
      <c r="D25" s="16">
        <f>COUNTIFS('1 Structural Patterns'!$B$4:$B$14,$B25,'1 Structural Patterns'!$N$4:$N$14,TRUE())+COUNTIFS('2 Behavioral Patterns'!$B$4:$B$21,$B25,'2 Behavioral Patterns'!$N$4:$N$21,TRUE())+COUNTIFS('3 Process + Agile'!$B$4:$B$43,$B25,'3 Process + Agile'!$N$4:$N$43,TRUE())+COUNTIFS('4 Unit Testing + Review'!$B$4:$B$19,$B25,'4 Unit Testing + Review'!$N$4:$N$19,TRUE())+COUNTIFS('5 Refactoring'!$B$4:$B$12,$B25,'5 Refactoring'!$N$4:$N$12,TRUE())+COUNTIFS('6 Ethics + Requirements'!$B$4:$B$19,$B25,'6 Ethics + Requirements'!$N$4:$N$19,TRUE())</f>
        <v/>
      </c>
      <c r="E25" s="17">
        <f>IF(C25=0,0,D25/C25)</f>
        <v/>
      </c>
      <c r="F25" s="16">
        <f>SUMIF('1 Structural Patterns'!$B$4:$B$14,$B25,'1 Structural Patterns'!$H$4:$H$14)+SUMIF('2 Behavioral Patterns'!$B$4:$B$21,$B25,'2 Behavioral Patterns'!$H$4:$H$21)+SUMIF('3 Process + Agile'!$B$4:$B$43,$B25,'3 Process + Agile'!$H$4:$H$43)+SUMIF('4 Unit Testing + Review'!$B$4:$B$19,$B25,'4 Unit Testing + Review'!$H$4:$H$19)+SUMIF('5 Refactoring'!$B$4:$B$12,$B25,'5 Refactoring'!$H$4:$H$12)+SUMIF('6 Ethics + Requirements'!$B$4:$B$19,$B25,'6 Ethics + Requirements'!$H$4:$H$19)</f>
        <v/>
      </c>
    </row>
    <row r="26">
      <c r="A26" s="16" t="n">
        <v>12</v>
      </c>
      <c r="B26" s="16" t="inlineStr">
        <is>
          <t>2012-13</t>
        </is>
      </c>
      <c r="C26" s="16">
        <f>COUNTIF('1 Structural Patterns'!$B$4:$B$14,$B26)+COUNTIF('2 Behavioral Patterns'!$B$4:$B$21,$B26)+COUNTIF('3 Process + Agile'!$B$4:$B$43,$B26)+COUNTIF('4 Unit Testing + Review'!$B$4:$B$19,$B26)+COUNTIF('5 Refactoring'!$B$4:$B$12,$B26)+COUNTIF('6 Ethics + Requirements'!$B$4:$B$19,$B26)</f>
        <v/>
      </c>
      <c r="D26" s="16">
        <f>COUNTIFS('1 Structural Patterns'!$B$4:$B$14,$B26,'1 Structural Patterns'!$N$4:$N$14,TRUE())+COUNTIFS('2 Behavioral Patterns'!$B$4:$B$21,$B26,'2 Behavioral Patterns'!$N$4:$N$21,TRUE())+COUNTIFS('3 Process + Agile'!$B$4:$B$43,$B26,'3 Process + Agile'!$N$4:$N$43,TRUE())+COUNTIFS('4 Unit Testing + Review'!$B$4:$B$19,$B26,'4 Unit Testing + Review'!$N$4:$N$19,TRUE())+COUNTIFS('5 Refactoring'!$B$4:$B$12,$B26,'5 Refactoring'!$N$4:$N$12,TRUE())+COUNTIFS('6 Ethics + Requirements'!$B$4:$B$19,$B26,'6 Ethics + Requirements'!$N$4:$N$19,TRUE())</f>
        <v/>
      </c>
      <c r="E26" s="17">
        <f>IF(C26=0,0,D26/C26)</f>
        <v/>
      </c>
      <c r="F26" s="16">
        <f>SUMIF('1 Structural Patterns'!$B$4:$B$14,$B26,'1 Structural Patterns'!$H$4:$H$14)+SUMIF('2 Behavioral Patterns'!$B$4:$B$21,$B26,'2 Behavioral Patterns'!$H$4:$H$21)+SUMIF('3 Process + Agile'!$B$4:$B$43,$B26,'3 Process + Agile'!$H$4:$H$43)+SUMIF('4 Unit Testing + Review'!$B$4:$B$19,$B26,'4 Unit Testing + Review'!$H$4:$H$19)+SUMIF('5 Refactoring'!$B$4:$B$12,$B26,'5 Refactoring'!$H$4:$H$12)+SUMIF('6 Ethics + Requirements'!$B$4:$B$19,$B26,'6 Ethics + Requirements'!$H$4:$H$19)</f>
        <v/>
      </c>
    </row>
    <row r="27">
      <c r="A27" s="16" t="n">
        <v>13</v>
      </c>
      <c r="B27" s="16" t="inlineStr">
        <is>
          <t>2011-12</t>
        </is>
      </c>
      <c r="C27" s="16">
        <f>COUNTIF('1 Structural Patterns'!$B$4:$B$14,$B27)+COUNTIF('2 Behavioral Patterns'!$B$4:$B$21,$B27)+COUNTIF('3 Process + Agile'!$B$4:$B$43,$B27)+COUNTIF('4 Unit Testing + Review'!$B$4:$B$19,$B27)+COUNTIF('5 Refactoring'!$B$4:$B$12,$B27)+COUNTIF('6 Ethics + Requirements'!$B$4:$B$19,$B27)</f>
        <v/>
      </c>
      <c r="D27" s="16">
        <f>COUNTIFS('1 Structural Patterns'!$B$4:$B$14,$B27,'1 Structural Patterns'!$N$4:$N$14,TRUE())+COUNTIFS('2 Behavioral Patterns'!$B$4:$B$21,$B27,'2 Behavioral Patterns'!$N$4:$N$21,TRUE())+COUNTIFS('3 Process + Agile'!$B$4:$B$43,$B27,'3 Process + Agile'!$N$4:$N$43,TRUE())+COUNTIFS('4 Unit Testing + Review'!$B$4:$B$19,$B27,'4 Unit Testing + Review'!$N$4:$N$19,TRUE())+COUNTIFS('5 Refactoring'!$B$4:$B$12,$B27,'5 Refactoring'!$N$4:$N$12,TRUE())+COUNTIFS('6 Ethics + Requirements'!$B$4:$B$19,$B27,'6 Ethics + Requirements'!$N$4:$N$19,TRUE())</f>
        <v/>
      </c>
      <c r="E27" s="17">
        <f>IF(C27=0,0,D27/C27)</f>
        <v/>
      </c>
      <c r="F27" s="16">
        <f>SUMIF('1 Structural Patterns'!$B$4:$B$14,$B27,'1 Structural Patterns'!$H$4:$H$14)+SUMIF('2 Behavioral Patterns'!$B$4:$B$21,$B27,'2 Behavioral Patterns'!$H$4:$H$21)+SUMIF('3 Process + Agile'!$B$4:$B$43,$B27,'3 Process + Agile'!$H$4:$H$43)+SUMIF('4 Unit Testing + Review'!$B$4:$B$19,$B27,'4 Unit Testing + Review'!$H$4:$H$19)+SUMIF('5 Refactoring'!$B$4:$B$12,$B27,'5 Refactoring'!$H$4:$H$12)+SUMIF('6 Ethics + Requirements'!$B$4:$B$19,$B27,'6 Ethics + Requirements'!$H$4:$H$19)</f>
        <v/>
      </c>
    </row>
    <row r="28">
      <c r="A28" s="16" t="n">
        <v>14</v>
      </c>
      <c r="B28" s="16" t="inlineStr">
        <is>
          <t>2010-11</t>
        </is>
      </c>
      <c r="C28" s="16">
        <f>COUNTIF('1 Structural Patterns'!$B$4:$B$14,$B28)+COUNTIF('2 Behavioral Patterns'!$B$4:$B$21,$B28)+COUNTIF('3 Process + Agile'!$B$4:$B$43,$B28)+COUNTIF('4 Unit Testing + Review'!$B$4:$B$19,$B28)+COUNTIF('5 Refactoring'!$B$4:$B$12,$B28)+COUNTIF('6 Ethics + Requirements'!$B$4:$B$19,$B28)</f>
        <v/>
      </c>
      <c r="D28" s="16">
        <f>COUNTIFS('1 Structural Patterns'!$B$4:$B$14,$B28,'1 Structural Patterns'!$N$4:$N$14,TRUE())+COUNTIFS('2 Behavioral Patterns'!$B$4:$B$21,$B28,'2 Behavioral Patterns'!$N$4:$N$21,TRUE())+COUNTIFS('3 Process + Agile'!$B$4:$B$43,$B28,'3 Process + Agile'!$N$4:$N$43,TRUE())+COUNTIFS('4 Unit Testing + Review'!$B$4:$B$19,$B28,'4 Unit Testing + Review'!$N$4:$N$19,TRUE())+COUNTIFS('5 Refactoring'!$B$4:$B$12,$B28,'5 Refactoring'!$N$4:$N$12,TRUE())+COUNTIFS('6 Ethics + Requirements'!$B$4:$B$19,$B28,'6 Ethics + Requirements'!$N$4:$N$19,TRUE())</f>
        <v/>
      </c>
      <c r="E28" s="17">
        <f>IF(C28=0,0,D28/C28)</f>
        <v/>
      </c>
      <c r="F28" s="16">
        <f>SUMIF('1 Structural Patterns'!$B$4:$B$14,$B28,'1 Structural Patterns'!$H$4:$H$14)+SUMIF('2 Behavioral Patterns'!$B$4:$B$21,$B28,'2 Behavioral Patterns'!$H$4:$H$21)+SUMIF('3 Process + Agile'!$B$4:$B$43,$B28,'3 Process + Agile'!$H$4:$H$43)+SUMIF('4 Unit Testing + Review'!$B$4:$B$19,$B28,'4 Unit Testing + Review'!$H$4:$H$19)+SUMIF('5 Refactoring'!$B$4:$B$12,$B28,'5 Refactoring'!$H$4:$H$12)+SUMIF('6 Ethics + Requirements'!$B$4:$B$19,$B28,'6 Ethics + Requirements'!$H$4:$H$19)</f>
        <v/>
      </c>
    </row>
    <row r="29">
      <c r="B29" s="2" t="inlineStr">
        <is>
          <t>Shaded years = ★★★ High priority (2019-20 onward).</t>
        </is>
      </c>
    </row>
    <row r="30">
      <c r="B30" s="2" t="inlineStr">
        <is>
          <t>TF Page = page in 'CSE 213 All Past Papers.pdf' (70 p.). It contains everything in 'CSE 213 Question.pdf' (63 p.) plus the 2023-24 CSE 213 paper (21 batch) as pages 1–7, so Question.pdf page = All Past Papers page − 7.</t>
        </is>
      </c>
    </row>
    <row r="31">
      <c r="B31" s="2" t="inlineStr">
        <is>
          <t>Papers do not split by teacher section; every question is assigned by topic. Topics in neither teacher's slides (EVM, CPM/PERT, COCOMO/FP, risk, security, architecture, DevOps, IS design) are in 'Outside Notes'.</t>
        </is>
      </c>
    </row>
  </sheetData>
  <conditionalFormatting sqref="E5:E11">
    <cfRule type="dataBar" priority="1">
      <dataBar>
        <cfvo type="num" val="0"/>
        <cfvo type="num" val="1"/>
        <color rgb="0063BE7B"/>
      </dataBar>
    </cfRule>
  </conditionalFormatting>
  <conditionalFormatting sqref="E15:E28">
    <cfRule type="dataBar" priority="2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Structural Design Patterns</t>
        </is>
      </c>
    </row>
    <row r="2">
      <c r="A2" s="2" t="inlineStr">
        <is>
          <t>Note file: CSE213_IJ_Structural_Patterns_Notes.docx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2021-22</t>
        </is>
      </c>
      <c r="C4" s="19" t="inlineStr">
        <is>
          <t>CSE 307</t>
        </is>
      </c>
      <c r="D4" s="19" t="inlineStr">
        <is>
          <t>2(a)</t>
        </is>
      </c>
      <c r="E4" s="20" t="inlineStr">
        <is>
          <t>5-layer network model: each layer adds header (and trailer) to Packet — identify pattern, implement, UML</t>
        </is>
      </c>
      <c r="F4" s="20" t="inlineStr">
        <is>
          <t>Decorator — Structural pp. 1–50</t>
        </is>
      </c>
      <c r="G4" s="19" t="inlineStr">
        <is>
          <t>L1</t>
        </is>
      </c>
      <c r="H4" s="19" t="n">
        <v>20</v>
      </c>
      <c r="I4" s="19" t="inlineStr">
        <is>
          <t>14–15</t>
        </is>
      </c>
      <c r="J4" s="21" t="inlineStr">
        <is>
          <t>★★★ High</t>
        </is>
      </c>
      <c r="K4" s="19" t="inlineStr">
        <is>
          <t>Design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24" t="n">
        <v>2</v>
      </c>
      <c r="B5" s="24" t="inlineStr">
        <is>
          <t>2024-25</t>
        </is>
      </c>
      <c r="C5" s="24" t="inlineStr">
        <is>
          <t>CSE 213</t>
        </is>
      </c>
      <c r="D5" s="24" t="inlineStr">
        <is>
          <t>2(a)</t>
        </is>
      </c>
      <c r="E5" s="6" t="inlineStr">
        <is>
          <t>FinCorp hierarchical reports (city/state/country) with optional tax/investment/compliance sections — Composite + Decorator in Java</t>
        </is>
      </c>
      <c r="F5" s="6" t="inlineStr">
        <is>
          <t>Composite — Structural pp. 51–60</t>
        </is>
      </c>
      <c r="G5" s="24" t="inlineStr">
        <is>
          <t>L2</t>
        </is>
      </c>
      <c r="H5" s="24" t="n">
        <v>20</v>
      </c>
      <c r="I5" s="24" t="inlineStr">
        <is>
          <t>22 batch p.2</t>
        </is>
      </c>
      <c r="J5" s="21" t="inlineStr">
        <is>
          <t>★★★ High</t>
        </is>
      </c>
      <c r="K5" s="24" t="inlineStr">
        <is>
          <t>Design</t>
        </is>
      </c>
      <c r="L5" s="22" t="inlineStr">
        <is>
          <t>✔ Solved</t>
        </is>
      </c>
      <c r="M5" s="6" t="inlineStr">
        <is>
          <t>2020-21 3(a); 2019-20 2(a); 2011-12 1(a); 2010-11 4(d)</t>
        </is>
      </c>
      <c r="N5" s="23" t="b">
        <v>0</v>
      </c>
      <c r="O5" s="24" t="n"/>
      <c r="P5" s="24" t="n"/>
      <c r="Q5" s="6" t="n"/>
    </row>
    <row r="6">
      <c r="A6" s="24" t="n">
        <v>3</v>
      </c>
      <c r="B6" s="24" t="inlineStr">
        <is>
          <t>2020-21</t>
        </is>
      </c>
      <c r="C6" s="24" t="inlineStr">
        <is>
          <t>CSE 307</t>
        </is>
      </c>
      <c r="D6" s="24" t="inlineStr">
        <is>
          <t>3(a)</t>
        </is>
      </c>
      <c r="E6" s="6" t="inlineStr">
        <is>
          <t>Employee hierarchy with direct/indirect subordinates</t>
        </is>
      </c>
      <c r="F6" s="6" t="inlineStr">
        <is>
          <t>Composite — Structural pp. 51–60</t>
        </is>
      </c>
      <c r="G6" s="24" t="inlineStr">
        <is>
          <t>L2</t>
        </is>
      </c>
      <c r="H6" s="24" t="n">
        <v>15</v>
      </c>
      <c r="I6" s="24" t="n">
        <v>20</v>
      </c>
      <c r="J6" s="21" t="inlineStr">
        <is>
          <t>★★★ High</t>
        </is>
      </c>
      <c r="K6" s="24" t="inlineStr">
        <is>
          <t>Design</t>
        </is>
      </c>
      <c r="L6" s="22" t="inlineStr">
        <is>
          <t>✔ Solved</t>
        </is>
      </c>
      <c r="M6" s="6" t="inlineStr">
        <is>
          <t>2024-25 2(a); 2019-20 2(a); 2011-12 1(a); 2010-11 4(d)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2019-20</t>
        </is>
      </c>
      <c r="C7" s="24" t="inlineStr">
        <is>
          <t>CSE 307</t>
        </is>
      </c>
      <c r="D7" s="24" t="inlineStr">
        <is>
          <t>2(a)</t>
        </is>
      </c>
      <c r="E7" s="6" t="inlineStr">
        <is>
          <t>MD → Technical/Admin/Finance managers → developers/executives/officers — Composite, show all employees under any employee</t>
        </is>
      </c>
      <c r="F7" s="6" t="inlineStr">
        <is>
          <t>Composite — Structural pp. 51–60</t>
        </is>
      </c>
      <c r="G7" s="24" t="inlineStr">
        <is>
          <t>L2</t>
        </is>
      </c>
      <c r="H7" s="24" t="n">
        <v>20</v>
      </c>
      <c r="I7" s="24" t="n">
        <v>22</v>
      </c>
      <c r="J7" s="21" t="inlineStr">
        <is>
          <t>★★★ High</t>
        </is>
      </c>
      <c r="K7" s="24" t="inlineStr">
        <is>
          <t>Design</t>
        </is>
      </c>
      <c r="L7" s="22" t="inlineStr">
        <is>
          <t>✔ Solved</t>
        </is>
      </c>
      <c r="M7" s="6" t="inlineStr">
        <is>
          <t>2024-25 2(a); 2020-21 3(a); 2011-12 1(a); 2010-11 4(d)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2011-12</t>
        </is>
      </c>
      <c r="C8" s="24" t="inlineStr">
        <is>
          <t>CSE 307</t>
        </is>
      </c>
      <c r="D8" s="24" t="inlineStr">
        <is>
          <t>1(a)</t>
        </is>
      </c>
      <c r="E8" s="6" t="inlineStr">
        <is>
          <t>Implementation issues and consequences of Composite</t>
        </is>
      </c>
      <c r="F8" s="6" t="inlineStr">
        <is>
          <t>Composite — Structural pp. 51–60</t>
        </is>
      </c>
      <c r="G8" s="24" t="inlineStr">
        <is>
          <t>L2</t>
        </is>
      </c>
      <c r="H8" s="24" t="n">
        <v>14</v>
      </c>
      <c r="I8" s="24" t="n">
        <v>57</v>
      </c>
      <c r="J8" s="25" t="inlineStr">
        <is>
          <t>★★ Medium</t>
        </is>
      </c>
      <c r="K8" s="24" t="inlineStr">
        <is>
          <t>Theory</t>
        </is>
      </c>
      <c r="L8" s="22" t="inlineStr">
        <is>
          <t>✔ Solved</t>
        </is>
      </c>
      <c r="M8" s="6" t="inlineStr">
        <is>
          <t>2024-25 2(a); 2020-21 3(a); 2019-20 2(a); 2010-11 4(d)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2010-11</t>
        </is>
      </c>
      <c r="C9" s="24" t="inlineStr">
        <is>
          <t>CSE 307</t>
        </is>
      </c>
      <c r="D9" s="24" t="inlineStr">
        <is>
          <t>4(d)</t>
        </is>
      </c>
      <c r="E9" s="6" t="inlineStr">
        <is>
          <t>A group can be a member of another group — pattern and extension</t>
        </is>
      </c>
      <c r="F9" s="6" t="inlineStr">
        <is>
          <t>Composite — Structural pp. 51–60</t>
        </is>
      </c>
      <c r="G9" s="24" t="inlineStr">
        <is>
          <t>L2</t>
        </is>
      </c>
      <c r="H9" s="24" t="n">
        <v>12.67</v>
      </c>
      <c r="I9" s="24" t="n">
        <v>68</v>
      </c>
      <c r="J9" s="25" t="inlineStr">
        <is>
          <t>★★ Medium</t>
        </is>
      </c>
      <c r="K9" s="24" t="inlineStr">
        <is>
          <t>Design</t>
        </is>
      </c>
      <c r="L9" s="22" t="inlineStr">
        <is>
          <t>✔ Solved</t>
        </is>
      </c>
      <c r="M9" s="6" t="inlineStr">
        <is>
          <t>2024-25 2(a); 2020-21 3(a); 2019-20 2(a); 2011-12 1(a)</t>
        </is>
      </c>
      <c r="N9" s="23" t="b">
        <v>0</v>
      </c>
      <c r="O9" s="24" t="n"/>
      <c r="P9" s="24" t="n"/>
      <c r="Q9" s="6" t="n"/>
    </row>
    <row r="10">
      <c r="A10" s="19" t="n">
        <v>7</v>
      </c>
      <c r="B10" s="19" t="inlineStr">
        <is>
          <t>2023-24</t>
        </is>
      </c>
      <c r="C10" s="19" t="inlineStr">
        <is>
          <t>CSE 213</t>
        </is>
      </c>
      <c r="D10" s="19" t="inlineStr">
        <is>
          <t>5(b)</t>
        </is>
      </c>
      <c r="E10" s="20" t="inlineStr">
        <is>
          <t>One class acting as both Adapter and Facade: example + class diagram</t>
        </is>
      </c>
      <c r="F10" s="20" t="inlineStr">
        <is>
          <t>Adapter (+ Facade) — Structural pp. 61–95</t>
        </is>
      </c>
      <c r="G10" s="19" t="inlineStr">
        <is>
          <t>L3</t>
        </is>
      </c>
      <c r="H10" s="19" t="n">
        <v>12</v>
      </c>
      <c r="I10" s="19" t="n">
        <v>4</v>
      </c>
      <c r="J10" s="21" t="inlineStr">
        <is>
          <t>★★★ High</t>
        </is>
      </c>
      <c r="K10" s="19" t="inlineStr">
        <is>
          <t>Design</t>
        </is>
      </c>
      <c r="L10" s="22" t="inlineStr">
        <is>
          <t>✔ Solved</t>
        </is>
      </c>
      <c r="M10" s="20" t="inlineStr">
        <is>
          <t>2022-23 1(a); 2018-19 4(b); 2016-17 5(d); 2010-11 4(e)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2022-23</t>
        </is>
      </c>
      <c r="C11" s="19" t="inlineStr">
        <is>
          <t>CSE 307</t>
        </is>
      </c>
      <c r="D11" s="19" t="inlineStr">
        <is>
          <t>1(a)</t>
        </is>
      </c>
      <c r="E11" s="20" t="inlineStr">
        <is>
          <t>Temperature by city, client passes zip code — class diagram + code</t>
        </is>
      </c>
      <c r="F11" s="20" t="inlineStr">
        <is>
          <t>Adapter (+ Facade) — Structural pp. 61–95</t>
        </is>
      </c>
      <c r="G11" s="19" t="inlineStr">
        <is>
          <t>L3</t>
        </is>
      </c>
      <c r="H11" s="19" t="n">
        <v>15</v>
      </c>
      <c r="I11" s="19" t="n">
        <v>8</v>
      </c>
      <c r="J11" s="21" t="inlineStr">
        <is>
          <t>★★★ High</t>
        </is>
      </c>
      <c r="K11" s="19" t="inlineStr">
        <is>
          <t>Design</t>
        </is>
      </c>
      <c r="L11" s="22" t="inlineStr">
        <is>
          <t>✔ Solved</t>
        </is>
      </c>
      <c r="M11" s="20" t="inlineStr">
        <is>
          <t>2023-24 5(b); 2018-19 4(b); 2016-17 5(d); 2010-11 4(e)</t>
        </is>
      </c>
      <c r="N11" s="23" t="b">
        <v>0</v>
      </c>
      <c r="O11" s="19" t="n"/>
      <c r="P11" s="19" t="n"/>
      <c r="Q11" s="20" t="n"/>
    </row>
    <row r="12">
      <c r="A12" s="19" t="n">
        <v>9</v>
      </c>
      <c r="B12" s="19" t="inlineStr">
        <is>
          <t>2018-19</t>
        </is>
      </c>
      <c r="C12" s="19" t="inlineStr">
        <is>
          <t>CSE 307</t>
        </is>
      </c>
      <c r="D12" s="19" t="inlineStr">
        <is>
          <t>4(b)</t>
        </is>
      </c>
      <c r="E12" s="20" t="inlineStr">
        <is>
          <t>Bird / ToyDuck Adapter — class diagram + code</t>
        </is>
      </c>
      <c r="F12" s="20" t="inlineStr">
        <is>
          <t>Adapter (+ Facade) — Structural pp. 61–95</t>
        </is>
      </c>
      <c r="G12" s="19" t="inlineStr">
        <is>
          <t>L3</t>
        </is>
      </c>
      <c r="H12" s="19" t="n">
        <v>18</v>
      </c>
      <c r="I12" s="19" t="n">
        <v>27</v>
      </c>
      <c r="J12" s="25" t="inlineStr">
        <is>
          <t>★★ Medium</t>
        </is>
      </c>
      <c r="K12" s="19" t="inlineStr">
        <is>
          <t>Design</t>
        </is>
      </c>
      <c r="L12" s="22" t="inlineStr">
        <is>
          <t>✔ Solved</t>
        </is>
      </c>
      <c r="M12" s="20" t="inlineStr">
        <is>
          <t>2023-24 5(b); 2022-23 1(a); 2016-17 5(d); 2010-11 4(e)</t>
        </is>
      </c>
      <c r="N12" s="23" t="b">
        <v>0</v>
      </c>
      <c r="O12" s="19" t="n"/>
      <c r="P12" s="19" t="n"/>
      <c r="Q12" s="20" t="n"/>
    </row>
    <row r="13">
      <c r="A13" s="19" t="n">
        <v>10</v>
      </c>
      <c r="B13" s="19" t="inlineStr">
        <is>
          <t>2016-17</t>
        </is>
      </c>
      <c r="C13" s="19" t="inlineStr">
        <is>
          <t>CSE 307</t>
        </is>
      </c>
      <c r="D13" s="19" t="inlineStr">
        <is>
          <t>5(d)</t>
        </is>
      </c>
      <c r="E13" s="20" t="inlineStr">
        <is>
          <t>Class adapter UML; pros/cons of object vs class adapter</t>
        </is>
      </c>
      <c r="F13" s="20" t="inlineStr">
        <is>
          <t>Adapter (+ Facade) — Structural pp. 61–95</t>
        </is>
      </c>
      <c r="G13" s="19" t="inlineStr">
        <is>
          <t>L3</t>
        </is>
      </c>
      <c r="H13" s="19" t="n">
        <v>6.67</v>
      </c>
      <c r="I13" s="19" t="n">
        <v>38</v>
      </c>
      <c r="J13" s="25" t="inlineStr">
        <is>
          <t>★★ Medium</t>
        </is>
      </c>
      <c r="K13" s="19" t="inlineStr">
        <is>
          <t>Theory</t>
        </is>
      </c>
      <c r="L13" s="22" t="inlineStr">
        <is>
          <t>✔ Solved</t>
        </is>
      </c>
      <c r="M13" s="20" t="inlineStr">
        <is>
          <t>2023-24 5(b); 2022-23 1(a); 2018-19 4(b); 2010-11 4(e)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2010-11</t>
        </is>
      </c>
      <c r="C14" s="19" t="inlineStr">
        <is>
          <t>CSE 307</t>
        </is>
      </c>
      <c r="D14" s="19" t="inlineStr">
        <is>
          <t>4(e)</t>
        </is>
      </c>
      <c r="E14" s="20" t="inlineStr">
        <is>
          <t>LibX replaced by LibY with different interfaces — pattern + class diagram</t>
        </is>
      </c>
      <c r="F14" s="20" t="inlineStr">
        <is>
          <t>Adapter (+ Facade) — Structural pp. 61–95</t>
        </is>
      </c>
      <c r="G14" s="19" t="inlineStr">
        <is>
          <t>L3</t>
        </is>
      </c>
      <c r="H14" s="19" t="n">
        <v>7</v>
      </c>
      <c r="I14" s="19" t="n">
        <v>68</v>
      </c>
      <c r="J14" s="25" t="inlineStr">
        <is>
          <t>★★ Medium</t>
        </is>
      </c>
      <c r="K14" s="19" t="inlineStr">
        <is>
          <t>Design</t>
        </is>
      </c>
      <c r="L14" s="22" t="inlineStr">
        <is>
          <t>✔ Solved</t>
        </is>
      </c>
      <c r="M14" s="20" t="inlineStr">
        <is>
          <t>2023-24 5(b); 2022-23 1(a); 2018-19 4(b); 2016-17 5(d)</t>
        </is>
      </c>
      <c r="N14" s="23" t="b">
        <v>0</v>
      </c>
      <c r="O14" s="19" t="n"/>
      <c r="P14" s="19" t="n"/>
      <c r="Q14" s="20" t="n"/>
    </row>
  </sheetData>
  <autoFilter ref="A3:Q14"/>
  <conditionalFormatting sqref="A4:Q14">
    <cfRule type="expression" priority="1" dxfId="0">
      <formula>$N4=TRUE</formula>
    </cfRule>
  </conditionalFormatting>
  <conditionalFormatting sqref="O4:O14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4" showDropDown="0" showInputMessage="0" showErrorMessage="0" allowBlank="1" type="list">
      <formula1>"TRUE,FALSE"</formula1>
    </dataValidation>
    <dataValidation sqref="O4:O14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Behavioral Design Patterns (+ Misc)</t>
        </is>
      </c>
    </row>
    <row r="2">
      <c r="A2" s="2" t="inlineStr">
        <is>
          <t>Note file: CSE213_IJ_Behavioral_Patterns_Notes.docx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2020-21</t>
        </is>
      </c>
      <c r="C4" s="19" t="inlineStr">
        <is>
          <t>CSE 307</t>
        </is>
      </c>
      <c r="D4" s="19" t="inlineStr">
        <is>
          <t>2(a)</t>
        </is>
      </c>
      <c r="E4" s="20" t="inlineStr">
        <is>
          <t>Talk-time schemes added often: decouple UI programmers from scheme classes</t>
        </is>
      </c>
      <c r="F4" s="20" t="inlineStr">
        <is>
          <t>Strategy — Behavioral pp. 4–48</t>
        </is>
      </c>
      <c r="G4" s="19" t="inlineStr">
        <is>
          <t>L5</t>
        </is>
      </c>
      <c r="H4" s="19" t="n">
        <v>10</v>
      </c>
      <c r="I4" s="19" t="n">
        <v>19</v>
      </c>
      <c r="J4" s="21" t="inlineStr">
        <is>
          <t>★★★ High</t>
        </is>
      </c>
      <c r="K4" s="19" t="inlineStr">
        <is>
          <t>Design</t>
        </is>
      </c>
      <c r="L4" s="22" t="inlineStr">
        <is>
          <t>✔ Solved</t>
        </is>
      </c>
      <c r="M4" s="20" t="inlineStr">
        <is>
          <t>2020-21 2(b); 2020-21 2(c); 2018-19 2(a)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2020-21</t>
        </is>
      </c>
      <c r="C5" s="19" t="inlineStr">
        <is>
          <t>CSE 307</t>
        </is>
      </c>
      <c r="D5" s="19" t="inlineStr">
        <is>
          <t>2(b)</t>
        </is>
      </c>
      <c r="E5" s="20" t="inlineStr">
        <is>
          <t>Strategy pattern for selection / insertion / quick sort</t>
        </is>
      </c>
      <c r="F5" s="20" t="inlineStr">
        <is>
          <t>Strategy — Behavioral pp. 4–48</t>
        </is>
      </c>
      <c r="G5" s="19" t="inlineStr">
        <is>
          <t>L5</t>
        </is>
      </c>
      <c r="H5" s="19" t="n">
        <v>10</v>
      </c>
      <c r="I5" s="19" t="n">
        <v>19</v>
      </c>
      <c r="J5" s="21" t="inlineStr">
        <is>
          <t>★★★ High</t>
        </is>
      </c>
      <c r="K5" s="19" t="inlineStr">
        <is>
          <t>Design</t>
        </is>
      </c>
      <c r="L5" s="22" t="inlineStr">
        <is>
          <t>✔ Solved</t>
        </is>
      </c>
      <c r="M5" s="20" t="inlineStr">
        <is>
          <t>2020-21 2(a); 2020-21 2(c); 2018-19 2(a)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2020-21</t>
        </is>
      </c>
      <c r="C6" s="19" t="inlineStr">
        <is>
          <t>CSE 307</t>
        </is>
      </c>
      <c r="D6" s="19" t="inlineStr">
        <is>
          <t>2(c)</t>
        </is>
      </c>
      <c r="E6" s="20" t="inlineStr">
        <is>
          <t>Student IDs + marks → grades and merit list of top grade, using a pattern + code</t>
        </is>
      </c>
      <c r="F6" s="20" t="inlineStr">
        <is>
          <t>Strategy — Behavioral pp. 4–48</t>
        </is>
      </c>
      <c r="G6" s="19" t="inlineStr">
        <is>
          <t>L5</t>
        </is>
      </c>
      <c r="H6" s="19" t="n">
        <v>15</v>
      </c>
      <c r="I6" s="19" t="n">
        <v>19</v>
      </c>
      <c r="J6" s="21" t="inlineStr">
        <is>
          <t>★★★ High</t>
        </is>
      </c>
      <c r="K6" s="19" t="inlineStr">
        <is>
          <t>Design</t>
        </is>
      </c>
      <c r="L6" s="22" t="inlineStr">
        <is>
          <t>✔ Solved</t>
        </is>
      </c>
      <c r="M6" s="20" t="inlineStr">
        <is>
          <t>2020-21 2(a); 2020-21 2(b); 2018-19 2(a)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2018-19</t>
        </is>
      </c>
      <c r="C7" s="19" t="inlineStr">
        <is>
          <t>CSE 307</t>
        </is>
      </c>
      <c r="D7" s="19" t="inlineStr">
        <is>
          <t>2(a)</t>
        </is>
      </c>
      <c r="E7" s="20" t="inlineStr">
        <is>
          <t>Robots with Aggressive/Defensive/Normal behaviour changed at run time — class diagram + code</t>
        </is>
      </c>
      <c r="F7" s="20" t="inlineStr">
        <is>
          <t>Strategy — Behavioral pp. 4–48</t>
        </is>
      </c>
      <c r="G7" s="19" t="inlineStr">
        <is>
          <t>L5</t>
        </is>
      </c>
      <c r="H7" s="19" t="n">
        <v>20</v>
      </c>
      <c r="I7" s="19" t="n">
        <v>26</v>
      </c>
      <c r="J7" s="25" t="inlineStr">
        <is>
          <t>★★ Medium</t>
        </is>
      </c>
      <c r="K7" s="19" t="inlineStr">
        <is>
          <t>Design</t>
        </is>
      </c>
      <c r="L7" s="22" t="inlineStr">
        <is>
          <t>✔ Solved</t>
        </is>
      </c>
      <c r="M7" s="20" t="inlineStr">
        <is>
          <t>2020-21 2(a); 2020-21 2(b); 2020-21 2(c)</t>
        </is>
      </c>
      <c r="N7" s="23" t="b">
        <v>0</v>
      </c>
      <c r="O7" s="19" t="n"/>
      <c r="P7" s="19" t="n"/>
      <c r="Q7" s="20" t="n"/>
    </row>
    <row r="8">
      <c r="A8" s="24" t="n">
        <v>5</v>
      </c>
      <c r="B8" s="24" t="inlineStr">
        <is>
          <t>2024-25</t>
        </is>
      </c>
      <c r="C8" s="24" t="inlineStr">
        <is>
          <t>CSE 213</t>
        </is>
      </c>
      <c r="D8" s="24" t="inlineStr">
        <is>
          <t>8(a)</t>
        </is>
      </c>
      <c r="E8" s="6" t="inlineStr">
        <is>
          <t>Redesign DataParser with Template Method + Strategy (Java)</t>
        </is>
      </c>
      <c r="F8" s="6" t="inlineStr">
        <is>
          <t>Template Method — Behavioral pp. 49–81</t>
        </is>
      </c>
      <c r="G8" s="24" t="inlineStr">
        <is>
          <t>L6</t>
        </is>
      </c>
      <c r="H8" s="24" t="n">
        <v>15</v>
      </c>
      <c r="I8" s="24" t="inlineStr">
        <is>
          <t>22 batch p.8</t>
        </is>
      </c>
      <c r="J8" s="21" t="inlineStr">
        <is>
          <t>★★★ High</t>
        </is>
      </c>
      <c r="K8" s="24" t="inlineStr">
        <is>
          <t>Design</t>
        </is>
      </c>
      <c r="L8" s="22" t="inlineStr">
        <is>
          <t>✔ Solved</t>
        </is>
      </c>
      <c r="M8" s="6" t="inlineStr">
        <is>
          <t>—</t>
        </is>
      </c>
      <c r="N8" s="23" t="b">
        <v>0</v>
      </c>
      <c r="O8" s="24" t="n"/>
      <c r="P8" s="24" t="n"/>
      <c r="Q8" s="6" t="n"/>
    </row>
    <row r="9">
      <c r="A9" s="19" t="n">
        <v>6</v>
      </c>
      <c r="B9" s="19" t="inlineStr">
        <is>
          <t>2024-25</t>
        </is>
      </c>
      <c r="C9" s="19" t="inlineStr">
        <is>
          <t>CSE 213</t>
        </is>
      </c>
      <c r="D9" s="19" t="inlineStr">
        <is>
          <t>8(b)</t>
        </is>
      </c>
      <c r="E9" s="20" t="inlineStr">
        <is>
          <t>Breaking-news displays update automatically — pattern</t>
        </is>
      </c>
      <c r="F9" s="20" t="inlineStr">
        <is>
          <t>Observer — Behavioral pp. 82–128</t>
        </is>
      </c>
      <c r="G9" s="19" t="inlineStr">
        <is>
          <t>L7</t>
        </is>
      </c>
      <c r="H9" s="19" t="n">
        <v>10</v>
      </c>
      <c r="I9" s="19" t="inlineStr">
        <is>
          <t>22 batch p.8</t>
        </is>
      </c>
      <c r="J9" s="21" t="inlineStr">
        <is>
          <t>★★★ High</t>
        </is>
      </c>
      <c r="K9" s="19" t="inlineStr">
        <is>
          <t>Design</t>
        </is>
      </c>
      <c r="L9" s="22" t="inlineStr">
        <is>
          <t>✔ Solved</t>
        </is>
      </c>
      <c r="M9" s="20" t="inlineStr">
        <is>
          <t>2023-24 2(a); 2022-23 4(a); 2020-21 3(b); 2017-18 8(b); 2010-11 4(c)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2023-24</t>
        </is>
      </c>
      <c r="C10" s="19" t="inlineStr">
        <is>
          <t>CSE 213</t>
        </is>
      </c>
      <c r="D10" s="19" t="inlineStr">
        <is>
          <t>2(a)</t>
        </is>
      </c>
      <c r="E10" s="20" t="inlineStr">
        <is>
          <t>StockMarket / StockGrabber: UML with pattern + code for StockGrabber and StockObserver</t>
        </is>
      </c>
      <c r="F10" s="20" t="inlineStr">
        <is>
          <t>Observer — Behavioral pp. 82–128</t>
        </is>
      </c>
      <c r="G10" s="19" t="inlineStr">
        <is>
          <t>L7</t>
        </is>
      </c>
      <c r="H10" s="19" t="n">
        <v>22</v>
      </c>
      <c r="I10" s="19" t="n">
        <v>2</v>
      </c>
      <c r="J10" s="21" t="inlineStr">
        <is>
          <t>★★★ High</t>
        </is>
      </c>
      <c r="K10" s="19" t="inlineStr">
        <is>
          <t>Design</t>
        </is>
      </c>
      <c r="L10" s="22" t="inlineStr">
        <is>
          <t>✔ Solved</t>
        </is>
      </c>
      <c r="M10" s="20" t="inlineStr">
        <is>
          <t>2024-25 8(b); 2022-23 4(a); 2020-21 3(b); 2017-18 8(b); 2010-11 4(c)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2022-23</t>
        </is>
      </c>
      <c r="C11" s="19" t="inlineStr">
        <is>
          <t>CSE 307</t>
        </is>
      </c>
      <c r="D11" s="19" t="inlineStr">
        <is>
          <t>4(a)</t>
        </is>
      </c>
      <c r="E11" s="20" t="inlineStr">
        <is>
          <t>BUET alumni blog notifies subscribers — class diagram + code</t>
        </is>
      </c>
      <c r="F11" s="20" t="inlineStr">
        <is>
          <t>Observer — Behavioral pp. 82–128</t>
        </is>
      </c>
      <c r="G11" s="19" t="inlineStr">
        <is>
          <t>L7</t>
        </is>
      </c>
      <c r="H11" s="19" t="n">
        <v>15</v>
      </c>
      <c r="I11" s="19" t="n">
        <v>9</v>
      </c>
      <c r="J11" s="21" t="inlineStr">
        <is>
          <t>★★★ High</t>
        </is>
      </c>
      <c r="K11" s="19" t="inlineStr">
        <is>
          <t>Design</t>
        </is>
      </c>
      <c r="L11" s="22" t="inlineStr">
        <is>
          <t>✔ Solved</t>
        </is>
      </c>
      <c r="M11" s="20" t="inlineStr">
        <is>
          <t>2024-25 8(b); 2023-24 2(a); 2020-21 3(b); 2017-18 8(b); 2010-11 4(c)</t>
        </is>
      </c>
      <c r="N11" s="23" t="b">
        <v>0</v>
      </c>
      <c r="O11" s="19" t="n"/>
      <c r="P11" s="19" t="n"/>
      <c r="Q11" s="20" t="n"/>
    </row>
    <row r="12">
      <c r="A12" s="19" t="n">
        <v>9</v>
      </c>
      <c r="B12" s="19" t="inlineStr">
        <is>
          <t>2020-21</t>
        </is>
      </c>
      <c r="C12" s="19" t="inlineStr">
        <is>
          <t>CSE 307</t>
        </is>
      </c>
      <c r="D12" s="19" t="inlineStr">
        <is>
          <t>3(b)</t>
        </is>
      </c>
      <c r="E12" s="20" t="inlineStr">
        <is>
          <t>Dashboard of max/avg temperature updated at end of day</t>
        </is>
      </c>
      <c r="F12" s="20" t="inlineStr">
        <is>
          <t>Observer — Behavioral pp. 82–128</t>
        </is>
      </c>
      <c r="G12" s="19" t="inlineStr">
        <is>
          <t>L7</t>
        </is>
      </c>
      <c r="H12" s="19" t="n">
        <v>10</v>
      </c>
      <c r="I12" s="19" t="n">
        <v>20</v>
      </c>
      <c r="J12" s="21" t="inlineStr">
        <is>
          <t>★★★ High</t>
        </is>
      </c>
      <c r="K12" s="19" t="inlineStr">
        <is>
          <t>Design</t>
        </is>
      </c>
      <c r="L12" s="22" t="inlineStr">
        <is>
          <t>✔ Solved</t>
        </is>
      </c>
      <c r="M12" s="20" t="inlineStr">
        <is>
          <t>2024-25 8(b); 2023-24 2(a); 2022-23 4(a); 2017-18 8(b); 2010-11 4(c)</t>
        </is>
      </c>
      <c r="N12" s="23" t="b">
        <v>0</v>
      </c>
      <c r="O12" s="19" t="n"/>
      <c r="P12" s="19" t="n"/>
      <c r="Q12" s="20" t="n"/>
    </row>
    <row r="13">
      <c r="A13" s="19" t="n">
        <v>10</v>
      </c>
      <c r="B13" s="19" t="inlineStr">
        <is>
          <t>2017-18</t>
        </is>
      </c>
      <c r="C13" s="19" t="inlineStr">
        <is>
          <t>CSE 307</t>
        </is>
      </c>
      <c r="D13" s="19" t="inlineStr">
        <is>
          <t>8(b)</t>
        </is>
      </c>
      <c r="E13" s="20" t="inlineStr">
        <is>
          <t>Blog notifies registered users of new articles — class diagram + code</t>
        </is>
      </c>
      <c r="F13" s="20" t="inlineStr">
        <is>
          <t>Observer — Behavioral pp. 82–128</t>
        </is>
      </c>
      <c r="G13" s="19" t="inlineStr">
        <is>
          <t>L7</t>
        </is>
      </c>
      <c r="H13" s="19" t="n">
        <v>17</v>
      </c>
      <c r="I13" s="19" t="n">
        <v>34</v>
      </c>
      <c r="J13" s="25" t="inlineStr">
        <is>
          <t>★★ Medium</t>
        </is>
      </c>
      <c r="K13" s="19" t="inlineStr">
        <is>
          <t>Design</t>
        </is>
      </c>
      <c r="L13" s="22" t="inlineStr">
        <is>
          <t>✔ Solved</t>
        </is>
      </c>
      <c r="M13" s="20" t="inlineStr">
        <is>
          <t>2024-25 8(b); 2023-24 2(a); 2022-23 4(a); 2020-21 3(b); 2010-11 4(c)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2010-11</t>
        </is>
      </c>
      <c r="C14" s="19" t="inlineStr">
        <is>
          <t>CSE 307</t>
        </is>
      </c>
      <c r="D14" s="19" t="inlineStr">
        <is>
          <t>4(c)</t>
        </is>
      </c>
      <c r="E14" s="20" t="inlineStr">
        <is>
          <t>Facebook group: join/leave, receive wall updates — pattern, class diagram, code</t>
        </is>
      </c>
      <c r="F14" s="20" t="inlineStr">
        <is>
          <t>Observer — Behavioral pp. 82–128</t>
        </is>
      </c>
      <c r="G14" s="19" t="inlineStr">
        <is>
          <t>L7</t>
        </is>
      </c>
      <c r="H14" s="19" t="n">
        <v>12</v>
      </c>
      <c r="I14" s="19" t="inlineStr">
        <is>
          <t>67–68</t>
        </is>
      </c>
      <c r="J14" s="25" t="inlineStr">
        <is>
          <t>★★ Medium</t>
        </is>
      </c>
      <c r="K14" s="19" t="inlineStr">
        <is>
          <t>Design</t>
        </is>
      </c>
      <c r="L14" s="22" t="inlineStr">
        <is>
          <t>✔ Solved</t>
        </is>
      </c>
      <c r="M14" s="20" t="inlineStr">
        <is>
          <t>2024-25 8(b); 2023-24 2(a); 2022-23 4(a); 2020-21 3(b); 2017-18 8(b)</t>
        </is>
      </c>
      <c r="N14" s="23" t="b">
        <v>0</v>
      </c>
      <c r="O14" s="19" t="n"/>
      <c r="P14" s="19" t="n"/>
      <c r="Q14" s="20" t="n"/>
    </row>
    <row r="15">
      <c r="A15" s="24" t="n">
        <v>12</v>
      </c>
      <c r="B15" s="24" t="inlineStr">
        <is>
          <t>2022-23</t>
        </is>
      </c>
      <c r="C15" s="24" t="inlineStr">
        <is>
          <t>CSE 307</t>
        </is>
      </c>
      <c r="D15" s="24" t="inlineStr">
        <is>
          <t>2(a)</t>
        </is>
      </c>
      <c r="E15" s="6" t="inlineStr">
        <is>
          <t>Air-traffic control tower — class diagram + code</t>
        </is>
      </c>
      <c r="F15" s="6" t="inlineStr">
        <is>
          <t>Mediator — Behavioral pp. 129–167</t>
        </is>
      </c>
      <c r="G15" s="24" t="inlineStr">
        <is>
          <t>L8</t>
        </is>
      </c>
      <c r="H15" s="24" t="n">
        <v>15</v>
      </c>
      <c r="I15" s="24" t="n">
        <v>8</v>
      </c>
      <c r="J15" s="21" t="inlineStr">
        <is>
          <t>★★★ High</t>
        </is>
      </c>
      <c r="K15" s="24" t="inlineStr">
        <is>
          <t>Design</t>
        </is>
      </c>
      <c r="L15" s="22" t="inlineStr">
        <is>
          <t>✔ Solved</t>
        </is>
      </c>
      <c r="M15" s="6" t="inlineStr">
        <is>
          <t>2019-20 1(b)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2019-20</t>
        </is>
      </c>
      <c r="C16" s="24" t="inlineStr">
        <is>
          <t>CSE 307</t>
        </is>
      </c>
      <c r="D16" s="24" t="inlineStr">
        <is>
          <t>1(b)</t>
        </is>
      </c>
      <c r="E16" s="6" t="inlineStr">
        <is>
          <t>Central broker forwards sorting requests to three servers, with a queue — Mediator</t>
        </is>
      </c>
      <c r="F16" s="6" t="inlineStr">
        <is>
          <t>Mediator — Behavioral pp. 129–167</t>
        </is>
      </c>
      <c r="G16" s="24" t="inlineStr">
        <is>
          <t>L8</t>
        </is>
      </c>
      <c r="H16" s="24" t="n">
        <v>20</v>
      </c>
      <c r="I16" s="24" t="n">
        <v>22</v>
      </c>
      <c r="J16" s="21" t="inlineStr">
        <is>
          <t>★★★ High</t>
        </is>
      </c>
      <c r="K16" s="24" t="inlineStr">
        <is>
          <t>Design</t>
        </is>
      </c>
      <c r="L16" s="22" t="inlineStr">
        <is>
          <t>✔ Solved</t>
        </is>
      </c>
      <c r="M16" s="6" t="inlineStr">
        <is>
          <t>2022-23 2(a)</t>
        </is>
      </c>
      <c r="N16" s="23" t="b">
        <v>0</v>
      </c>
      <c r="O16" s="24" t="n"/>
      <c r="P16" s="24" t="n"/>
      <c r="Q16" s="6" t="n"/>
    </row>
    <row r="17">
      <c r="A17" s="19" t="n">
        <v>14</v>
      </c>
      <c r="B17" s="19" t="inlineStr">
        <is>
          <t>2024-25</t>
        </is>
      </c>
      <c r="C17" s="19" t="inlineStr">
        <is>
          <t>CSE 213</t>
        </is>
      </c>
      <c r="D17" s="19" t="inlineStr">
        <is>
          <t>5(b)</t>
        </is>
      </c>
      <c r="E17" s="20" t="inlineStr">
        <is>
          <t>Smart Home Hub: (i) Mediator vs direct links (ii) record/queue/replay actions — pattern</t>
        </is>
      </c>
      <c r="F17" s="20" t="inlineStr">
        <is>
          <t>Command — Behavioral pp. 168–202</t>
        </is>
      </c>
      <c r="G17" s="19" t="inlineStr">
        <is>
          <t>L9</t>
        </is>
      </c>
      <c r="H17" s="19" t="n">
        <v>10</v>
      </c>
      <c r="I17" s="19" t="inlineStr">
        <is>
          <t>22 batch p.6</t>
        </is>
      </c>
      <c r="J17" s="21" t="inlineStr">
        <is>
          <t>★★★ High</t>
        </is>
      </c>
      <c r="K17" s="19" t="inlineStr">
        <is>
          <t>Design</t>
        </is>
      </c>
      <c r="L17" s="22" t="inlineStr">
        <is>
          <t>✔ Solved</t>
        </is>
      </c>
      <c r="M17" s="20" t="inlineStr">
        <is>
          <t>—</t>
        </is>
      </c>
      <c r="N17" s="23" t="b">
        <v>0</v>
      </c>
      <c r="O17" s="19" t="n"/>
      <c r="P17" s="19" t="n"/>
      <c r="Q17" s="20" t="n"/>
    </row>
    <row r="18">
      <c r="A18" s="24" t="n">
        <v>15</v>
      </c>
      <c r="B18" s="24" t="inlineStr">
        <is>
          <t>2024-25</t>
        </is>
      </c>
      <c r="C18" s="24" t="inlineStr">
        <is>
          <t>CSE 213</t>
        </is>
      </c>
      <c r="D18" s="24" t="inlineStr">
        <is>
          <t>8(c)</t>
        </is>
      </c>
      <c r="E18" s="6" t="inlineStr">
        <is>
          <t>State vs Strategy pattern</t>
        </is>
      </c>
      <c r="F18" s="6" t="inlineStr">
        <is>
          <t>State — Behavioral pp. 203–260</t>
        </is>
      </c>
      <c r="G18" s="24" t="inlineStr">
        <is>
          <t>L10</t>
        </is>
      </c>
      <c r="H18" s="24" t="n">
        <v>10</v>
      </c>
      <c r="I18" s="24" t="inlineStr">
        <is>
          <t>22 batch p.8</t>
        </is>
      </c>
      <c r="J18" s="21" t="inlineStr">
        <is>
          <t>★★★ High</t>
        </is>
      </c>
      <c r="K18" s="24" t="inlineStr">
        <is>
          <t>Theory</t>
        </is>
      </c>
      <c r="L18" s="22" t="inlineStr">
        <is>
          <t>✔ Solved</t>
        </is>
      </c>
      <c r="M18" s="6" t="inlineStr">
        <is>
          <t>—</t>
        </is>
      </c>
      <c r="N18" s="23" t="b">
        <v>0</v>
      </c>
      <c r="O18" s="24" t="n"/>
      <c r="P18" s="24" t="n"/>
      <c r="Q18" s="6" t="n"/>
    </row>
    <row r="19">
      <c r="A19" s="19" t="n">
        <v>16</v>
      </c>
      <c r="B19" s="19" t="inlineStr">
        <is>
          <t>2023-24</t>
        </is>
      </c>
      <c r="C19" s="19" t="inlineStr">
        <is>
          <t>CSE 213</t>
        </is>
      </c>
      <c r="D19" s="19" t="inlineStr">
        <is>
          <t>2(b)</t>
        </is>
      </c>
      <c r="E19" s="20" t="inlineStr">
        <is>
          <t>HelpHandler / Widget / Button / Dialog / Application: UML using the pattern (help requests)</t>
        </is>
      </c>
      <c r="F19" s="20" t="inlineStr">
        <is>
          <t>Identify pattern, CoR, Interpreter — mixed</t>
        </is>
      </c>
      <c r="G19" s="19" t="inlineStr">
        <is>
          <t>L11</t>
        </is>
      </c>
      <c r="H19" s="19" t="n">
        <v>8</v>
      </c>
      <c r="I19" s="19" t="inlineStr">
        <is>
          <t>2–3</t>
        </is>
      </c>
      <c r="J19" s="21" t="inlineStr">
        <is>
          <t>★★★ High</t>
        </is>
      </c>
      <c r="K19" s="19" t="inlineStr">
        <is>
          <t>Design</t>
        </is>
      </c>
      <c r="L19" s="22" t="inlineStr">
        <is>
          <t>✔ Solved</t>
        </is>
      </c>
      <c r="M19" s="20" t="inlineStr">
        <is>
          <t>—</t>
        </is>
      </c>
      <c r="N19" s="23" t="b">
        <v>0</v>
      </c>
      <c r="O19" s="19" t="n"/>
      <c r="P19" s="19" t="n"/>
      <c r="Q19" s="20" t="n"/>
    </row>
    <row r="20">
      <c r="A20" s="19" t="n">
        <v>17</v>
      </c>
      <c r="B20" s="19" t="inlineStr">
        <is>
          <t>2021-22</t>
        </is>
      </c>
      <c r="C20" s="19" t="inlineStr">
        <is>
          <t>CSE 307</t>
        </is>
      </c>
      <c r="D20" s="19" t="inlineStr">
        <is>
          <t>4(a)</t>
        </is>
      </c>
      <c r="E20" s="20" t="inlineStr">
        <is>
          <t>Identify patterns: (i) NuetFlix genre recommendations (ii) jit kommit/pussh/stashh (iii) BanglaPhone switch implementations (iv) R2-D2 anonymous reviews</t>
        </is>
      </c>
      <c r="F20" s="20" t="inlineStr">
        <is>
          <t>Identify pattern, CoR, Interpreter — mixed</t>
        </is>
      </c>
      <c r="G20" s="19" t="inlineStr">
        <is>
          <t>L11</t>
        </is>
      </c>
      <c r="H20" s="19" t="n">
        <v>20</v>
      </c>
      <c r="I20" s="19" t="n">
        <v>16</v>
      </c>
      <c r="J20" s="21" t="inlineStr">
        <is>
          <t>★★★ High</t>
        </is>
      </c>
      <c r="K20" s="19" t="inlineStr">
        <is>
          <t>Design</t>
        </is>
      </c>
      <c r="L20" s="22" t="inlineStr">
        <is>
          <t>✔ Solved</t>
        </is>
      </c>
      <c r="M20" s="20" t="inlineStr">
        <is>
          <t>2012-13 1(c)</t>
        </is>
      </c>
      <c r="N20" s="23" t="b">
        <v>0</v>
      </c>
      <c r="O20" s="19" t="n"/>
      <c r="P20" s="19" t="n"/>
      <c r="Q20" s="20" t="n"/>
    </row>
    <row r="21">
      <c r="A21" s="19" t="n">
        <v>18</v>
      </c>
      <c r="B21" s="19" t="inlineStr">
        <is>
          <t>2012-13</t>
        </is>
      </c>
      <c r="C21" s="19" t="inlineStr">
        <is>
          <t>CSE 307</t>
        </is>
      </c>
      <c r="D21" s="19" t="inlineStr">
        <is>
          <t>1(c)</t>
        </is>
      </c>
      <c r="E21" s="20" t="inlineStr">
        <is>
          <t>Evaluate 'A op1 B op2 C': choose a pattern and draw the class diagram</t>
        </is>
      </c>
      <c r="F21" s="20" t="inlineStr">
        <is>
          <t>Identify pattern, CoR, Interpreter — mixed</t>
        </is>
      </c>
      <c r="G21" s="19" t="inlineStr">
        <is>
          <t>L11</t>
        </is>
      </c>
      <c r="H21" s="19" t="n">
        <v>14</v>
      </c>
      <c r="I21" s="19" t="n">
        <v>50</v>
      </c>
      <c r="J21" s="25" t="inlineStr">
        <is>
          <t>★★ Medium</t>
        </is>
      </c>
      <c r="K21" s="19" t="inlineStr">
        <is>
          <t>Design</t>
        </is>
      </c>
      <c r="L21" s="22" t="inlineStr">
        <is>
          <t>✔ Solved</t>
        </is>
      </c>
      <c r="M21" s="20" t="inlineStr">
        <is>
          <t>2021-22 4(a)</t>
        </is>
      </c>
      <c r="N21" s="23" t="b">
        <v>0</v>
      </c>
      <c r="O21" s="19" t="n"/>
      <c r="P21" s="19" t="n"/>
      <c r="Q21" s="20" t="n"/>
    </row>
  </sheetData>
  <autoFilter ref="A3:Q21"/>
  <conditionalFormatting sqref="A4:Q21">
    <cfRule type="expression" priority="1" dxfId="0">
      <formula>$N4=TRUE</formula>
    </cfRule>
  </conditionalFormatting>
  <conditionalFormatting sqref="O4:O21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21" showDropDown="0" showInputMessage="0" showErrorMessage="0" allowBlank="1" type="list">
      <formula1>"TRUE,FALSE"</formula1>
    </dataValidation>
    <dataValidation sqref="O4:O21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3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Process Models and Agile Development</t>
        </is>
      </c>
    </row>
    <row r="2">
      <c r="A2" s="2" t="inlineStr">
        <is>
          <t>Note file: CSE213_IJ_Process_Agile_Notes.docx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2022-23</t>
        </is>
      </c>
      <c r="C4" s="19" t="inlineStr">
        <is>
          <t>CSE 307</t>
        </is>
      </c>
      <c r="D4" s="19" t="inlineStr">
        <is>
          <t>6(a)</t>
        </is>
      </c>
      <c r="E4" s="20" t="inlineStr">
        <is>
          <t>Core activities of the generic process model; waterfall + advantages/disadvantages</t>
        </is>
      </c>
      <c r="F4" s="20" t="inlineStr">
        <is>
          <t>Generic process model — Process pp. 2–16</t>
        </is>
      </c>
      <c r="G4" s="19" t="inlineStr">
        <is>
          <t>L12</t>
        </is>
      </c>
      <c r="H4" s="19" t="n">
        <v>10</v>
      </c>
      <c r="I4" s="19" t="n">
        <v>11</v>
      </c>
      <c r="J4" s="21" t="inlineStr">
        <is>
          <t>★★★ High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2021-22 6(a); 2018-19 5(c); 2018-19 8(a); 2018-19 8(b); 2017-18 2(a); 2017-18 2(b)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2018-19</t>
        </is>
      </c>
      <c r="C5" s="19" t="inlineStr">
        <is>
          <t>CSE 307</t>
        </is>
      </c>
      <c r="D5" s="19" t="inlineStr">
        <is>
          <t>5(c)</t>
        </is>
      </c>
      <c r="E5" s="20" t="inlineStr">
        <is>
          <t>Framework activity; five PSP framework activities</t>
        </is>
      </c>
      <c r="F5" s="20" t="inlineStr">
        <is>
          <t>Generic process model — Process pp. 2–16</t>
        </is>
      </c>
      <c r="G5" s="19" t="inlineStr">
        <is>
          <t>L12</t>
        </is>
      </c>
      <c r="H5" s="19" t="n">
        <v>13</v>
      </c>
      <c r="I5" s="19" t="n">
        <v>28</v>
      </c>
      <c r="J5" s="25" t="inlineStr">
        <is>
          <t>★★ Medium</t>
        </is>
      </c>
      <c r="K5" s="19" t="inlineStr">
        <is>
          <t>Theory</t>
        </is>
      </c>
      <c r="L5" s="26" t="inlineStr">
        <is>
          <t>◐ Method</t>
        </is>
      </c>
      <c r="M5" s="20" t="inlineStr">
        <is>
          <t>2022-23 6(a); 2021-22 6(a); 2018-19 8(a); 2018-19 8(b); 2017-18 2(a); 2017-18 2(b)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2014-15</t>
        </is>
      </c>
      <c r="C6" s="19" t="inlineStr">
        <is>
          <t>CSE 307</t>
        </is>
      </c>
      <c r="D6" s="19" t="inlineStr">
        <is>
          <t>4(a)</t>
        </is>
      </c>
      <c r="E6" s="20" t="inlineStr">
        <is>
          <t>Why framework activities do not suit every project</t>
        </is>
      </c>
      <c r="F6" s="20" t="inlineStr">
        <is>
          <t>Generic process model — Process pp. 2–16</t>
        </is>
      </c>
      <c r="G6" s="19" t="inlineStr">
        <is>
          <t>L12</t>
        </is>
      </c>
      <c r="H6" s="19" t="n">
        <v>6.67</v>
      </c>
      <c r="I6" s="19" t="n">
        <v>42</v>
      </c>
      <c r="J6" s="25" t="inlineStr">
        <is>
          <t>★★ Medium</t>
        </is>
      </c>
      <c r="K6" s="19" t="inlineStr">
        <is>
          <t>Theory</t>
        </is>
      </c>
      <c r="L6" s="26" t="inlineStr">
        <is>
          <t>◐ Method</t>
        </is>
      </c>
      <c r="M6" s="20" t="inlineStr">
        <is>
          <t>2022-23 6(a); 2021-22 6(a); 2018-19 5(c); 2018-19 8(a); 2018-19 8(b); 2017-18 2(a)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2013-14</t>
        </is>
      </c>
      <c r="C7" s="19" t="inlineStr">
        <is>
          <t>CSE 307</t>
        </is>
      </c>
      <c r="D7" s="19" t="inlineStr">
        <is>
          <t>4(c)</t>
        </is>
      </c>
      <c r="E7" s="20" t="inlineStr">
        <is>
          <t>Framework and umbrella activities</t>
        </is>
      </c>
      <c r="F7" s="20" t="inlineStr">
        <is>
          <t>Generic process model — Process pp. 2–16</t>
        </is>
      </c>
      <c r="G7" s="19" t="inlineStr">
        <is>
          <t>L12</t>
        </is>
      </c>
      <c r="H7" s="19" t="n">
        <v>8</v>
      </c>
      <c r="I7" s="19" t="n">
        <v>47</v>
      </c>
      <c r="J7" s="25" t="inlineStr">
        <is>
          <t>★★ Medium</t>
        </is>
      </c>
      <c r="K7" s="19" t="inlineStr">
        <is>
          <t>Theory</t>
        </is>
      </c>
      <c r="L7" s="22" t="inlineStr">
        <is>
          <t>✔ Solved</t>
        </is>
      </c>
      <c r="M7" s="20" t="inlineStr">
        <is>
          <t>2022-23 6(a); 2021-22 6(a); 2018-19 5(c); 2018-19 8(a); 2018-19 8(b); 2017-18 2(a)</t>
        </is>
      </c>
      <c r="N7" s="23" t="b">
        <v>0</v>
      </c>
      <c r="O7" s="19" t="n"/>
      <c r="P7" s="19" t="n"/>
      <c r="Q7" s="20" t="n"/>
    </row>
    <row r="8">
      <c r="A8" s="24" t="n">
        <v>5</v>
      </c>
      <c r="B8" s="24" t="inlineStr">
        <is>
          <t>2024-25</t>
        </is>
      </c>
      <c r="C8" s="24" t="inlineStr">
        <is>
          <t>CSE 213</t>
        </is>
      </c>
      <c r="D8" s="24" t="inlineStr">
        <is>
          <t>1(c)</t>
        </is>
      </c>
      <c r="E8" s="6" t="inlineStr">
        <is>
          <t>Mental-health companion app: is the incremental model suitable? Propose alternatives</t>
        </is>
      </c>
      <c r="F8" s="6" t="inlineStr">
        <is>
          <t>Prescriptive models — Process pp. 15–42</t>
        </is>
      </c>
      <c r="G8" s="24" t="inlineStr">
        <is>
          <t>L13</t>
        </is>
      </c>
      <c r="H8" s="24" t="n">
        <v>10</v>
      </c>
      <c r="I8" s="24" t="inlineStr">
        <is>
          <t>22 batch p.1</t>
        </is>
      </c>
      <c r="J8" s="21" t="inlineStr">
        <is>
          <t>★★★ High</t>
        </is>
      </c>
      <c r="K8" s="24" t="inlineStr">
        <is>
          <t>Theory</t>
        </is>
      </c>
      <c r="L8" s="22" t="inlineStr">
        <is>
          <t>✔ Solved</t>
        </is>
      </c>
      <c r="M8" s="6" t="inlineStr">
        <is>
          <t>2023-24 8(a); 2013-14 4(d); 2011-12 8(a)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2021-22</t>
        </is>
      </c>
      <c r="C9" s="24" t="inlineStr">
        <is>
          <t>CSE 307</t>
        </is>
      </c>
      <c r="D9" s="24" t="inlineStr">
        <is>
          <t>6(a)</t>
        </is>
      </c>
      <c r="E9" s="6" t="inlineStr">
        <is>
          <t>How incremental and evolutionary models address waterfall shortcomings</t>
        </is>
      </c>
      <c r="F9" s="6" t="inlineStr">
        <is>
          <t>Prescriptive models — Process pp. 15–42</t>
        </is>
      </c>
      <c r="G9" s="24" t="inlineStr">
        <is>
          <t>L13</t>
        </is>
      </c>
      <c r="H9" s="24" t="n">
        <v>10</v>
      </c>
      <c r="I9" s="24" t="n">
        <v>17</v>
      </c>
      <c r="J9" s="21" t="inlineStr">
        <is>
          <t>★★★ High</t>
        </is>
      </c>
      <c r="K9" s="24" t="inlineStr">
        <is>
          <t>Theory</t>
        </is>
      </c>
      <c r="L9" s="22" t="inlineStr">
        <is>
          <t>✔ Solved</t>
        </is>
      </c>
      <c r="M9" s="6" t="inlineStr">
        <is>
          <t>2022-23 6(a); 2018-19 5(c); 2018-19 8(a); 2018-19 8(b); 2017-18 2(a); 2017-18 2(b)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2018-19</t>
        </is>
      </c>
      <c r="C10" s="24" t="inlineStr">
        <is>
          <t>CSE 307</t>
        </is>
      </c>
      <c r="D10" s="24" t="inlineStr">
        <is>
          <t>8(a)</t>
        </is>
      </c>
      <c r="E10" s="6" t="inlineStr">
        <is>
          <t>V model</t>
        </is>
      </c>
      <c r="F10" s="6" t="inlineStr">
        <is>
          <t>Prescriptive models — Process pp. 15–42</t>
        </is>
      </c>
      <c r="G10" s="24" t="inlineStr">
        <is>
          <t>L13</t>
        </is>
      </c>
      <c r="H10" s="24" t="n">
        <v>7</v>
      </c>
      <c r="I10" s="24" t="n">
        <v>29</v>
      </c>
      <c r="J10" s="25" t="inlineStr">
        <is>
          <t>★★ Medium</t>
        </is>
      </c>
      <c r="K10" s="24" t="inlineStr">
        <is>
          <t>Theory</t>
        </is>
      </c>
      <c r="L10" s="26" t="inlineStr">
        <is>
          <t>◐ Method</t>
        </is>
      </c>
      <c r="M10" s="6" t="inlineStr">
        <is>
          <t>2022-23 6(a); 2021-22 6(a); 2018-19 5(c); 2018-19 8(b); 2017-18 2(a); 2017-18 2(b)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2018-19</t>
        </is>
      </c>
      <c r="C11" s="24" t="inlineStr">
        <is>
          <t>CSE 307</t>
        </is>
      </c>
      <c r="D11" s="24" t="inlineStr">
        <is>
          <t>8(b)</t>
        </is>
      </c>
      <c r="E11" s="6" t="inlineStr">
        <is>
          <t>When incremental model; four problems of evolutionary models</t>
        </is>
      </c>
      <c r="F11" s="6" t="inlineStr">
        <is>
          <t>Prescriptive models — Process pp. 15–42</t>
        </is>
      </c>
      <c r="G11" s="24" t="inlineStr">
        <is>
          <t>L13</t>
        </is>
      </c>
      <c r="H11" s="24" t="n">
        <v>10</v>
      </c>
      <c r="I11" s="24" t="n">
        <v>29</v>
      </c>
      <c r="J11" s="25" t="inlineStr">
        <is>
          <t>★★ Medium</t>
        </is>
      </c>
      <c r="K11" s="24" t="inlineStr">
        <is>
          <t>Theory</t>
        </is>
      </c>
      <c r="L11" s="26" t="inlineStr">
        <is>
          <t>◐ Method</t>
        </is>
      </c>
      <c r="M11" s="6" t="inlineStr">
        <is>
          <t>2022-23 6(a); 2021-22 6(a); 2018-19 5(c); 2018-19 8(a); 2017-18 2(a); 2017-18 2(b)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2017-18</t>
        </is>
      </c>
      <c r="C12" s="24" t="inlineStr">
        <is>
          <t>CSE 307</t>
        </is>
      </c>
      <c r="D12" s="24" t="inlineStr">
        <is>
          <t>2(a)</t>
        </is>
      </c>
      <c r="E12" s="6" t="inlineStr">
        <is>
          <t>Problems of the waterfall model and which models solve them</t>
        </is>
      </c>
      <c r="F12" s="6" t="inlineStr">
        <is>
          <t>Prescriptive models — Process pp. 15–42</t>
        </is>
      </c>
      <c r="G12" s="24" t="inlineStr">
        <is>
          <t>L13</t>
        </is>
      </c>
      <c r="H12" s="24" t="n">
        <v>7</v>
      </c>
      <c r="I12" s="24" t="n">
        <v>31</v>
      </c>
      <c r="J12" s="25" t="inlineStr">
        <is>
          <t>★★ Medium</t>
        </is>
      </c>
      <c r="K12" s="24" t="inlineStr">
        <is>
          <t>Theory</t>
        </is>
      </c>
      <c r="L12" s="22" t="inlineStr">
        <is>
          <t>✔ Solved</t>
        </is>
      </c>
      <c r="M12" s="6" t="inlineStr">
        <is>
          <t>2022-23 6(a); 2021-22 6(a); 2018-19 5(c); 2018-19 8(a); 2018-19 8(b); 2017-18 2(b)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2017-18</t>
        </is>
      </c>
      <c r="C13" s="24" t="inlineStr">
        <is>
          <t>CSE 307</t>
        </is>
      </c>
      <c r="D13" s="24" t="inlineStr">
        <is>
          <t>2(b)</t>
        </is>
      </c>
      <c r="E13" s="6" t="inlineStr">
        <is>
          <t>Prototyping to elicit an SRS for a government organisation</t>
        </is>
      </c>
      <c r="F13" s="6" t="inlineStr">
        <is>
          <t>Prescriptive models — Process pp. 15–42</t>
        </is>
      </c>
      <c r="G13" s="24" t="inlineStr">
        <is>
          <t>L13</t>
        </is>
      </c>
      <c r="H13" s="24" t="n">
        <v>7</v>
      </c>
      <c r="I13" s="24" t="n">
        <v>31</v>
      </c>
      <c r="J13" s="25" t="inlineStr">
        <is>
          <t>★★ Medium</t>
        </is>
      </c>
      <c r="K13" s="24" t="inlineStr">
        <is>
          <t>Theory</t>
        </is>
      </c>
      <c r="L13" s="26" t="inlineStr">
        <is>
          <t>◐ Method</t>
        </is>
      </c>
      <c r="M13" s="6" t="inlineStr">
        <is>
          <t>2022-23 6(a); 2021-22 6(a); 2018-19 5(c); 2018-19 8(a); 2018-19 8(b); 2017-18 2(a)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2016-17</t>
        </is>
      </c>
      <c r="C14" s="24" t="inlineStr">
        <is>
          <t>CSE 307</t>
        </is>
      </c>
      <c r="D14" s="24" t="inlineStr">
        <is>
          <t>5(b)</t>
        </is>
      </c>
      <c r="E14" s="6" t="inlineStr">
        <is>
          <t>Spiral model; arguments for and against</t>
        </is>
      </c>
      <c r="F14" s="6" t="inlineStr">
        <is>
          <t>Prescriptive models — Process pp. 15–42</t>
        </is>
      </c>
      <c r="G14" s="24" t="inlineStr">
        <is>
          <t>L13</t>
        </is>
      </c>
      <c r="H14" s="24" t="n">
        <v>15</v>
      </c>
      <c r="I14" s="24" t="n">
        <v>38</v>
      </c>
      <c r="J14" s="25" t="inlineStr">
        <is>
          <t>★★ Medium</t>
        </is>
      </c>
      <c r="K14" s="24" t="inlineStr">
        <is>
          <t>Theory</t>
        </is>
      </c>
      <c r="L14" s="22" t="inlineStr">
        <is>
          <t>✔ Solved</t>
        </is>
      </c>
      <c r="M14" s="6" t="inlineStr">
        <is>
          <t>2022-23 6(a); 2021-22 6(a); 2018-19 5(c); 2018-19 8(a); 2018-19 8(b); 2017-18 2(a)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2014-15</t>
        </is>
      </c>
      <c r="C15" s="24" t="inlineStr">
        <is>
          <t>CSE 307</t>
        </is>
      </c>
      <c r="D15" s="24" t="inlineStr">
        <is>
          <t>4(b)</t>
        </is>
      </c>
      <c r="E15" s="6" t="inlineStr">
        <is>
          <t>Incremental vs spiral</t>
        </is>
      </c>
      <c r="F15" s="6" t="inlineStr">
        <is>
          <t>Prescriptive models — Process pp. 15–42</t>
        </is>
      </c>
      <c r="G15" s="24" t="inlineStr">
        <is>
          <t>L13</t>
        </is>
      </c>
      <c r="H15" s="24" t="n">
        <v>10</v>
      </c>
      <c r="I15" s="24" t="n">
        <v>42</v>
      </c>
      <c r="J15" s="25" t="inlineStr">
        <is>
          <t>★★ Medium</t>
        </is>
      </c>
      <c r="K15" s="24" t="inlineStr">
        <is>
          <t>Theory</t>
        </is>
      </c>
      <c r="L15" s="22" t="inlineStr">
        <is>
          <t>✔ Solved</t>
        </is>
      </c>
      <c r="M15" s="6" t="inlineStr">
        <is>
          <t>2022-23 6(a); 2021-22 6(a); 2018-19 5(c); 2018-19 8(a); 2018-19 8(b); 2017-18 2(a)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2014-15</t>
        </is>
      </c>
      <c r="C16" s="24" t="inlineStr">
        <is>
          <t>CSE 307</t>
        </is>
      </c>
      <c r="D16" s="24" t="inlineStr">
        <is>
          <t>4(c)</t>
        </is>
      </c>
      <c r="E16" s="6" t="inlineStr">
        <is>
          <t>Unified process; concurrency and evolution</t>
        </is>
      </c>
      <c r="F16" s="6" t="inlineStr">
        <is>
          <t>Prescriptive models — Process pp. 15–42</t>
        </is>
      </c>
      <c r="G16" s="24" t="inlineStr">
        <is>
          <t>L13</t>
        </is>
      </c>
      <c r="H16" s="24" t="n">
        <v>10</v>
      </c>
      <c r="I16" s="24" t="n">
        <v>42</v>
      </c>
      <c r="J16" s="25" t="inlineStr">
        <is>
          <t>★★ Medium</t>
        </is>
      </c>
      <c r="K16" s="24" t="inlineStr">
        <is>
          <t>Theory</t>
        </is>
      </c>
      <c r="L16" s="26" t="inlineStr">
        <is>
          <t>◐ Method</t>
        </is>
      </c>
      <c r="M16" s="6" t="inlineStr">
        <is>
          <t>2012-13 1(d); 2011-12 8(b)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2014-15</t>
        </is>
      </c>
      <c r="C17" s="24" t="inlineStr">
        <is>
          <t>CSE 307</t>
        </is>
      </c>
      <c r="D17" s="24" t="inlineStr">
        <is>
          <t>5(b)</t>
        </is>
      </c>
      <c r="E17" s="6" t="inlineStr">
        <is>
          <t>Disadvantages of prototyping</t>
        </is>
      </c>
      <c r="F17" s="6" t="inlineStr">
        <is>
          <t>Prescriptive models — Process pp. 15–42</t>
        </is>
      </c>
      <c r="G17" s="24" t="inlineStr">
        <is>
          <t>L13</t>
        </is>
      </c>
      <c r="H17" s="24" t="n">
        <v>10</v>
      </c>
      <c r="I17" s="24" t="n">
        <v>43</v>
      </c>
      <c r="J17" s="25" t="inlineStr">
        <is>
          <t>★★ Medium</t>
        </is>
      </c>
      <c r="K17" s="24" t="inlineStr">
        <is>
          <t>Theory</t>
        </is>
      </c>
      <c r="L17" s="22" t="inlineStr">
        <is>
          <t>✔ Solved</t>
        </is>
      </c>
      <c r="M17" s="6" t="inlineStr">
        <is>
          <t>2022-23 6(a); 2021-22 6(a); 2018-19 5(c); 2018-19 8(a); 2018-19 8(b); 2017-18 2(a)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2013-14</t>
        </is>
      </c>
      <c r="C18" s="24" t="inlineStr">
        <is>
          <t>CSE 307</t>
        </is>
      </c>
      <c r="D18" s="24" t="inlineStr">
        <is>
          <t>4(d)</t>
        </is>
      </c>
      <c r="E18" s="6" t="inlineStr">
        <is>
          <t>Suitable process model for three cases</t>
        </is>
      </c>
      <c r="F18" s="6" t="inlineStr">
        <is>
          <t>Prescriptive models — Process pp. 15–42</t>
        </is>
      </c>
      <c r="G18" s="24" t="inlineStr">
        <is>
          <t>L13</t>
        </is>
      </c>
      <c r="H18" s="24" t="n">
        <v>9</v>
      </c>
      <c r="I18" s="24" t="n">
        <v>47</v>
      </c>
      <c r="J18" s="25" t="inlineStr">
        <is>
          <t>★★ Medium</t>
        </is>
      </c>
      <c r="K18" s="24" t="inlineStr">
        <is>
          <t>Theory</t>
        </is>
      </c>
      <c r="L18" s="22" t="inlineStr">
        <is>
          <t>✔ Solved</t>
        </is>
      </c>
      <c r="M18" s="6" t="inlineStr">
        <is>
          <t>2024-25 1(c); 2023-24 8(a); 2011-12 8(a)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2013-14</t>
        </is>
      </c>
      <c r="C19" s="24" t="inlineStr">
        <is>
          <t>CSE 307</t>
        </is>
      </c>
      <c r="D19" s="24" t="inlineStr">
        <is>
          <t>5(c)</t>
        </is>
      </c>
      <c r="E19" s="6" t="inlineStr">
        <is>
          <t>Discovery prototyping</t>
        </is>
      </c>
      <c r="F19" s="6" t="inlineStr">
        <is>
          <t>Prescriptive models — Process pp. 15–42</t>
        </is>
      </c>
      <c r="G19" s="24" t="inlineStr">
        <is>
          <t>L13</t>
        </is>
      </c>
      <c r="H19" s="24" t="n">
        <v>5</v>
      </c>
      <c r="I19" s="24" t="n">
        <v>47</v>
      </c>
      <c r="J19" s="25" t="inlineStr">
        <is>
          <t>★★ Medium</t>
        </is>
      </c>
      <c r="K19" s="24" t="inlineStr">
        <is>
          <t>Theory</t>
        </is>
      </c>
      <c r="L19" s="26" t="inlineStr">
        <is>
          <t>◐ Method</t>
        </is>
      </c>
      <c r="M19" s="6" t="inlineStr">
        <is>
          <t>2022-23 6(a); 2021-22 6(a); 2018-19 5(c); 2018-19 8(a); 2018-19 8(b); 2017-18 2(a)</t>
        </is>
      </c>
      <c r="N19" s="23" t="b">
        <v>0</v>
      </c>
      <c r="O19" s="24" t="n"/>
      <c r="P19" s="24" t="n"/>
      <c r="Q19" s="6" t="n"/>
    </row>
    <row r="20">
      <c r="A20" s="24" t="n">
        <v>17</v>
      </c>
      <c r="B20" s="24" t="inlineStr">
        <is>
          <t>2012-13</t>
        </is>
      </c>
      <c r="C20" s="24" t="inlineStr">
        <is>
          <t>CSE 307</t>
        </is>
      </c>
      <c r="D20" s="24" t="inlineStr">
        <is>
          <t>1(b)</t>
        </is>
      </c>
      <c r="E20" s="6" t="inlineStr">
        <is>
          <t>'Waterfall may lead to blocking states' — agree?</t>
        </is>
      </c>
      <c r="F20" s="6" t="inlineStr">
        <is>
          <t>Prescriptive models — Process pp. 15–42</t>
        </is>
      </c>
      <c r="G20" s="24" t="inlineStr">
        <is>
          <t>L13</t>
        </is>
      </c>
      <c r="H20" s="24" t="n">
        <v>7</v>
      </c>
      <c r="I20" s="24" t="n">
        <v>50</v>
      </c>
      <c r="J20" s="25" t="inlineStr">
        <is>
          <t>★★ Medium</t>
        </is>
      </c>
      <c r="K20" s="24" t="inlineStr">
        <is>
          <t>Theory</t>
        </is>
      </c>
      <c r="L20" s="22" t="inlineStr">
        <is>
          <t>✔ Solved</t>
        </is>
      </c>
      <c r="M20" s="6" t="inlineStr">
        <is>
          <t>2022-23 6(a); 2021-22 6(a); 2018-19 5(c); 2018-19 8(a); 2018-19 8(b); 2017-18 2(a)</t>
        </is>
      </c>
      <c r="N20" s="23" t="b">
        <v>0</v>
      </c>
      <c r="O20" s="24" t="n"/>
      <c r="P20" s="24" t="n"/>
      <c r="Q20" s="6" t="n"/>
    </row>
    <row r="21">
      <c r="A21" s="24" t="n">
        <v>18</v>
      </c>
      <c r="B21" s="24" t="inlineStr">
        <is>
          <t>2012-13</t>
        </is>
      </c>
      <c r="C21" s="24" t="inlineStr">
        <is>
          <t>CSE 307</t>
        </is>
      </c>
      <c r="D21" s="24" t="inlineStr">
        <is>
          <t>1(d)</t>
        </is>
      </c>
      <c r="E21" s="6" t="inlineStr">
        <is>
          <t>Phases of the Unified Process</t>
        </is>
      </c>
      <c r="F21" s="6" t="inlineStr">
        <is>
          <t>Prescriptive models — Process pp. 15–42</t>
        </is>
      </c>
      <c r="G21" s="24" t="inlineStr">
        <is>
          <t>L13</t>
        </is>
      </c>
      <c r="H21" s="24" t="n">
        <v>15</v>
      </c>
      <c r="I21" s="24" t="n">
        <v>50</v>
      </c>
      <c r="J21" s="25" t="inlineStr">
        <is>
          <t>★★ Medium</t>
        </is>
      </c>
      <c r="K21" s="24" t="inlineStr">
        <is>
          <t>Theory</t>
        </is>
      </c>
      <c r="L21" s="22" t="inlineStr">
        <is>
          <t>✔ Solved</t>
        </is>
      </c>
      <c r="M21" s="6" t="inlineStr">
        <is>
          <t>2014-15 4(c); 2011-12 8(b)</t>
        </is>
      </c>
      <c r="N21" s="23" t="b">
        <v>0</v>
      </c>
      <c r="O21" s="24" t="n"/>
      <c r="P21" s="24" t="n"/>
      <c r="Q21" s="6" t="n"/>
    </row>
    <row r="22">
      <c r="A22" s="24" t="n">
        <v>19</v>
      </c>
      <c r="B22" s="24" t="inlineStr">
        <is>
          <t>2012-13</t>
        </is>
      </c>
      <c r="C22" s="24" t="inlineStr">
        <is>
          <t>CSE 307</t>
        </is>
      </c>
      <c r="D22" s="24" t="inlineStr">
        <is>
          <t>2(c)</t>
        </is>
      </c>
      <c r="E22" s="6" t="inlineStr">
        <is>
          <t>RAD model; why a high-speed waterfall</t>
        </is>
      </c>
      <c r="F22" s="6" t="inlineStr">
        <is>
          <t>Prescriptive models — Process pp. 15–42</t>
        </is>
      </c>
      <c r="G22" s="24" t="inlineStr">
        <is>
          <t>L13</t>
        </is>
      </c>
      <c r="H22" s="24" t="n">
        <v>12</v>
      </c>
      <c r="I22" s="24" t="n">
        <v>50</v>
      </c>
      <c r="J22" s="25" t="inlineStr">
        <is>
          <t>★★ Medium</t>
        </is>
      </c>
      <c r="K22" s="24" t="inlineStr">
        <is>
          <t>Theory</t>
        </is>
      </c>
      <c r="L22" s="26" t="inlineStr">
        <is>
          <t>◐ Method</t>
        </is>
      </c>
      <c r="M22" s="6" t="inlineStr">
        <is>
          <t>2022-23 6(a); 2021-22 6(a); 2018-19 5(c); 2018-19 8(a); 2018-19 8(b); 2017-18 2(a)</t>
        </is>
      </c>
      <c r="N22" s="23" t="b">
        <v>0</v>
      </c>
      <c r="O22" s="24" t="n"/>
      <c r="P22" s="24" t="n"/>
      <c r="Q22" s="6" t="n"/>
    </row>
    <row r="23">
      <c r="A23" s="24" t="n">
        <v>20</v>
      </c>
      <c r="B23" s="24" t="inlineStr">
        <is>
          <t>2011-12</t>
        </is>
      </c>
      <c r="C23" s="24" t="inlineStr">
        <is>
          <t>CSE 307</t>
        </is>
      </c>
      <c r="D23" s="24" t="inlineStr">
        <is>
          <t>8(a)</t>
        </is>
      </c>
      <c r="E23" s="6" t="inlineStr">
        <is>
          <t>Impatient client who keeps changing requirements: which process model?</t>
        </is>
      </c>
      <c r="F23" s="6" t="inlineStr">
        <is>
          <t>Prescriptive models — Process pp. 15–42</t>
        </is>
      </c>
      <c r="G23" s="24" t="inlineStr">
        <is>
          <t>L13</t>
        </is>
      </c>
      <c r="H23" s="24" t="n">
        <v>10</v>
      </c>
      <c r="I23" s="24" t="n">
        <v>61</v>
      </c>
      <c r="J23" s="25" t="inlineStr">
        <is>
          <t>★★ Medium</t>
        </is>
      </c>
      <c r="K23" s="24" t="inlineStr">
        <is>
          <t>Theory</t>
        </is>
      </c>
      <c r="L23" s="22" t="inlineStr">
        <is>
          <t>✔ Solved</t>
        </is>
      </c>
      <c r="M23" s="6" t="inlineStr">
        <is>
          <t>2024-25 1(c); 2023-24 8(a); 2013-14 4(d)</t>
        </is>
      </c>
      <c r="N23" s="23" t="b">
        <v>0</v>
      </c>
      <c r="O23" s="24" t="n"/>
      <c r="P23" s="24" t="n"/>
      <c r="Q23" s="6" t="n"/>
    </row>
    <row r="24">
      <c r="A24" s="24" t="n">
        <v>21</v>
      </c>
      <c r="B24" s="24" t="inlineStr">
        <is>
          <t>2011-12</t>
        </is>
      </c>
      <c r="C24" s="24" t="inlineStr">
        <is>
          <t>CSE 307</t>
        </is>
      </c>
      <c r="D24" s="24" t="inlineStr">
        <is>
          <t>8(b)</t>
        </is>
      </c>
      <c r="E24" s="6" t="inlineStr">
        <is>
          <t>Four phases of RUP; four differences from waterfall</t>
        </is>
      </c>
      <c r="F24" s="6" t="inlineStr">
        <is>
          <t>Prescriptive models — Process pp. 15–42</t>
        </is>
      </c>
      <c r="G24" s="24" t="inlineStr">
        <is>
          <t>L13</t>
        </is>
      </c>
      <c r="H24" s="24" t="n">
        <v>12</v>
      </c>
      <c r="I24" s="24" t="n">
        <v>61</v>
      </c>
      <c r="J24" s="25" t="inlineStr">
        <is>
          <t>★★ Medium</t>
        </is>
      </c>
      <c r="K24" s="24" t="inlineStr">
        <is>
          <t>Theory</t>
        </is>
      </c>
      <c r="L24" s="22" t="inlineStr">
        <is>
          <t>✔ Solved</t>
        </is>
      </c>
      <c r="M24" s="6" t="inlineStr">
        <is>
          <t>2014-15 4(c); 2012-13 1(d)</t>
        </is>
      </c>
      <c r="N24" s="23" t="b">
        <v>0</v>
      </c>
      <c r="O24" s="24" t="n"/>
      <c r="P24" s="24" t="n"/>
      <c r="Q24" s="6" t="n"/>
    </row>
    <row r="25">
      <c r="A25" s="24" t="n">
        <v>22</v>
      </c>
      <c r="B25" s="24" t="inlineStr">
        <is>
          <t>2010-11</t>
        </is>
      </c>
      <c r="C25" s="24" t="inlineStr">
        <is>
          <t>CSE 307</t>
        </is>
      </c>
      <c r="D25" s="24" t="inlineStr">
        <is>
          <t>6(a)</t>
        </is>
      </c>
      <c r="E25" s="6" t="inlineStr">
        <is>
          <t>Waterfall vs iterative models</t>
        </is>
      </c>
      <c r="F25" s="6" t="inlineStr">
        <is>
          <t>Prescriptive models — Process pp. 15–42</t>
        </is>
      </c>
      <c r="G25" s="24" t="inlineStr">
        <is>
          <t>L13</t>
        </is>
      </c>
      <c r="H25" s="24" t="n">
        <v>6</v>
      </c>
      <c r="I25" s="24" t="n">
        <v>69</v>
      </c>
      <c r="J25" s="25" t="inlineStr">
        <is>
          <t>★★ Medium</t>
        </is>
      </c>
      <c r="K25" s="24" t="inlineStr">
        <is>
          <t>Theory</t>
        </is>
      </c>
      <c r="L25" s="22" t="inlineStr">
        <is>
          <t>✔ Solved</t>
        </is>
      </c>
      <c r="M25" s="6" t="inlineStr">
        <is>
          <t>2022-23 6(a); 2021-22 6(a); 2018-19 5(c); 2018-19 8(a); 2018-19 8(b); 2017-18 2(a)</t>
        </is>
      </c>
      <c r="N25" s="23" t="b">
        <v>0</v>
      </c>
      <c r="O25" s="24" t="n"/>
      <c r="P25" s="24" t="n"/>
      <c r="Q25" s="6" t="n"/>
    </row>
    <row r="26">
      <c r="A26" s="19" t="n">
        <v>23</v>
      </c>
      <c r="B26" s="19" t="inlineStr">
        <is>
          <t>2023-24</t>
        </is>
      </c>
      <c r="C26" s="19" t="inlineStr">
        <is>
          <t>CSE 213</t>
        </is>
      </c>
      <c r="D26" s="19" t="inlineStr">
        <is>
          <t>8(a)</t>
        </is>
      </c>
      <c r="E26" s="20" t="inlineStr">
        <is>
          <t>Scenario: incremental vs agile — which and why</t>
        </is>
      </c>
      <c r="F26" s="20" t="inlineStr">
        <is>
          <t>Agile principles, XP — Process pp. 43–63</t>
        </is>
      </c>
      <c r="G26" s="19" t="inlineStr">
        <is>
          <t>L14</t>
        </is>
      </c>
      <c r="H26" s="19" t="n">
        <v>8</v>
      </c>
      <c r="I26" s="19" t="n">
        <v>6</v>
      </c>
      <c r="J26" s="21" t="inlineStr">
        <is>
          <t>★★★ High</t>
        </is>
      </c>
      <c r="K26" s="19" t="inlineStr">
        <is>
          <t>Theory</t>
        </is>
      </c>
      <c r="L26" s="22" t="inlineStr">
        <is>
          <t>✔ Solved</t>
        </is>
      </c>
      <c r="M26" s="20" t="inlineStr">
        <is>
          <t>2024-25 1(c); 2013-14 4(d); 2011-12 8(a)</t>
        </is>
      </c>
      <c r="N26" s="23" t="b">
        <v>0</v>
      </c>
      <c r="O26" s="19" t="n"/>
      <c r="P26" s="19" t="n"/>
      <c r="Q26" s="20" t="n"/>
    </row>
    <row r="27">
      <c r="A27" s="19" t="n">
        <v>24</v>
      </c>
      <c r="B27" s="19" t="inlineStr">
        <is>
          <t>2021-22</t>
        </is>
      </c>
      <c r="C27" s="19" t="inlineStr">
        <is>
          <t>CSE 307</t>
        </is>
      </c>
      <c r="D27" s="19" t="inlineStr">
        <is>
          <t>7(a)</t>
        </is>
      </c>
      <c r="E27" s="20" t="inlineStr">
        <is>
          <t>Reasons to shift from traditional to agile</t>
        </is>
      </c>
      <c r="F27" s="20" t="inlineStr">
        <is>
          <t>Agile principles, XP — Process pp. 43–63</t>
        </is>
      </c>
      <c r="G27" s="19" t="inlineStr">
        <is>
          <t>L14</t>
        </is>
      </c>
      <c r="H27" s="19" t="n">
        <v>10</v>
      </c>
      <c r="I27" s="19" t="n">
        <v>17</v>
      </c>
      <c r="J27" s="21" t="inlineStr">
        <is>
          <t>★★★ High</t>
        </is>
      </c>
      <c r="K27" s="19" t="inlineStr">
        <is>
          <t>Theory</t>
        </is>
      </c>
      <c r="L27" s="22" t="inlineStr">
        <is>
          <t>✔ Solved</t>
        </is>
      </c>
      <c r="M27" s="20" t="inlineStr">
        <is>
          <t>2018-19 5(b); 2018-19 7(a); 2017-18 2(d); 2016-17 6(b); 2013-14 6(a); 2012-13 2(d)</t>
        </is>
      </c>
      <c r="N27" s="23" t="b">
        <v>0</v>
      </c>
      <c r="O27" s="19" t="n"/>
      <c r="P27" s="19" t="n"/>
      <c r="Q27" s="20" t="n"/>
    </row>
    <row r="28">
      <c r="A28" s="19" t="n">
        <v>25</v>
      </c>
      <c r="B28" s="19" t="inlineStr">
        <is>
          <t>2018-19</t>
        </is>
      </c>
      <c r="C28" s="19" t="inlineStr">
        <is>
          <t>CSE 307</t>
        </is>
      </c>
      <c r="D28" s="19" t="inlineStr">
        <is>
          <t>5(b)</t>
        </is>
      </c>
      <c r="E28" s="20" t="inlineStr">
        <is>
          <t>Development cost vs schedule progress graph (agile)</t>
        </is>
      </c>
      <c r="F28" s="20" t="inlineStr">
        <is>
          <t>Agile principles, XP — Process pp. 43–63</t>
        </is>
      </c>
      <c r="G28" s="19" t="inlineStr">
        <is>
          <t>L14</t>
        </is>
      </c>
      <c r="H28" s="19" t="n">
        <v>10</v>
      </c>
      <c r="I28" s="19" t="n">
        <v>28</v>
      </c>
      <c r="J28" s="25" t="inlineStr">
        <is>
          <t>★★ Medium</t>
        </is>
      </c>
      <c r="K28" s="19" t="inlineStr">
        <is>
          <t>Theory</t>
        </is>
      </c>
      <c r="L28" s="26" t="inlineStr">
        <is>
          <t>◐ Method</t>
        </is>
      </c>
      <c r="M28" s="20" t="inlineStr">
        <is>
          <t>2021-22 7(a); 2018-19 7(a); 2017-18 2(d); 2016-17 6(b); 2013-14 6(a); 2012-13 2(d)</t>
        </is>
      </c>
      <c r="N28" s="23" t="b">
        <v>0</v>
      </c>
      <c r="O28" s="19" t="n"/>
      <c r="P28" s="19" t="n"/>
      <c r="Q28" s="20" t="n"/>
    </row>
    <row r="29">
      <c r="A29" s="19" t="n">
        <v>26</v>
      </c>
      <c r="B29" s="19" t="inlineStr">
        <is>
          <t>2018-19</t>
        </is>
      </c>
      <c r="C29" s="19" t="inlineStr">
        <is>
          <t>CSE 307</t>
        </is>
      </c>
      <c r="D29" s="19" t="inlineStr">
        <is>
          <t>7(a)</t>
        </is>
      </c>
      <c r="E29" s="20" t="inlineStr">
        <is>
          <t>Three phases of ASD; XP phases diagram</t>
        </is>
      </c>
      <c r="F29" s="20" t="inlineStr">
        <is>
          <t>Agile principles, XP — Process pp. 43–63</t>
        </is>
      </c>
      <c r="G29" s="19" t="inlineStr">
        <is>
          <t>L14</t>
        </is>
      </c>
      <c r="H29" s="19" t="n">
        <v>16</v>
      </c>
      <c r="I29" s="19" t="n">
        <v>28</v>
      </c>
      <c r="J29" s="25" t="inlineStr">
        <is>
          <t>★★ Medium</t>
        </is>
      </c>
      <c r="K29" s="19" t="inlineStr">
        <is>
          <t>Theory</t>
        </is>
      </c>
      <c r="L29" s="26" t="inlineStr">
        <is>
          <t>◐ Method</t>
        </is>
      </c>
      <c r="M29" s="20" t="inlineStr">
        <is>
          <t>2021-22 7(a); 2018-19 5(b); 2017-18 2(d); 2016-17 6(b); 2013-14 6(a); 2012-13 2(d)</t>
        </is>
      </c>
      <c r="N29" s="23" t="b">
        <v>0</v>
      </c>
      <c r="O29" s="19" t="n"/>
      <c r="P29" s="19" t="n"/>
      <c r="Q29" s="20" t="n"/>
    </row>
    <row r="30">
      <c r="A30" s="19" t="n">
        <v>27</v>
      </c>
      <c r="B30" s="19" t="inlineStr">
        <is>
          <t>2017-18</t>
        </is>
      </c>
      <c r="C30" s="19" t="inlineStr">
        <is>
          <t>CSE 307</t>
        </is>
      </c>
      <c r="D30" s="19" t="inlineStr">
        <is>
          <t>2(d)</t>
        </is>
      </c>
      <c r="E30" s="20" t="inlineStr">
        <is>
          <t>Is pair programming more efficient?</t>
        </is>
      </c>
      <c r="F30" s="20" t="inlineStr">
        <is>
          <t>Agile principles, XP — Process pp. 43–63</t>
        </is>
      </c>
      <c r="G30" s="19" t="inlineStr">
        <is>
          <t>L14</t>
        </is>
      </c>
      <c r="H30" s="19" t="n">
        <v>7</v>
      </c>
      <c r="I30" s="19" t="n">
        <v>31</v>
      </c>
      <c r="J30" s="25" t="inlineStr">
        <is>
          <t>★★ Medium</t>
        </is>
      </c>
      <c r="K30" s="19" t="inlineStr">
        <is>
          <t>Theory</t>
        </is>
      </c>
      <c r="L30" s="26" t="inlineStr">
        <is>
          <t>◐ Method</t>
        </is>
      </c>
      <c r="M30" s="20" t="inlineStr">
        <is>
          <t>2021-22 7(a); 2018-19 5(b); 2018-19 7(a); 2016-17 6(b); 2013-14 6(a); 2012-13 2(d)</t>
        </is>
      </c>
      <c r="N30" s="23" t="b">
        <v>0</v>
      </c>
      <c r="O30" s="19" t="n"/>
      <c r="P30" s="19" t="n"/>
      <c r="Q30" s="20" t="n"/>
    </row>
    <row r="31">
      <c r="A31" s="19" t="n">
        <v>28</v>
      </c>
      <c r="B31" s="19" t="inlineStr">
        <is>
          <t>2016-17</t>
        </is>
      </c>
      <c r="C31" s="19" t="inlineStr">
        <is>
          <t>CSE 307</t>
        </is>
      </c>
      <c r="D31" s="19" t="inlineStr">
        <is>
          <t>6(b)</t>
        </is>
      </c>
      <c r="E31" s="20" t="inlineStr">
        <is>
          <t>How XP follows the agility principles</t>
        </is>
      </c>
      <c r="F31" s="20" t="inlineStr">
        <is>
          <t>Agile principles, XP — Process pp. 43–63</t>
        </is>
      </c>
      <c r="G31" s="19" t="inlineStr">
        <is>
          <t>L14</t>
        </is>
      </c>
      <c r="H31" s="19" t="n">
        <v>15</v>
      </c>
      <c r="I31" s="19" t="n">
        <v>38</v>
      </c>
      <c r="J31" s="25" t="inlineStr">
        <is>
          <t>★★ Medium</t>
        </is>
      </c>
      <c r="K31" s="19" t="inlineStr">
        <is>
          <t>Theory</t>
        </is>
      </c>
      <c r="L31" s="26" t="inlineStr">
        <is>
          <t>◐ Method</t>
        </is>
      </c>
      <c r="M31" s="20" t="inlineStr">
        <is>
          <t>2021-22 7(a); 2018-19 5(b); 2018-19 7(a); 2017-18 2(d); 2013-14 6(a); 2012-13 2(d)</t>
        </is>
      </c>
      <c r="N31" s="23" t="b">
        <v>0</v>
      </c>
      <c r="O31" s="19" t="n"/>
      <c r="P31" s="19" t="n"/>
      <c r="Q31" s="20" t="n"/>
    </row>
    <row r="32">
      <c r="A32" s="19" t="n">
        <v>29</v>
      </c>
      <c r="B32" s="19" t="inlineStr">
        <is>
          <t>2013-14</t>
        </is>
      </c>
      <c r="C32" s="19" t="inlineStr">
        <is>
          <t>CSE 307</t>
        </is>
      </c>
      <c r="D32" s="19" t="inlineStr">
        <is>
          <t>6(a)</t>
        </is>
      </c>
      <c r="E32" s="20" t="inlineStr">
        <is>
          <t>What is an agile method?</t>
        </is>
      </c>
      <c r="F32" s="20" t="inlineStr">
        <is>
          <t>Agile principles, XP — Process pp. 43–63</t>
        </is>
      </c>
      <c r="G32" s="19" t="inlineStr">
        <is>
          <t>L14</t>
        </is>
      </c>
      <c r="H32" s="19" t="n">
        <v>6.67</v>
      </c>
      <c r="I32" s="19" t="n">
        <v>47</v>
      </c>
      <c r="J32" s="25" t="inlineStr">
        <is>
          <t>★★ Medium</t>
        </is>
      </c>
      <c r="K32" s="19" t="inlineStr">
        <is>
          <t>Theory</t>
        </is>
      </c>
      <c r="L32" s="22" t="inlineStr">
        <is>
          <t>✔ Solved</t>
        </is>
      </c>
      <c r="M32" s="20" t="inlineStr">
        <is>
          <t>2021-22 7(a); 2018-19 5(b); 2018-19 7(a); 2017-18 2(d); 2016-17 6(b); 2012-13 2(d)</t>
        </is>
      </c>
      <c r="N32" s="23" t="b">
        <v>0</v>
      </c>
      <c r="O32" s="19" t="n"/>
      <c r="P32" s="19" t="n"/>
      <c r="Q32" s="20" t="n"/>
    </row>
    <row r="33">
      <c r="A33" s="19" t="n">
        <v>30</v>
      </c>
      <c r="B33" s="19" t="inlineStr">
        <is>
          <t>2012-13</t>
        </is>
      </c>
      <c r="C33" s="19" t="inlineStr">
        <is>
          <t>CSE 307</t>
        </is>
      </c>
      <c r="D33" s="19" t="inlineStr">
        <is>
          <t>2(d)</t>
        </is>
      </c>
      <c r="E33" s="20" t="inlineStr">
        <is>
          <t>Project velocity in XP</t>
        </is>
      </c>
      <c r="F33" s="20" t="inlineStr">
        <is>
          <t>Agile principles, XP — Process pp. 43–63</t>
        </is>
      </c>
      <c r="G33" s="19" t="inlineStr">
        <is>
          <t>L14</t>
        </is>
      </c>
      <c r="H33" s="19" t="n">
        <v>6.67</v>
      </c>
      <c r="I33" s="19" t="n">
        <v>50</v>
      </c>
      <c r="J33" s="25" t="inlineStr">
        <is>
          <t>★★ Medium</t>
        </is>
      </c>
      <c r="K33" s="19" t="inlineStr">
        <is>
          <t>Theory</t>
        </is>
      </c>
      <c r="L33" s="26" t="inlineStr">
        <is>
          <t>◐ Method</t>
        </is>
      </c>
      <c r="M33" s="20" t="inlineStr">
        <is>
          <t>2021-22 7(a); 2018-19 5(b); 2018-19 7(a); 2017-18 2(d); 2016-17 6(b); 2013-14 6(a)</t>
        </is>
      </c>
      <c r="N33" s="23" t="b">
        <v>0</v>
      </c>
      <c r="O33" s="19" t="n"/>
      <c r="P33" s="19" t="n"/>
      <c r="Q33" s="20" t="n"/>
    </row>
    <row r="34">
      <c r="A34" s="19" t="n">
        <v>31</v>
      </c>
      <c r="B34" s="19" t="inlineStr">
        <is>
          <t>2011-12</t>
        </is>
      </c>
      <c r="C34" s="19" t="inlineStr">
        <is>
          <t>CSE 307</t>
        </is>
      </c>
      <c r="D34" s="19" t="inlineStr">
        <is>
          <t>5(b)</t>
        </is>
      </c>
      <c r="E34" s="20" t="inlineStr">
        <is>
          <t>Agile; stages of extreme programming</t>
        </is>
      </c>
      <c r="F34" s="20" t="inlineStr">
        <is>
          <t>Agile principles, XP — Process pp. 43–63</t>
        </is>
      </c>
      <c r="G34" s="19" t="inlineStr">
        <is>
          <t>L14</t>
        </is>
      </c>
      <c r="H34" s="19" t="n">
        <v>18.67</v>
      </c>
      <c r="I34" s="19" t="n">
        <v>59</v>
      </c>
      <c r="J34" s="25" t="inlineStr">
        <is>
          <t>★★ Medium</t>
        </is>
      </c>
      <c r="K34" s="19" t="inlineStr">
        <is>
          <t>Theory</t>
        </is>
      </c>
      <c r="L34" s="22" t="inlineStr">
        <is>
          <t>✔ Solved</t>
        </is>
      </c>
      <c r="M34" s="20" t="inlineStr">
        <is>
          <t>2021-22 7(a); 2018-19 5(b); 2018-19 7(a); 2017-18 2(d); 2016-17 6(b); 2013-14 6(a)</t>
        </is>
      </c>
      <c r="N34" s="23" t="b">
        <v>0</v>
      </c>
      <c r="O34" s="19" t="n"/>
      <c r="P34" s="19" t="n"/>
      <c r="Q34" s="20" t="n"/>
    </row>
    <row r="35">
      <c r="A35" s="19" t="n">
        <v>32</v>
      </c>
      <c r="B35" s="19" t="inlineStr">
        <is>
          <t>2011-12</t>
        </is>
      </c>
      <c r="C35" s="19" t="inlineStr">
        <is>
          <t>CSE 307</t>
        </is>
      </c>
      <c r="D35" s="19" t="inlineStr">
        <is>
          <t>7(c)</t>
        </is>
      </c>
      <c r="E35" s="20" t="inlineStr">
        <is>
          <t>Estimation techniques at stages of agile development</t>
        </is>
      </c>
      <c r="F35" s="20" t="inlineStr">
        <is>
          <t>Agile principles, XP — Process pp. 43–63</t>
        </is>
      </c>
      <c r="G35" s="19" t="inlineStr">
        <is>
          <t>L14</t>
        </is>
      </c>
      <c r="H35" s="19" t="n">
        <v>11.67</v>
      </c>
      <c r="I35" s="19" t="n">
        <v>61</v>
      </c>
      <c r="J35" s="25" t="inlineStr">
        <is>
          <t>★★ Medium</t>
        </is>
      </c>
      <c r="K35" s="19" t="inlineStr">
        <is>
          <t>Theory</t>
        </is>
      </c>
      <c r="L35" s="26" t="inlineStr">
        <is>
          <t>◐ Method</t>
        </is>
      </c>
      <c r="M35" s="20" t="inlineStr">
        <is>
          <t>2021-22 7(a); 2018-19 5(b); 2018-19 7(a); 2017-18 2(d); 2016-17 6(b); 2013-14 6(a)</t>
        </is>
      </c>
      <c r="N35" s="23" t="b">
        <v>0</v>
      </c>
      <c r="O35" s="19" t="n"/>
      <c r="P35" s="19" t="n"/>
      <c r="Q35" s="20" t="n"/>
    </row>
    <row r="36">
      <c r="A36" s="24" t="n">
        <v>33</v>
      </c>
      <c r="B36" s="24" t="inlineStr">
        <is>
          <t>2022-23</t>
        </is>
      </c>
      <c r="C36" s="24" t="inlineStr">
        <is>
          <t>CSE 307</t>
        </is>
      </c>
      <c r="D36" s="24" t="inlineStr">
        <is>
          <t>6(b)</t>
        </is>
      </c>
      <c r="E36" s="6" t="inlineStr">
        <is>
          <t>Kanban: workload per card and lead time</t>
        </is>
      </c>
      <c r="F36" s="6" t="inlineStr">
        <is>
          <t>Scrum, Kanban — Process pp. 64–84</t>
        </is>
      </c>
      <c r="G36" s="24" t="inlineStr">
        <is>
          <t>L15</t>
        </is>
      </c>
      <c r="H36" s="24" t="n">
        <v>10</v>
      </c>
      <c r="I36" s="24" t="n">
        <v>11</v>
      </c>
      <c r="J36" s="21" t="inlineStr">
        <is>
          <t>★★★ High</t>
        </is>
      </c>
      <c r="K36" s="24" t="inlineStr">
        <is>
          <t>Theory</t>
        </is>
      </c>
      <c r="L36" s="22" t="inlineStr">
        <is>
          <t>✔ Solved</t>
        </is>
      </c>
      <c r="M36" s="6" t="inlineStr">
        <is>
          <t>2021-22 8(b)</t>
        </is>
      </c>
      <c r="N36" s="23" t="b">
        <v>0</v>
      </c>
      <c r="O36" s="24" t="n"/>
      <c r="P36" s="24" t="n"/>
      <c r="Q36" s="6" t="n"/>
    </row>
    <row r="37">
      <c r="A37" s="24" t="n">
        <v>34</v>
      </c>
      <c r="B37" s="24" t="inlineStr">
        <is>
          <t>2022-23</t>
        </is>
      </c>
      <c r="C37" s="24" t="inlineStr">
        <is>
          <t>CSE 307</t>
        </is>
      </c>
      <c r="D37" s="24" t="inlineStr">
        <is>
          <t>6(c)</t>
        </is>
      </c>
      <c r="E37" s="6" t="inlineStr">
        <is>
          <t>Sprint activities in Scrum; the two backlogs</t>
        </is>
      </c>
      <c r="F37" s="6" t="inlineStr">
        <is>
          <t>Scrum, Kanban — Process pp. 64–84</t>
        </is>
      </c>
      <c r="G37" s="24" t="inlineStr">
        <is>
          <t>L15</t>
        </is>
      </c>
      <c r="H37" s="24" t="n">
        <v>15</v>
      </c>
      <c r="I37" s="24" t="n">
        <v>11</v>
      </c>
      <c r="J37" s="21" t="inlineStr">
        <is>
          <t>★★★ High</t>
        </is>
      </c>
      <c r="K37" s="24" t="inlineStr">
        <is>
          <t>Theory</t>
        </is>
      </c>
      <c r="L37" s="22" t="inlineStr">
        <is>
          <t>✔ Solved</t>
        </is>
      </c>
      <c r="M37" s="6" t="inlineStr">
        <is>
          <t>2021-22 5(b); 2017-18 2(e); 2016-17 6(a); 2014-15 4(d); 2011-12 5(c)</t>
        </is>
      </c>
      <c r="N37" s="23" t="b">
        <v>0</v>
      </c>
      <c r="O37" s="24" t="n"/>
      <c r="P37" s="24" t="n"/>
      <c r="Q37" s="6" t="n"/>
    </row>
    <row r="38">
      <c r="A38" s="24" t="n">
        <v>35</v>
      </c>
      <c r="B38" s="24" t="inlineStr">
        <is>
          <t>2021-22</t>
        </is>
      </c>
      <c r="C38" s="24" t="inlineStr">
        <is>
          <t>CSE 307</t>
        </is>
      </c>
      <c r="D38" s="24" t="inlineStr">
        <is>
          <t>5(b)</t>
        </is>
      </c>
      <c r="E38" s="6" t="inlineStr">
        <is>
          <t>Steps of a sprint in Scrum</t>
        </is>
      </c>
      <c r="F38" s="6" t="inlineStr">
        <is>
          <t>Scrum, Kanban — Process pp. 64–84</t>
        </is>
      </c>
      <c r="G38" s="24" t="inlineStr">
        <is>
          <t>L15</t>
        </is>
      </c>
      <c r="H38" s="24" t="n">
        <v>20</v>
      </c>
      <c r="I38" s="24" t="n">
        <v>17</v>
      </c>
      <c r="J38" s="21" t="inlineStr">
        <is>
          <t>★★★ High</t>
        </is>
      </c>
      <c r="K38" s="24" t="inlineStr">
        <is>
          <t>Theory</t>
        </is>
      </c>
      <c r="L38" s="22" t="inlineStr">
        <is>
          <t>✔ Solved</t>
        </is>
      </c>
      <c r="M38" s="6" t="inlineStr">
        <is>
          <t>2022-23 6(c); 2017-18 2(e); 2016-17 6(a); 2014-15 4(d); 2011-12 5(c)</t>
        </is>
      </c>
      <c r="N38" s="23" t="b">
        <v>0</v>
      </c>
      <c r="O38" s="24" t="n"/>
      <c r="P38" s="24" t="n"/>
      <c r="Q38" s="6" t="n"/>
    </row>
    <row r="39">
      <c r="A39" s="24" t="n">
        <v>36</v>
      </c>
      <c r="B39" s="24" t="inlineStr">
        <is>
          <t>2021-22</t>
        </is>
      </c>
      <c r="C39" s="24" t="inlineStr">
        <is>
          <t>CSE 307</t>
        </is>
      </c>
      <c r="D39" s="24" t="inlineStr">
        <is>
          <t>8(b)</t>
        </is>
      </c>
      <c r="E39" s="6" t="inlineStr">
        <is>
          <t>Kanban visualisation: cards and board</t>
        </is>
      </c>
      <c r="F39" s="6" t="inlineStr">
        <is>
          <t>Scrum, Kanban — Process pp. 64–84</t>
        </is>
      </c>
      <c r="G39" s="24" t="inlineStr">
        <is>
          <t>L15</t>
        </is>
      </c>
      <c r="H39" s="24" t="n">
        <v>15</v>
      </c>
      <c r="I39" s="24" t="n">
        <v>18</v>
      </c>
      <c r="J39" s="21" t="inlineStr">
        <is>
          <t>★★★ High</t>
        </is>
      </c>
      <c r="K39" s="24" t="inlineStr">
        <is>
          <t>Theory</t>
        </is>
      </c>
      <c r="L39" s="22" t="inlineStr">
        <is>
          <t>✔ Solved</t>
        </is>
      </c>
      <c r="M39" s="6" t="inlineStr">
        <is>
          <t>2022-23 6(b)</t>
        </is>
      </c>
      <c r="N39" s="23" t="b">
        <v>0</v>
      </c>
      <c r="O39" s="24" t="n"/>
      <c r="P39" s="24" t="n"/>
      <c r="Q39" s="6" t="n"/>
    </row>
    <row r="40">
      <c r="A40" s="24" t="n">
        <v>37</v>
      </c>
      <c r="B40" s="24" t="inlineStr">
        <is>
          <t>2017-18</t>
        </is>
      </c>
      <c r="C40" s="24" t="inlineStr">
        <is>
          <t>CSE 307</t>
        </is>
      </c>
      <c r="D40" s="24" t="inlineStr">
        <is>
          <t>2(e)</t>
        </is>
      </c>
      <c r="E40" s="6" t="inlineStr">
        <is>
          <t>Scrum meeting minutes for a digital library</t>
        </is>
      </c>
      <c r="F40" s="6" t="inlineStr">
        <is>
          <t>Scrum, Kanban — Process pp. 64–84</t>
        </is>
      </c>
      <c r="G40" s="24" t="inlineStr">
        <is>
          <t>L15</t>
        </is>
      </c>
      <c r="H40" s="24" t="n">
        <v>7</v>
      </c>
      <c r="I40" s="24" t="n">
        <v>31</v>
      </c>
      <c r="J40" s="25" t="inlineStr">
        <is>
          <t>★★ Medium</t>
        </is>
      </c>
      <c r="K40" s="24" t="inlineStr">
        <is>
          <t>Theory</t>
        </is>
      </c>
      <c r="L40" s="26" t="inlineStr">
        <is>
          <t>◐ Method</t>
        </is>
      </c>
      <c r="M40" s="6" t="inlineStr">
        <is>
          <t>2022-23 6(c); 2021-22 5(b); 2016-17 6(a); 2014-15 4(d); 2011-12 5(c)</t>
        </is>
      </c>
      <c r="N40" s="23" t="b">
        <v>0</v>
      </c>
      <c r="O40" s="24" t="n"/>
      <c r="P40" s="24" t="n"/>
      <c r="Q40" s="6" t="n"/>
    </row>
    <row r="41">
      <c r="A41" s="24" t="n">
        <v>38</v>
      </c>
      <c r="B41" s="24" t="inlineStr">
        <is>
          <t>2016-17</t>
        </is>
      </c>
      <c r="C41" s="24" t="inlineStr">
        <is>
          <t>CSE 307</t>
        </is>
      </c>
      <c r="D41" s="24" t="inlineStr">
        <is>
          <t>6(a)</t>
        </is>
      </c>
      <c r="E41" s="6" t="inlineStr">
        <is>
          <t>Short notes: sprint, backlog, pair programming, refactoring, spike solution</t>
        </is>
      </c>
      <c r="F41" s="6" t="inlineStr">
        <is>
          <t>Scrum, Kanban — Process pp. 64–84</t>
        </is>
      </c>
      <c r="G41" s="24" t="inlineStr">
        <is>
          <t>L15</t>
        </is>
      </c>
      <c r="H41" s="24" t="n">
        <v>15</v>
      </c>
      <c r="I41" s="24" t="n">
        <v>38</v>
      </c>
      <c r="J41" s="25" t="inlineStr">
        <is>
          <t>★★ Medium</t>
        </is>
      </c>
      <c r="K41" s="24" t="inlineStr">
        <is>
          <t>Theory</t>
        </is>
      </c>
      <c r="L41" s="26" t="inlineStr">
        <is>
          <t>◐ Method</t>
        </is>
      </c>
      <c r="M41" s="6" t="inlineStr">
        <is>
          <t>2022-23 6(c); 2021-22 5(b); 2017-18 2(e); 2014-15 4(d); 2011-12 5(c)</t>
        </is>
      </c>
      <c r="N41" s="23" t="b">
        <v>0</v>
      </c>
      <c r="O41" s="24" t="n"/>
      <c r="P41" s="24" t="n"/>
      <c r="Q41" s="6" t="n"/>
    </row>
    <row r="42">
      <c r="A42" s="24" t="n">
        <v>39</v>
      </c>
      <c r="B42" s="24" t="inlineStr">
        <is>
          <t>2014-15</t>
        </is>
      </c>
      <c r="C42" s="24" t="inlineStr">
        <is>
          <t>CSE 307</t>
        </is>
      </c>
      <c r="D42" s="24" t="inlineStr">
        <is>
          <t>4(d)</t>
        </is>
      </c>
      <c r="E42" s="6" t="inlineStr">
        <is>
          <t>Distinguishing features of Scrum</t>
        </is>
      </c>
      <c r="F42" s="6" t="inlineStr">
        <is>
          <t>Scrum, Kanban — Process pp. 64–84</t>
        </is>
      </c>
      <c r="G42" s="24" t="inlineStr">
        <is>
          <t>L15</t>
        </is>
      </c>
      <c r="H42" s="24" t="n">
        <v>10</v>
      </c>
      <c r="I42" s="24" t="n">
        <v>42</v>
      </c>
      <c r="J42" s="25" t="inlineStr">
        <is>
          <t>★★ Medium</t>
        </is>
      </c>
      <c r="K42" s="24" t="inlineStr">
        <is>
          <t>Theory</t>
        </is>
      </c>
      <c r="L42" s="22" t="inlineStr">
        <is>
          <t>✔ Solved</t>
        </is>
      </c>
      <c r="M42" s="6" t="inlineStr">
        <is>
          <t>2022-23 6(c); 2021-22 5(b); 2017-18 2(e); 2016-17 6(a); 2011-12 5(c)</t>
        </is>
      </c>
      <c r="N42" s="23" t="b">
        <v>0</v>
      </c>
      <c r="O42" s="24" t="n"/>
      <c r="P42" s="24" t="n"/>
      <c r="Q42" s="6" t="n"/>
    </row>
    <row r="43">
      <c r="A43" s="24" t="n">
        <v>40</v>
      </c>
      <c r="B43" s="24" t="inlineStr">
        <is>
          <t>2011-12</t>
        </is>
      </c>
      <c r="C43" s="24" t="inlineStr">
        <is>
          <t>CSE 307</t>
        </is>
      </c>
      <c r="D43" s="24" t="inlineStr">
        <is>
          <t>5(c)</t>
        </is>
      </c>
      <c r="E43" s="6" t="inlineStr">
        <is>
          <t>Scrum vs plan-based project management</t>
        </is>
      </c>
      <c r="F43" s="6" t="inlineStr">
        <is>
          <t>Scrum, Kanban — Process pp. 64–84</t>
        </is>
      </c>
      <c r="G43" s="24" t="inlineStr">
        <is>
          <t>L15</t>
        </is>
      </c>
      <c r="H43" s="24" t="n">
        <v>18</v>
      </c>
      <c r="I43" s="24" t="n">
        <v>59</v>
      </c>
      <c r="J43" s="25" t="inlineStr">
        <is>
          <t>★★ Medium</t>
        </is>
      </c>
      <c r="K43" s="24" t="inlineStr">
        <is>
          <t>Theory</t>
        </is>
      </c>
      <c r="L43" s="26" t="inlineStr">
        <is>
          <t>◐ Method</t>
        </is>
      </c>
      <c r="M43" s="6" t="inlineStr">
        <is>
          <t>2022-23 6(c); 2021-22 5(b); 2017-18 2(e); 2016-17 6(a); 2014-15 4(d)</t>
        </is>
      </c>
      <c r="N43" s="23" t="b">
        <v>0</v>
      </c>
      <c r="O43" s="24" t="n"/>
      <c r="P43" s="24" t="n"/>
      <c r="Q43" s="6" t="n"/>
    </row>
  </sheetData>
  <autoFilter ref="A3:Q43"/>
  <conditionalFormatting sqref="A4:Q43">
    <cfRule type="expression" priority="1" dxfId="0">
      <formula>$N4=TRUE</formula>
    </cfRule>
  </conditionalFormatting>
  <conditionalFormatting sqref="O4:O43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43" showDropDown="0" showInputMessage="0" showErrorMessage="0" allowBlank="1" type="list">
      <formula1>"TRUE,FALSE"</formula1>
    </dataValidation>
    <dataValidation sqref="O4:O43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Unit Testing and Code Reviews</t>
        </is>
      </c>
    </row>
    <row r="2">
      <c r="A2" s="2" t="inlineStr">
        <is>
          <t>Note file: CSE213_IJ_UnitTesting_CodeReview_Notes.docx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2024-25</t>
        </is>
      </c>
      <c r="C4" s="19" t="inlineStr">
        <is>
          <t>CSE 213</t>
        </is>
      </c>
      <c r="D4" s="19" t="inlineStr">
        <is>
          <t>6(a)</t>
        </is>
      </c>
      <c r="E4" s="20" t="inlineStr">
        <is>
          <t>JUnit test class for isLeapYear (including invalid input)</t>
        </is>
      </c>
      <c r="F4" s="20" t="inlineStr">
        <is>
          <t>Unit testing, JUnit, TDD — Unit Testing pp. 1–24</t>
        </is>
      </c>
      <c r="G4" s="19" t="inlineStr">
        <is>
          <t>L16</t>
        </is>
      </c>
      <c r="H4" s="19" t="n">
        <v>15</v>
      </c>
      <c r="I4" s="19" t="inlineStr">
        <is>
          <t>22 batch p.6</t>
        </is>
      </c>
      <c r="J4" s="21" t="inlineStr">
        <is>
          <t>★★★ High</t>
        </is>
      </c>
      <c r="K4" s="19" t="inlineStr">
        <is>
          <t>Code</t>
        </is>
      </c>
      <c r="L4" s="22" t="inlineStr">
        <is>
          <t>✔ Solved</t>
        </is>
      </c>
      <c r="M4" s="20" t="inlineStr">
        <is>
          <t>2019-20 7(a)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2023-24</t>
        </is>
      </c>
      <c r="C5" s="19" t="inlineStr">
        <is>
          <t>CSE 213</t>
        </is>
      </c>
      <c r="D5" s="19" t="inlineStr">
        <is>
          <t>3(a)</t>
        </is>
      </c>
      <c r="E5" s="20" t="inlineStr">
        <is>
          <t>Test-driven development and its benefits</t>
        </is>
      </c>
      <c r="F5" s="20" t="inlineStr">
        <is>
          <t>Unit testing, JUnit, TDD — Unit Testing pp. 1–24</t>
        </is>
      </c>
      <c r="G5" s="19" t="inlineStr">
        <is>
          <t>L16</t>
        </is>
      </c>
      <c r="H5" s="19" t="n">
        <v>12</v>
      </c>
      <c r="I5" s="19" t="n">
        <v>3</v>
      </c>
      <c r="J5" s="21" t="inlineStr">
        <is>
          <t>★★★ High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2016-17 7(a)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2019-20</t>
        </is>
      </c>
      <c r="C6" s="19" t="inlineStr">
        <is>
          <t>CSE 307</t>
        </is>
      </c>
      <c r="D6" s="19" t="inlineStr">
        <is>
          <t>7(a)</t>
        </is>
      </c>
      <c r="E6" s="20" t="inlineStr">
        <is>
          <t>Fixtures in unit testing (3 examples); unit test for grading A &gt; 80, B 70–80, C 60–70 with BVA</t>
        </is>
      </c>
      <c r="F6" s="20" t="inlineStr">
        <is>
          <t>Unit testing, JUnit, TDD — Unit Testing pp. 1–24</t>
        </is>
      </c>
      <c r="G6" s="19" t="inlineStr">
        <is>
          <t>L16</t>
        </is>
      </c>
      <c r="H6" s="19" t="n">
        <v>20</v>
      </c>
      <c r="I6" s="19" t="n">
        <v>25</v>
      </c>
      <c r="J6" s="21" t="inlineStr">
        <is>
          <t>★★★ High</t>
        </is>
      </c>
      <c r="K6" s="19" t="inlineStr">
        <is>
          <t>Code</t>
        </is>
      </c>
      <c r="L6" s="22" t="inlineStr">
        <is>
          <t>✔ Solved</t>
        </is>
      </c>
      <c r="M6" s="20" t="inlineStr">
        <is>
          <t>2024-25 6(a)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2016-17</t>
        </is>
      </c>
      <c r="C7" s="19" t="inlineStr">
        <is>
          <t>CSE 307</t>
        </is>
      </c>
      <c r="D7" s="19" t="inlineStr">
        <is>
          <t>7(a)</t>
        </is>
      </c>
      <c r="E7" s="20" t="inlineStr">
        <is>
          <t>Five steps of TDD with an example</t>
        </is>
      </c>
      <c r="F7" s="20" t="inlineStr">
        <is>
          <t>Unit testing, JUnit, TDD — Unit Testing pp. 1–24</t>
        </is>
      </c>
      <c r="G7" s="19" t="inlineStr">
        <is>
          <t>L16</t>
        </is>
      </c>
      <c r="H7" s="19" t="n">
        <v>15</v>
      </c>
      <c r="I7" s="19" t="n">
        <v>39</v>
      </c>
      <c r="J7" s="25" t="inlineStr">
        <is>
          <t>★★ Medium</t>
        </is>
      </c>
      <c r="K7" s="19" t="inlineStr">
        <is>
          <t>Code</t>
        </is>
      </c>
      <c r="L7" s="22" t="inlineStr">
        <is>
          <t>✔ Solved</t>
        </is>
      </c>
      <c r="M7" s="20" t="inlineStr">
        <is>
          <t>2023-24 3(a)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2014-15</t>
        </is>
      </c>
      <c r="C8" s="19" t="inlineStr">
        <is>
          <t>CSE 307</t>
        </is>
      </c>
      <c r="D8" s="19" t="inlineStr">
        <is>
          <t>2(c)</t>
        </is>
      </c>
      <c r="E8" s="20" t="inlineStr">
        <is>
          <t>Automated tester for a descending float sort: order + same data set</t>
        </is>
      </c>
      <c r="F8" s="20" t="inlineStr">
        <is>
          <t>Unit testing, JUnit, TDD — Unit Testing pp. 1–24</t>
        </is>
      </c>
      <c r="G8" s="19" t="inlineStr">
        <is>
          <t>L16</t>
        </is>
      </c>
      <c r="H8" s="19" t="n">
        <v>13</v>
      </c>
      <c r="I8" s="19" t="n">
        <v>41</v>
      </c>
      <c r="J8" s="25" t="inlineStr">
        <is>
          <t>★★ Medium</t>
        </is>
      </c>
      <c r="K8" s="19" t="inlineStr">
        <is>
          <t>Code</t>
        </is>
      </c>
      <c r="L8" s="22" t="inlineStr">
        <is>
          <t>✔ Solved</t>
        </is>
      </c>
      <c r="M8" s="20" t="inlineStr">
        <is>
          <t>2013-14 3(c); 2010-11 6(e)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2013-14</t>
        </is>
      </c>
      <c r="C9" s="19" t="inlineStr">
        <is>
          <t>CSE 307</t>
        </is>
      </c>
      <c r="D9" s="19" t="inlineStr">
        <is>
          <t>3(c)</t>
        </is>
      </c>
      <c r="E9" s="20" t="inlineStr">
        <is>
          <t>Driver code generating data sets for an ascending float sort + the module</t>
        </is>
      </c>
      <c r="F9" s="20" t="inlineStr">
        <is>
          <t>Unit testing, JUnit, TDD — Unit Testing pp. 1–24</t>
        </is>
      </c>
      <c r="G9" s="19" t="inlineStr">
        <is>
          <t>L16</t>
        </is>
      </c>
      <c r="H9" s="19" t="n">
        <v>12</v>
      </c>
      <c r="I9" s="19" t="n">
        <v>46</v>
      </c>
      <c r="J9" s="25" t="inlineStr">
        <is>
          <t>★★ Medium</t>
        </is>
      </c>
      <c r="K9" s="19" t="inlineStr">
        <is>
          <t>Code</t>
        </is>
      </c>
      <c r="L9" s="26" t="inlineStr">
        <is>
          <t>◐ Method</t>
        </is>
      </c>
      <c r="M9" s="20" t="inlineStr">
        <is>
          <t>2014-15 2(c); 2010-11 6(e)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2010-11</t>
        </is>
      </c>
      <c r="C10" s="19" t="inlineStr">
        <is>
          <t>CSE 307</t>
        </is>
      </c>
      <c r="D10" s="19" t="inlineStr">
        <is>
          <t>6(e)</t>
        </is>
      </c>
      <c r="E10" s="20" t="inlineStr">
        <is>
          <t>Test cases for a Queue class</t>
        </is>
      </c>
      <c r="F10" s="20" t="inlineStr">
        <is>
          <t>Unit testing, JUnit, TDD — Unit Testing pp. 1–24</t>
        </is>
      </c>
      <c r="G10" s="19" t="inlineStr">
        <is>
          <t>L16</t>
        </is>
      </c>
      <c r="H10" s="19" t="n">
        <v>15</v>
      </c>
      <c r="I10" s="19" t="n">
        <v>69</v>
      </c>
      <c r="J10" s="25" t="inlineStr">
        <is>
          <t>★★ Medium</t>
        </is>
      </c>
      <c r="K10" s="19" t="inlineStr">
        <is>
          <t>Code</t>
        </is>
      </c>
      <c r="L10" s="22" t="inlineStr">
        <is>
          <t>✔ Solved</t>
        </is>
      </c>
      <c r="M10" s="20" t="inlineStr">
        <is>
          <t>2014-15 2(c); 2013-14 3(c)</t>
        </is>
      </c>
      <c r="N10" s="23" t="b">
        <v>0</v>
      </c>
      <c r="O10" s="19" t="n"/>
      <c r="P10" s="19" t="n"/>
      <c r="Q10" s="20" t="n"/>
    </row>
    <row r="11">
      <c r="A11" s="24" t="n">
        <v>8</v>
      </c>
      <c r="B11" s="24" t="inlineStr">
        <is>
          <t>2022-23</t>
        </is>
      </c>
      <c r="C11" s="24" t="inlineStr">
        <is>
          <t>CSE 307</t>
        </is>
      </c>
      <c r="D11" s="24" t="inlineStr">
        <is>
          <t>2(b)</t>
        </is>
      </c>
      <c r="E11" s="6" t="inlineStr">
        <is>
          <t>Issues commonly identified in code review — three examples</t>
        </is>
      </c>
      <c r="F11" s="6" t="inlineStr">
        <is>
          <t>Code reviews — CodeReviews pp. 1–21</t>
        </is>
      </c>
      <c r="G11" s="24" t="inlineStr">
        <is>
          <t>L17</t>
        </is>
      </c>
      <c r="H11" s="24" t="n">
        <v>12</v>
      </c>
      <c r="I11" s="24" t="n">
        <v>8</v>
      </c>
      <c r="J11" s="21" t="inlineStr">
        <is>
          <t>★★★ High</t>
        </is>
      </c>
      <c r="K11" s="24" t="inlineStr">
        <is>
          <t>Theory</t>
        </is>
      </c>
      <c r="L11" s="22" t="inlineStr">
        <is>
          <t>✔ Solved</t>
        </is>
      </c>
      <c r="M11" s="6" t="inlineStr">
        <is>
          <t>2020-21 6(c)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2021-22</t>
        </is>
      </c>
      <c r="C12" s="24" t="inlineStr">
        <is>
          <t>CSE 307</t>
        </is>
      </c>
      <c r="D12" s="24" t="inlineStr">
        <is>
          <t>8(a)</t>
        </is>
      </c>
      <c r="E12" s="6" t="inlineStr">
        <is>
          <t>Driver and navigator in pair programming as code review</t>
        </is>
      </c>
      <c r="F12" s="6" t="inlineStr">
        <is>
          <t>Code reviews — CodeReviews pp. 1–21</t>
        </is>
      </c>
      <c r="G12" s="24" t="inlineStr">
        <is>
          <t>L17</t>
        </is>
      </c>
      <c r="H12" s="24" t="n">
        <v>10</v>
      </c>
      <c r="I12" s="24" t="n">
        <v>18</v>
      </c>
      <c r="J12" s="21" t="inlineStr">
        <is>
          <t>★★★ High</t>
        </is>
      </c>
      <c r="K12" s="24" t="inlineStr">
        <is>
          <t>Theory</t>
        </is>
      </c>
      <c r="L12" s="22" t="inlineStr">
        <is>
          <t>✔ Solved</t>
        </is>
      </c>
      <c r="M12" s="6" t="inlineStr">
        <is>
          <t>—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2020-21</t>
        </is>
      </c>
      <c r="C13" s="24" t="inlineStr">
        <is>
          <t>CSE 307</t>
        </is>
      </c>
      <c r="D13" s="24" t="inlineStr">
        <is>
          <t>6(c)</t>
        </is>
      </c>
      <c r="E13" s="6" t="inlineStr">
        <is>
          <t>Issues commonly identified during code review</t>
        </is>
      </c>
      <c r="F13" s="6" t="inlineStr">
        <is>
          <t>Code reviews — CodeReviews pp. 1–21</t>
        </is>
      </c>
      <c r="G13" s="24" t="inlineStr">
        <is>
          <t>L17</t>
        </is>
      </c>
      <c r="H13" s="24" t="n">
        <v>8</v>
      </c>
      <c r="I13" s="24" t="n">
        <v>21</v>
      </c>
      <c r="J13" s="21" t="inlineStr">
        <is>
          <t>★★★ High</t>
        </is>
      </c>
      <c r="K13" s="24" t="inlineStr">
        <is>
          <t>Theory</t>
        </is>
      </c>
      <c r="L13" s="22" t="inlineStr">
        <is>
          <t>✔ Solved</t>
        </is>
      </c>
      <c r="M13" s="6" t="inlineStr">
        <is>
          <t>2022-23 2(b)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2019-20</t>
        </is>
      </c>
      <c r="C14" s="24" t="inlineStr">
        <is>
          <t>CSE 307</t>
        </is>
      </c>
      <c r="D14" s="24" t="inlineStr">
        <is>
          <t>3(b)</t>
        </is>
      </c>
      <c r="E14" s="6" t="inlineStr">
        <is>
          <t>Limited budget: hire reviewers or more testers? Justify</t>
        </is>
      </c>
      <c r="F14" s="6" t="inlineStr">
        <is>
          <t>Code reviews — CodeReviews pp. 1–21</t>
        </is>
      </c>
      <c r="G14" s="24" t="inlineStr">
        <is>
          <t>L17</t>
        </is>
      </c>
      <c r="H14" s="24" t="n">
        <v>15</v>
      </c>
      <c r="I14" s="24" t="n">
        <v>23</v>
      </c>
      <c r="J14" s="21" t="inlineStr">
        <is>
          <t>★★★ High</t>
        </is>
      </c>
      <c r="K14" s="24" t="inlineStr">
        <is>
          <t>Theory</t>
        </is>
      </c>
      <c r="L14" s="22" t="inlineStr">
        <is>
          <t>✔ Solved</t>
        </is>
      </c>
      <c r="M14" s="6" t="inlineStr">
        <is>
          <t>—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2018-19</t>
        </is>
      </c>
      <c r="C15" s="24" t="inlineStr">
        <is>
          <t>CSE 307</t>
        </is>
      </c>
      <c r="D15" s="24" t="inlineStr">
        <is>
          <t>1(c)</t>
        </is>
      </c>
      <c r="E15" s="6" t="inlineStr">
        <is>
          <t>Defect rate and defect density; why checklists in code review</t>
        </is>
      </c>
      <c r="F15" s="6" t="inlineStr">
        <is>
          <t>Code reviews — CodeReviews pp. 1–21</t>
        </is>
      </c>
      <c r="G15" s="24" t="inlineStr">
        <is>
          <t>L17</t>
        </is>
      </c>
      <c r="H15" s="24" t="n">
        <v>9</v>
      </c>
      <c r="I15" s="24" t="n">
        <v>26</v>
      </c>
      <c r="J15" s="25" t="inlineStr">
        <is>
          <t>★★ Medium</t>
        </is>
      </c>
      <c r="K15" s="24" t="inlineStr">
        <is>
          <t>Theory</t>
        </is>
      </c>
      <c r="L15" s="22" t="inlineStr">
        <is>
          <t>✔ Solved</t>
        </is>
      </c>
      <c r="M15" s="6" t="inlineStr">
        <is>
          <t>2017-18 5(c); 2016-17 3(b); 2014-15 1(d); 2012-13 4(a)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2017-18</t>
        </is>
      </c>
      <c r="C16" s="24" t="inlineStr">
        <is>
          <t>CSE 307</t>
        </is>
      </c>
      <c r="D16" s="24" t="inlineStr">
        <is>
          <t>5(c)</t>
        </is>
      </c>
      <c r="E16" s="6" t="inlineStr">
        <is>
          <t>Indirect benefits of code review</t>
        </is>
      </c>
      <c r="F16" s="6" t="inlineStr">
        <is>
          <t>Code reviews — CodeReviews pp. 1–21</t>
        </is>
      </c>
      <c r="G16" s="24" t="inlineStr">
        <is>
          <t>L17</t>
        </is>
      </c>
      <c r="H16" s="24" t="n">
        <v>9</v>
      </c>
      <c r="I16" s="24" t="n">
        <v>33</v>
      </c>
      <c r="J16" s="25" t="inlineStr">
        <is>
          <t>★★ Medium</t>
        </is>
      </c>
      <c r="K16" s="24" t="inlineStr">
        <is>
          <t>Theory</t>
        </is>
      </c>
      <c r="L16" s="22" t="inlineStr">
        <is>
          <t>✔ Solved</t>
        </is>
      </c>
      <c r="M16" s="6" t="inlineStr">
        <is>
          <t>2018-19 1(c); 2016-17 3(b); 2014-15 1(d); 2012-13 4(a)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2016-17</t>
        </is>
      </c>
      <c r="C17" s="24" t="inlineStr">
        <is>
          <t>CSE 307</t>
        </is>
      </c>
      <c r="D17" s="24" t="inlineStr">
        <is>
          <t>3(b)</t>
        </is>
      </c>
      <c r="E17" s="6" t="inlineStr">
        <is>
          <t>Checklist for reviewing non-functional requirements in code</t>
        </is>
      </c>
      <c r="F17" s="6" t="inlineStr">
        <is>
          <t>Code reviews — CodeReviews pp. 1–21</t>
        </is>
      </c>
      <c r="G17" s="24" t="inlineStr">
        <is>
          <t>L17</t>
        </is>
      </c>
      <c r="H17" s="24" t="n">
        <v>15</v>
      </c>
      <c r="I17" s="24" t="n">
        <v>36</v>
      </c>
      <c r="J17" s="25" t="inlineStr">
        <is>
          <t>★★ Medium</t>
        </is>
      </c>
      <c r="K17" s="24" t="inlineStr">
        <is>
          <t>Theory</t>
        </is>
      </c>
      <c r="L17" s="26" t="inlineStr">
        <is>
          <t>◐ Method</t>
        </is>
      </c>
      <c r="M17" s="6" t="inlineStr">
        <is>
          <t>2018-19 1(c); 2017-18 5(c); 2014-15 1(d); 2012-13 4(a)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2014-15</t>
        </is>
      </c>
      <c r="C18" s="24" t="inlineStr">
        <is>
          <t>CSE 307</t>
        </is>
      </c>
      <c r="D18" s="24" t="inlineStr">
        <is>
          <t>1(d)</t>
        </is>
      </c>
      <c r="E18" s="6" t="inlineStr">
        <is>
          <t>Code-review scenario for a quick-sort method: participants, sample queries</t>
        </is>
      </c>
      <c r="F18" s="6" t="inlineStr">
        <is>
          <t>Code reviews — CodeReviews pp. 1–21</t>
        </is>
      </c>
      <c r="G18" s="24" t="inlineStr">
        <is>
          <t>L17</t>
        </is>
      </c>
      <c r="H18" s="24" t="n">
        <v>10</v>
      </c>
      <c r="I18" s="24" t="n">
        <v>41</v>
      </c>
      <c r="J18" s="25" t="inlineStr">
        <is>
          <t>★★ Medium</t>
        </is>
      </c>
      <c r="K18" s="24" t="inlineStr">
        <is>
          <t>Theory</t>
        </is>
      </c>
      <c r="L18" s="26" t="inlineStr">
        <is>
          <t>◐ Method</t>
        </is>
      </c>
      <c r="M18" s="6" t="inlineStr">
        <is>
          <t>2018-19 1(c); 2017-18 5(c); 2016-17 3(b); 2012-13 4(a)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2012-13</t>
        </is>
      </c>
      <c r="C19" s="24" t="inlineStr">
        <is>
          <t>CSE 307</t>
        </is>
      </c>
      <c r="D19" s="24" t="inlineStr">
        <is>
          <t>4(a)</t>
        </is>
      </c>
      <c r="E19" s="6" t="inlineStr">
        <is>
          <t>Four data faults to check in a C-program inspection</t>
        </is>
      </c>
      <c r="F19" s="6" t="inlineStr">
        <is>
          <t>Code reviews — CodeReviews pp. 1–21</t>
        </is>
      </c>
      <c r="G19" s="24" t="inlineStr">
        <is>
          <t>L17</t>
        </is>
      </c>
      <c r="H19" s="24" t="n">
        <v>6</v>
      </c>
      <c r="I19" s="24" t="n">
        <v>52</v>
      </c>
      <c r="J19" s="25" t="inlineStr">
        <is>
          <t>★★ Medium</t>
        </is>
      </c>
      <c r="K19" s="24" t="inlineStr">
        <is>
          <t>Theory</t>
        </is>
      </c>
      <c r="L19" s="22" t="inlineStr">
        <is>
          <t>✔ Solved</t>
        </is>
      </c>
      <c r="M19" s="6" t="inlineStr">
        <is>
          <t>2018-19 1(c); 2017-18 5(c); 2016-17 3(b); 2014-15 1(d)</t>
        </is>
      </c>
      <c r="N19" s="23" t="b">
        <v>0</v>
      </c>
      <c r="O19" s="24" t="n"/>
      <c r="P19" s="24" t="n"/>
      <c r="Q19" s="6" t="n"/>
    </row>
  </sheetData>
  <autoFilter ref="A3:Q19"/>
  <conditionalFormatting sqref="A4:Q19">
    <cfRule type="expression" priority="1" dxfId="0">
      <formula>$N4=TRUE</formula>
    </cfRule>
  </conditionalFormatting>
  <conditionalFormatting sqref="O4:O19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9" showDropDown="0" showInputMessage="0" showErrorMessage="0" allowBlank="1" type="list">
      <formula1>"TRUE,FALSE"</formula1>
    </dataValidation>
    <dataValidation sqref="O4:O19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Refactoring and Code Smells</t>
        </is>
      </c>
    </row>
    <row r="2">
      <c r="A2" s="2" t="inlineStr">
        <is>
          <t>Note file: CSE213_IJ_Refactoring_Notes.docx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2024-25</t>
        </is>
      </c>
      <c r="C4" s="19" t="inlineStr">
        <is>
          <t>CSE 213</t>
        </is>
      </c>
      <c r="D4" s="19" t="inlineStr">
        <is>
          <t>4(b)</t>
        </is>
      </c>
      <c r="E4" s="20" t="inlineStr">
        <is>
          <t>Code smell vs technical debt vs refactoring; proactive vs reactive risk management</t>
        </is>
      </c>
      <c r="F4" s="20" t="inlineStr">
        <is>
          <t>Refactoring basics — Refactoring pp. 1–14</t>
        </is>
      </c>
      <c r="G4" s="19" t="inlineStr">
        <is>
          <t>L18</t>
        </is>
      </c>
      <c r="H4" s="19" t="n">
        <v>15</v>
      </c>
      <c r="I4" s="19" t="inlineStr">
        <is>
          <t>22 batch p.5</t>
        </is>
      </c>
      <c r="J4" s="21" t="inlineStr">
        <is>
          <t>★★★ High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2022-23 5(a); 2021-22 6(c); 2019-20 6(a)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2017-18</t>
        </is>
      </c>
      <c r="C5" s="19" t="inlineStr">
        <is>
          <t>CSE 307</t>
        </is>
      </c>
      <c r="D5" s="19" t="inlineStr">
        <is>
          <t>2(c)</t>
        </is>
      </c>
      <c r="E5" s="20" t="inlineStr">
        <is>
          <t>Why refactoring is important in agile; examples</t>
        </is>
      </c>
      <c r="F5" s="20" t="inlineStr">
        <is>
          <t>Refactoring basics — Refactoring pp. 1–14</t>
        </is>
      </c>
      <c r="G5" s="19" t="inlineStr">
        <is>
          <t>L18</t>
        </is>
      </c>
      <c r="H5" s="19" t="n">
        <v>7</v>
      </c>
      <c r="I5" s="19" t="n">
        <v>31</v>
      </c>
      <c r="J5" s="22" t="inlineStr">
        <is>
          <t>★ Low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—</t>
        </is>
      </c>
      <c r="N5" s="23" t="b">
        <v>0</v>
      </c>
      <c r="O5" s="19" t="n"/>
      <c r="P5" s="19" t="n"/>
      <c r="Q5" s="20" t="n"/>
    </row>
    <row r="6">
      <c r="A6" s="24" t="n">
        <v>3</v>
      </c>
      <c r="B6" s="24" t="inlineStr">
        <is>
          <t>2022-23</t>
        </is>
      </c>
      <c r="C6" s="24" t="inlineStr">
        <is>
          <t>CSE 307</t>
        </is>
      </c>
      <c r="D6" s="24" t="inlineStr">
        <is>
          <t>5(a)</t>
        </is>
      </c>
      <c r="E6" s="6" t="inlineStr">
        <is>
          <t>Define with examples: shotgun surgery, parallel inheritance hierarchies, refused bequest, feature envy</t>
        </is>
      </c>
      <c r="F6" s="6" t="inlineStr">
        <is>
          <t>Code smells — Refactoring pp. 15–29</t>
        </is>
      </c>
      <c r="G6" s="24" t="inlineStr">
        <is>
          <t>L19</t>
        </is>
      </c>
      <c r="H6" s="24" t="n">
        <v>15</v>
      </c>
      <c r="I6" s="24" t="n">
        <v>9</v>
      </c>
      <c r="J6" s="21" t="inlineStr">
        <is>
          <t>★★★ High</t>
        </is>
      </c>
      <c r="K6" s="24" t="inlineStr">
        <is>
          <t>Theory</t>
        </is>
      </c>
      <c r="L6" s="22" t="inlineStr">
        <is>
          <t>✔ Solved</t>
        </is>
      </c>
      <c r="M6" s="6" t="inlineStr">
        <is>
          <t>2024-25 4(b); 2021-22 6(c); 2019-20 6(a)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2021-22</t>
        </is>
      </c>
      <c r="C7" s="24" t="inlineStr">
        <is>
          <t>CSE 307</t>
        </is>
      </c>
      <c r="D7" s="24" t="inlineStr">
        <is>
          <t>6(c)</t>
        </is>
      </c>
      <c r="E7" s="6" t="inlineStr">
        <is>
          <t>Define code smell; three examples</t>
        </is>
      </c>
      <c r="F7" s="6" t="inlineStr">
        <is>
          <t>Code smells — Refactoring pp. 15–29</t>
        </is>
      </c>
      <c r="G7" s="24" t="inlineStr">
        <is>
          <t>L19</t>
        </is>
      </c>
      <c r="H7" s="24" t="n">
        <v>10</v>
      </c>
      <c r="I7" s="24" t="n">
        <v>17</v>
      </c>
      <c r="J7" s="21" t="inlineStr">
        <is>
          <t>★★★ High</t>
        </is>
      </c>
      <c r="K7" s="24" t="inlineStr">
        <is>
          <t>Theory</t>
        </is>
      </c>
      <c r="L7" s="22" t="inlineStr">
        <is>
          <t>✔ Solved</t>
        </is>
      </c>
      <c r="M7" s="6" t="inlineStr">
        <is>
          <t>2024-25 4(b); 2022-23 5(a); 2019-20 6(a)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2019-20</t>
        </is>
      </c>
      <c r="C8" s="24" t="inlineStr">
        <is>
          <t>CSE 307</t>
        </is>
      </c>
      <c r="D8" s="24" t="inlineStr">
        <is>
          <t>6(a)</t>
        </is>
      </c>
      <c r="E8" s="6" t="inlineStr">
        <is>
          <t>Code snippets showing Data Clump and Refused Bequest</t>
        </is>
      </c>
      <c r="F8" s="6" t="inlineStr">
        <is>
          <t>Code smells — Refactoring pp. 15–29</t>
        </is>
      </c>
      <c r="G8" s="24" t="inlineStr">
        <is>
          <t>L19</t>
        </is>
      </c>
      <c r="H8" s="24" t="n">
        <v>20</v>
      </c>
      <c r="I8" s="24" t="n">
        <v>24</v>
      </c>
      <c r="J8" s="21" t="inlineStr">
        <is>
          <t>★★★ High</t>
        </is>
      </c>
      <c r="K8" s="24" t="inlineStr">
        <is>
          <t>Code</t>
        </is>
      </c>
      <c r="L8" s="22" t="inlineStr">
        <is>
          <t>✔ Solved</t>
        </is>
      </c>
      <c r="M8" s="6" t="inlineStr">
        <is>
          <t>2024-25 4(b); 2022-23 5(a); 2021-22 6(c)</t>
        </is>
      </c>
      <c r="N8" s="23" t="b">
        <v>0</v>
      </c>
      <c r="O8" s="24" t="n"/>
      <c r="P8" s="24" t="n"/>
      <c r="Q8" s="6" t="n"/>
    </row>
    <row r="9">
      <c r="A9" s="19" t="n">
        <v>6</v>
      </c>
      <c r="B9" s="19" t="inlineStr">
        <is>
          <t>2024-25</t>
        </is>
      </c>
      <c r="C9" s="19" t="inlineStr">
        <is>
          <t>CSE 213</t>
        </is>
      </c>
      <c r="D9" s="19" t="inlineStr">
        <is>
          <t>4(a)</t>
        </is>
      </c>
      <c r="E9" s="20" t="inlineStr">
        <is>
          <t>Student / Scholarship code: identify five bad smells and refactor</t>
        </is>
      </c>
      <c r="F9" s="20" t="inlineStr">
        <is>
          <t>Refactoring catalogue, worked code — Refactoring pp. 30–47</t>
        </is>
      </c>
      <c r="G9" s="19" t="inlineStr">
        <is>
          <t>L20</t>
        </is>
      </c>
      <c r="H9" s="19" t="n">
        <v>20</v>
      </c>
      <c r="I9" s="19" t="inlineStr">
        <is>
          <t>22 batch p.4–5</t>
        </is>
      </c>
      <c r="J9" s="21" t="inlineStr">
        <is>
          <t>★★★ High</t>
        </is>
      </c>
      <c r="K9" s="19" t="inlineStr">
        <is>
          <t>Code</t>
        </is>
      </c>
      <c r="L9" s="22" t="inlineStr">
        <is>
          <t>✔ Solved</t>
        </is>
      </c>
      <c r="M9" s="20" t="inlineStr">
        <is>
          <t>2023-24 8(c); 2022-23 5(b); 2021-22 1(b)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2023-24</t>
        </is>
      </c>
      <c r="C10" s="19" t="inlineStr">
        <is>
          <t>CSE 213</t>
        </is>
      </c>
      <c r="D10" s="19" t="inlineStr">
        <is>
          <t>8(c)</t>
        </is>
      </c>
      <c r="E10" s="20" t="inlineStr">
        <is>
          <t>DiscountCalculator / OrderProcessor: bad smells + refactor</t>
        </is>
      </c>
      <c r="F10" s="20" t="inlineStr">
        <is>
          <t>Refactoring catalogue, worked code — Refactoring pp. 30–47</t>
        </is>
      </c>
      <c r="G10" s="19" t="inlineStr">
        <is>
          <t>L20</t>
        </is>
      </c>
      <c r="H10" s="19" t="n">
        <v>20</v>
      </c>
      <c r="I10" s="19" t="inlineStr">
        <is>
          <t>6–7</t>
        </is>
      </c>
      <c r="J10" s="21" t="inlineStr">
        <is>
          <t>★★★ High</t>
        </is>
      </c>
      <c r="K10" s="19" t="inlineStr">
        <is>
          <t>Code</t>
        </is>
      </c>
      <c r="L10" s="22" t="inlineStr">
        <is>
          <t>✔ Solved</t>
        </is>
      </c>
      <c r="M10" s="20" t="inlineStr">
        <is>
          <t>2024-25 4(a); 2022-23 5(b); 2021-22 1(b)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2022-23</t>
        </is>
      </c>
      <c r="C11" s="19" t="inlineStr">
        <is>
          <t>CSE 307</t>
        </is>
      </c>
      <c r="D11" s="19" t="inlineStr">
        <is>
          <t>5(b)</t>
        </is>
      </c>
      <c r="E11" s="20" t="inlineStr">
        <is>
          <t>Refactor: (i) renderBanner complex condition (ii) getSalary switch (iii) getPayAmount nested if</t>
        </is>
      </c>
      <c r="F11" s="20" t="inlineStr">
        <is>
          <t>Refactoring catalogue, worked code — Refactoring pp. 30–47</t>
        </is>
      </c>
      <c r="G11" s="19" t="inlineStr">
        <is>
          <t>L20</t>
        </is>
      </c>
      <c r="H11" s="19" t="n">
        <v>20</v>
      </c>
      <c r="I11" s="19" t="inlineStr">
        <is>
          <t>9–10</t>
        </is>
      </c>
      <c r="J11" s="21" t="inlineStr">
        <is>
          <t>★★★ High</t>
        </is>
      </c>
      <c r="K11" s="19" t="inlineStr">
        <is>
          <t>Code</t>
        </is>
      </c>
      <c r="L11" s="22" t="inlineStr">
        <is>
          <t>✔ Solved</t>
        </is>
      </c>
      <c r="M11" s="20" t="inlineStr">
        <is>
          <t>2024-25 4(a); 2023-24 8(c); 2021-22 1(b)</t>
        </is>
      </c>
      <c r="N11" s="23" t="b">
        <v>0</v>
      </c>
      <c r="O11" s="19" t="n"/>
      <c r="P11" s="19" t="n"/>
      <c r="Q11" s="20" t="n"/>
    </row>
    <row r="12">
      <c r="A12" s="19" t="n">
        <v>9</v>
      </c>
      <c r="B12" s="19" t="inlineStr">
        <is>
          <t>2021-22</t>
        </is>
      </c>
      <c r="C12" s="19" t="inlineStr">
        <is>
          <t>CSE 307</t>
        </is>
      </c>
      <c r="D12" s="19" t="inlineStr">
        <is>
          <t>1(b)</t>
        </is>
      </c>
      <c r="E12" s="20" t="inlineStr">
        <is>
          <t>GetSuperHeroItem if-else chain → readable, O(1) amortised</t>
        </is>
      </c>
      <c r="F12" s="20" t="inlineStr">
        <is>
          <t>Refactoring catalogue, worked code — Refactoring pp. 30–47</t>
        </is>
      </c>
      <c r="G12" s="19" t="inlineStr">
        <is>
          <t>L20</t>
        </is>
      </c>
      <c r="H12" s="19" t="n">
        <v>13</v>
      </c>
      <c r="I12" s="19" t="inlineStr">
        <is>
          <t>13–14</t>
        </is>
      </c>
      <c r="J12" s="21" t="inlineStr">
        <is>
          <t>★★★ High</t>
        </is>
      </c>
      <c r="K12" s="19" t="inlineStr">
        <is>
          <t>Code</t>
        </is>
      </c>
      <c r="L12" s="22" t="inlineStr">
        <is>
          <t>✔ Solved</t>
        </is>
      </c>
      <c r="M12" s="20" t="inlineStr">
        <is>
          <t>2024-25 4(a); 2023-24 8(c); 2022-23 5(b)</t>
        </is>
      </c>
      <c r="N12" s="23" t="b">
        <v>0</v>
      </c>
      <c r="O12" s="19" t="n"/>
      <c r="P12" s="19" t="n"/>
      <c r="Q12" s="20" t="n"/>
    </row>
  </sheetData>
  <autoFilter ref="A3:Q12"/>
  <conditionalFormatting sqref="A4:Q12">
    <cfRule type="expression" priority="1" dxfId="0">
      <formula>$N4=TRUE</formula>
    </cfRule>
  </conditionalFormatting>
  <conditionalFormatting sqref="O4:O12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2" showDropDown="0" showInputMessage="0" showErrorMessage="0" allowBlank="1" type="list">
      <formula1>"TRUE,FALSE"</formula1>
    </dataValidation>
    <dataValidation sqref="O4:O12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Software Ethics and Requirement Analysis</t>
        </is>
      </c>
    </row>
    <row r="2">
      <c r="A2" s="2" t="inlineStr">
        <is>
          <t>Note file: CSE213_IJ_Ethics_Requirements_Notes.docx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2024-25</t>
        </is>
      </c>
      <c r="C4" s="19" t="inlineStr">
        <is>
          <t>CSE 213</t>
        </is>
      </c>
      <c r="D4" s="19" t="inlineStr">
        <is>
          <t>1(b)</t>
        </is>
      </c>
      <c r="E4" s="20" t="inlineStr">
        <is>
          <t>Security engineer leaks unpatched vulnerabilities to the media — which ethical principles are breached?</t>
        </is>
      </c>
      <c r="F4" s="20" t="inlineStr">
        <is>
          <t>Software ethics — Ethics pp. 1–12</t>
        </is>
      </c>
      <c r="G4" s="19" t="inlineStr">
        <is>
          <t>L21</t>
        </is>
      </c>
      <c r="H4" s="19" t="n">
        <v>10</v>
      </c>
      <c r="I4" s="19" t="inlineStr">
        <is>
          <t>22 batch p.1</t>
        </is>
      </c>
      <c r="J4" s="21" t="inlineStr">
        <is>
          <t>★★★ High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2023-24 6(a)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2023-24</t>
        </is>
      </c>
      <c r="C5" s="19" t="inlineStr">
        <is>
          <t>CSE 213</t>
        </is>
      </c>
      <c r="D5" s="19" t="inlineStr">
        <is>
          <t>6(a)</t>
        </is>
      </c>
      <c r="E5" s="20" t="inlineStr">
        <is>
          <t>Health app: ethical breaches</t>
        </is>
      </c>
      <c r="F5" s="20" t="inlineStr">
        <is>
          <t>Software ethics — Ethics pp. 1–12</t>
        </is>
      </c>
      <c r="G5" s="19" t="inlineStr">
        <is>
          <t>L21</t>
        </is>
      </c>
      <c r="H5" s="19" t="n">
        <v>8</v>
      </c>
      <c r="I5" s="19" t="n">
        <v>4</v>
      </c>
      <c r="J5" s="21" t="inlineStr">
        <is>
          <t>★★★ High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2024-25 1(b)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2023-24</t>
        </is>
      </c>
      <c r="C6" s="19" t="inlineStr">
        <is>
          <t>CSE 213</t>
        </is>
      </c>
      <c r="D6" s="19" t="inlineStr">
        <is>
          <t>6(b)</t>
        </is>
      </c>
      <c r="E6" s="20" t="inlineStr">
        <is>
          <t>'Act consistently with the public interest' — explain</t>
        </is>
      </c>
      <c r="F6" s="20" t="inlineStr">
        <is>
          <t>Software ethics — Ethics pp. 1–12</t>
        </is>
      </c>
      <c r="G6" s="19" t="inlineStr">
        <is>
          <t>L21</t>
        </is>
      </c>
      <c r="H6" s="19" t="n">
        <v>7</v>
      </c>
      <c r="I6" s="19" t="n">
        <v>5</v>
      </c>
      <c r="J6" s="21" t="inlineStr">
        <is>
          <t>★★★ High</t>
        </is>
      </c>
      <c r="K6" s="19" t="inlineStr">
        <is>
          <t>Theory</t>
        </is>
      </c>
      <c r="L6" s="22" t="inlineStr">
        <is>
          <t>✔ Solved</t>
        </is>
      </c>
      <c r="M6" s="20" t="inlineStr">
        <is>
          <t>2010-11 7(a)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2010-11</t>
        </is>
      </c>
      <c r="C7" s="19" t="inlineStr">
        <is>
          <t>CSE 307</t>
        </is>
      </c>
      <c r="D7" s="19" t="inlineStr">
        <is>
          <t>7(a)</t>
        </is>
      </c>
      <c r="E7" s="20" t="inlineStr">
        <is>
          <t>Professional and ethical responsibilities of a software engineer</t>
        </is>
      </c>
      <c r="F7" s="20" t="inlineStr">
        <is>
          <t>Software ethics — Ethics pp. 1–12</t>
        </is>
      </c>
      <c r="G7" s="19" t="inlineStr">
        <is>
          <t>L21</t>
        </is>
      </c>
      <c r="H7" s="19" t="n">
        <v>6.67</v>
      </c>
      <c r="I7" s="19" t="n">
        <v>69</v>
      </c>
      <c r="J7" s="25" t="inlineStr">
        <is>
          <t>★★ Medium</t>
        </is>
      </c>
      <c r="K7" s="19" t="inlineStr">
        <is>
          <t>Theory</t>
        </is>
      </c>
      <c r="L7" s="22" t="inlineStr">
        <is>
          <t>✔ Solved</t>
        </is>
      </c>
      <c r="M7" s="20" t="inlineStr">
        <is>
          <t>2023-24 6(b)</t>
        </is>
      </c>
      <c r="N7" s="23" t="b">
        <v>0</v>
      </c>
      <c r="O7" s="19" t="n"/>
      <c r="P7" s="19" t="n"/>
      <c r="Q7" s="20" t="n"/>
    </row>
    <row r="8">
      <c r="A8" s="24" t="n">
        <v>5</v>
      </c>
      <c r="B8" s="24" t="inlineStr">
        <is>
          <t>2024-25</t>
        </is>
      </c>
      <c r="C8" s="24" t="inlineStr">
        <is>
          <t>CSE 213</t>
        </is>
      </c>
      <c r="D8" s="24" t="inlineStr">
        <is>
          <t>5(c)</t>
        </is>
      </c>
      <c r="E8" s="6" t="inlineStr">
        <is>
          <t>Startup with no SRS: how to prepare the requirement specification</t>
        </is>
      </c>
      <c r="F8" s="6" t="inlineStr">
        <is>
          <t>Requirement analysis — Requirements pp. 1–12</t>
        </is>
      </c>
      <c r="G8" s="24" t="inlineStr">
        <is>
          <t>L22</t>
        </is>
      </c>
      <c r="H8" s="24" t="n">
        <v>10</v>
      </c>
      <c r="I8" s="24" t="inlineStr">
        <is>
          <t>22 batch p.6</t>
        </is>
      </c>
      <c r="J8" s="21" t="inlineStr">
        <is>
          <t>★★★ High</t>
        </is>
      </c>
      <c r="K8" s="24" t="inlineStr">
        <is>
          <t>Theory</t>
        </is>
      </c>
      <c r="L8" s="22" t="inlineStr">
        <is>
          <t>✔ Solved</t>
        </is>
      </c>
      <c r="M8" s="6" t="inlineStr">
        <is>
          <t>2021-22 2(c); 2021-22 4(b); 2011-12 5(a)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2021-22</t>
        </is>
      </c>
      <c r="C9" s="24" t="inlineStr">
        <is>
          <t>CSE 307</t>
        </is>
      </c>
      <c r="D9" s="24" t="inlineStr">
        <is>
          <t>2(c)</t>
        </is>
      </c>
      <c r="E9" s="6" t="inlineStr">
        <is>
          <t>Functional vs non-functional requirements</t>
        </is>
      </c>
      <c r="F9" s="6" t="inlineStr">
        <is>
          <t>Requirement analysis — Requirements pp. 1–12</t>
        </is>
      </c>
      <c r="G9" s="24" t="inlineStr">
        <is>
          <t>L22</t>
        </is>
      </c>
      <c r="H9" s="24" t="n">
        <v>5</v>
      </c>
      <c r="I9" s="24" t="n">
        <v>15</v>
      </c>
      <c r="J9" s="21" t="inlineStr">
        <is>
          <t>★★★ High</t>
        </is>
      </c>
      <c r="K9" s="24" t="inlineStr">
        <is>
          <t>Theory</t>
        </is>
      </c>
      <c r="L9" s="22" t="inlineStr">
        <is>
          <t>✔ Solved</t>
        </is>
      </c>
      <c r="M9" s="6" t="inlineStr">
        <is>
          <t>2024-25 5(c); 2021-22 4(b); 2011-12 5(a)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2021-22</t>
        </is>
      </c>
      <c r="C10" s="24" t="inlineStr">
        <is>
          <t>CSE 307</t>
        </is>
      </c>
      <c r="D10" s="24" t="inlineStr">
        <is>
          <t>4(b)</t>
        </is>
      </c>
      <c r="E10" s="6" t="inlineStr">
        <is>
          <t>Assess the requirement 'update notification after a fixed time…' against quality measures</t>
        </is>
      </c>
      <c r="F10" s="6" t="inlineStr">
        <is>
          <t>Requirement analysis — Requirements pp. 1–12</t>
        </is>
      </c>
      <c r="G10" s="24" t="inlineStr">
        <is>
          <t>L22</t>
        </is>
      </c>
      <c r="H10" s="24" t="n">
        <v>10</v>
      </c>
      <c r="I10" s="24" t="n">
        <v>16</v>
      </c>
      <c r="J10" s="21" t="inlineStr">
        <is>
          <t>★★★ High</t>
        </is>
      </c>
      <c r="K10" s="24" t="inlineStr">
        <is>
          <t>Theory</t>
        </is>
      </c>
      <c r="L10" s="22" t="inlineStr">
        <is>
          <t>✔ Solved</t>
        </is>
      </c>
      <c r="M10" s="6" t="inlineStr">
        <is>
          <t>2024-25 5(c); 2021-22 2(c); 2011-12 5(a)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2014-15</t>
        </is>
      </c>
      <c r="C11" s="24" t="inlineStr">
        <is>
          <t>CSE 307</t>
        </is>
      </c>
      <c r="D11" s="24" t="inlineStr">
        <is>
          <t>6(c)</t>
        </is>
      </c>
      <c r="E11" s="6" t="inlineStr">
        <is>
          <t>Training school: fact-finding approach</t>
        </is>
      </c>
      <c r="F11" s="6" t="inlineStr">
        <is>
          <t>Requirement analysis — Requirements pp. 1–12</t>
        </is>
      </c>
      <c r="G11" s="24" t="inlineStr">
        <is>
          <t>L22</t>
        </is>
      </c>
      <c r="H11" s="24" t="n">
        <v>15</v>
      </c>
      <c r="I11" s="24" t="n">
        <v>43</v>
      </c>
      <c r="J11" s="25" t="inlineStr">
        <is>
          <t>★★ Medium</t>
        </is>
      </c>
      <c r="K11" s="24" t="inlineStr">
        <is>
          <t>Theory</t>
        </is>
      </c>
      <c r="L11" s="26" t="inlineStr">
        <is>
          <t>◐ Method</t>
        </is>
      </c>
      <c r="M11" s="6" t="inlineStr">
        <is>
          <t>2013-14 1(a); 2013-14 1(b); 2013-14 5(d); 2013-14 5(e); 2012-13 5(d); 2012-13 7(b)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2013-14</t>
        </is>
      </c>
      <c r="C12" s="24" t="inlineStr">
        <is>
          <t>CSE 307</t>
        </is>
      </c>
      <c r="D12" s="24" t="inlineStr">
        <is>
          <t>1(a)</t>
        </is>
      </c>
      <c r="E12" s="6" t="inlineStr">
        <is>
          <t>Government filing system: roles of fact finding, questionnaires, interviews</t>
        </is>
      </c>
      <c r="F12" s="6" t="inlineStr">
        <is>
          <t>Requirement analysis — Requirements pp. 1–12</t>
        </is>
      </c>
      <c r="G12" s="24" t="inlineStr">
        <is>
          <t>L22</t>
        </is>
      </c>
      <c r="H12" s="24" t="n">
        <v>12</v>
      </c>
      <c r="I12" s="24" t="n">
        <v>45</v>
      </c>
      <c r="J12" s="25" t="inlineStr">
        <is>
          <t>★★ Medium</t>
        </is>
      </c>
      <c r="K12" s="24" t="inlineStr">
        <is>
          <t>Theory</t>
        </is>
      </c>
      <c r="L12" s="26" t="inlineStr">
        <is>
          <t>◐ Method</t>
        </is>
      </c>
      <c r="M12" s="6" t="inlineStr">
        <is>
          <t>2014-15 6(c); 2013-14 1(b); 2013-14 5(d); 2013-14 5(e); 2012-13 5(d); 2012-13 7(b)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2013-14</t>
        </is>
      </c>
      <c r="C13" s="24" t="inlineStr">
        <is>
          <t>CSE 307</t>
        </is>
      </c>
      <c r="D13" s="24" t="inlineStr">
        <is>
          <t>1(b)</t>
        </is>
      </c>
      <c r="E13" s="6" t="inlineStr">
        <is>
          <t>Design a JRP session: roles and responsibilities</t>
        </is>
      </c>
      <c r="F13" s="6" t="inlineStr">
        <is>
          <t>Requirement analysis — Requirements pp. 1–12</t>
        </is>
      </c>
      <c r="G13" s="24" t="inlineStr">
        <is>
          <t>L22</t>
        </is>
      </c>
      <c r="H13" s="24" t="n">
        <v>12</v>
      </c>
      <c r="I13" s="24" t="n">
        <v>45</v>
      </c>
      <c r="J13" s="25" t="inlineStr">
        <is>
          <t>★★ Medium</t>
        </is>
      </c>
      <c r="K13" s="24" t="inlineStr">
        <is>
          <t>Theory</t>
        </is>
      </c>
      <c r="L13" s="26" t="inlineStr">
        <is>
          <t>◐ Method</t>
        </is>
      </c>
      <c r="M13" s="6" t="inlineStr">
        <is>
          <t>2014-15 6(c); 2013-14 1(a); 2013-14 5(d); 2013-14 5(e); 2012-13 5(d); 2012-13 7(b)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2013-14</t>
        </is>
      </c>
      <c r="C14" s="24" t="inlineStr">
        <is>
          <t>CSE 307</t>
        </is>
      </c>
      <c r="D14" s="24" t="inlineStr">
        <is>
          <t>5(d)</t>
        </is>
      </c>
      <c r="E14" s="6" t="inlineStr">
        <is>
          <t>Fact-finding methods</t>
        </is>
      </c>
      <c r="F14" s="6" t="inlineStr">
        <is>
          <t>Requirement analysis — Requirements pp. 1–12</t>
        </is>
      </c>
      <c r="G14" s="24" t="inlineStr">
        <is>
          <t>L22</t>
        </is>
      </c>
      <c r="H14" s="24" t="n">
        <v>14</v>
      </c>
      <c r="I14" s="24" t="n">
        <v>47</v>
      </c>
      <c r="J14" s="25" t="inlineStr">
        <is>
          <t>★★ Medium</t>
        </is>
      </c>
      <c r="K14" s="24" t="inlineStr">
        <is>
          <t>Theory</t>
        </is>
      </c>
      <c r="L14" s="22" t="inlineStr">
        <is>
          <t>✔ Solved</t>
        </is>
      </c>
      <c r="M14" s="6" t="inlineStr">
        <is>
          <t>2014-15 6(c); 2013-14 1(a); 2013-14 1(b); 2013-14 5(e); 2012-13 5(d); 2012-13 7(b)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2013-14</t>
        </is>
      </c>
      <c r="C15" s="24" t="inlineStr">
        <is>
          <t>CSE 307</t>
        </is>
      </c>
      <c r="D15" s="24" t="inlineStr">
        <is>
          <t>5(e)</t>
        </is>
      </c>
      <c r="E15" s="6" t="inlineStr">
        <is>
          <t>JRP: advantages and disadvantages</t>
        </is>
      </c>
      <c r="F15" s="6" t="inlineStr">
        <is>
          <t>Requirement analysis — Requirements pp. 1–12</t>
        </is>
      </c>
      <c r="G15" s="24" t="inlineStr">
        <is>
          <t>L22</t>
        </is>
      </c>
      <c r="H15" s="24" t="n">
        <v>10.67</v>
      </c>
      <c r="I15" s="24" t="n">
        <v>47</v>
      </c>
      <c r="J15" s="25" t="inlineStr">
        <is>
          <t>★★ Medium</t>
        </is>
      </c>
      <c r="K15" s="24" t="inlineStr">
        <is>
          <t>Theory</t>
        </is>
      </c>
      <c r="L15" s="26" t="inlineStr">
        <is>
          <t>◐ Method</t>
        </is>
      </c>
      <c r="M15" s="6" t="inlineStr">
        <is>
          <t>2014-15 6(c); 2013-14 1(a); 2013-14 1(b); 2013-14 5(d); 2012-13 5(d); 2012-13 7(b)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2012-13</t>
        </is>
      </c>
      <c r="C16" s="24" t="inlineStr">
        <is>
          <t>CSE 307</t>
        </is>
      </c>
      <c r="D16" s="24" t="inlineStr">
        <is>
          <t>5(d)</t>
        </is>
      </c>
      <c r="E16" s="6" t="inlineStr">
        <is>
          <t>JRP and its participants</t>
        </is>
      </c>
      <c r="F16" s="6" t="inlineStr">
        <is>
          <t>Requirement analysis — Requirements pp. 1–12</t>
        </is>
      </c>
      <c r="G16" s="24" t="inlineStr">
        <is>
          <t>L22</t>
        </is>
      </c>
      <c r="H16" s="24" t="n">
        <v>4.67</v>
      </c>
      <c r="I16" s="24" t="n">
        <v>54</v>
      </c>
      <c r="J16" s="25" t="inlineStr">
        <is>
          <t>★★ Medium</t>
        </is>
      </c>
      <c r="K16" s="24" t="inlineStr">
        <is>
          <t>Theory</t>
        </is>
      </c>
      <c r="L16" s="26" t="inlineStr">
        <is>
          <t>◐ Method</t>
        </is>
      </c>
      <c r="M16" s="6" t="inlineStr">
        <is>
          <t>2014-15 6(c); 2013-14 1(a); 2013-14 1(b); 2013-14 5(d); 2013-14 5(e); 2012-13 7(b)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2012-13</t>
        </is>
      </c>
      <c r="C17" s="24" t="inlineStr">
        <is>
          <t>CSE 307</t>
        </is>
      </c>
      <c r="D17" s="24" t="inlineStr">
        <is>
          <t>7(b)</t>
        </is>
      </c>
      <c r="E17" s="6" t="inlineStr">
        <is>
          <t>Health centre: seven fact-finding methods per user</t>
        </is>
      </c>
      <c r="F17" s="6" t="inlineStr">
        <is>
          <t>Requirement analysis — Requirements pp. 1–12</t>
        </is>
      </c>
      <c r="G17" s="24" t="inlineStr">
        <is>
          <t>L22</t>
        </is>
      </c>
      <c r="H17" s="24" t="n">
        <v>15</v>
      </c>
      <c r="I17" s="24" t="n">
        <v>55</v>
      </c>
      <c r="J17" s="25" t="inlineStr">
        <is>
          <t>★★ Medium</t>
        </is>
      </c>
      <c r="K17" s="24" t="inlineStr">
        <is>
          <t>Theory</t>
        </is>
      </c>
      <c r="L17" s="26" t="inlineStr">
        <is>
          <t>◐ Method</t>
        </is>
      </c>
      <c r="M17" s="6" t="inlineStr">
        <is>
          <t>2014-15 6(c); 2013-14 1(a); 2013-14 1(b); 2013-14 5(d); 2013-14 5(e); 2012-13 5(d)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2011-12</t>
        </is>
      </c>
      <c r="C18" s="24" t="inlineStr">
        <is>
          <t>CSE 307</t>
        </is>
      </c>
      <c r="D18" s="24" t="inlineStr">
        <is>
          <t>5(a)</t>
        </is>
      </c>
      <c r="E18" s="6" t="inlineStr">
        <is>
          <t>Classify ten requirement statements into seven categories</t>
        </is>
      </c>
      <c r="F18" s="6" t="inlineStr">
        <is>
          <t>Requirement analysis — Requirements pp. 1–12</t>
        </is>
      </c>
      <c r="G18" s="24" t="inlineStr">
        <is>
          <t>L22</t>
        </is>
      </c>
      <c r="H18" s="24" t="n">
        <v>10</v>
      </c>
      <c r="I18" s="24" t="inlineStr">
        <is>
          <t>58–59</t>
        </is>
      </c>
      <c r="J18" s="25" t="inlineStr">
        <is>
          <t>★★ Medium</t>
        </is>
      </c>
      <c r="K18" s="24" t="inlineStr">
        <is>
          <t>Theory</t>
        </is>
      </c>
      <c r="L18" s="22" t="inlineStr">
        <is>
          <t>✔ Solved</t>
        </is>
      </c>
      <c r="M18" s="6" t="inlineStr">
        <is>
          <t>2024-25 5(c); 2021-22 2(c); 2021-22 4(b)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2010-11</t>
        </is>
      </c>
      <c r="C19" s="24" t="inlineStr">
        <is>
          <t>CSE 307</t>
        </is>
      </c>
      <c r="D19" s="24" t="inlineStr">
        <is>
          <t>7(b)</t>
        </is>
      </c>
      <c r="E19" s="6" t="inlineStr">
        <is>
          <t>Land-management computerisation: fact-finding techniques</t>
        </is>
      </c>
      <c r="F19" s="6" t="inlineStr">
        <is>
          <t>Requirement analysis — Requirements pp. 1–12</t>
        </is>
      </c>
      <c r="G19" s="24" t="inlineStr">
        <is>
          <t>L22</t>
        </is>
      </c>
      <c r="H19" s="24" t="n">
        <v>25</v>
      </c>
      <c r="I19" s="24" t="n">
        <v>69</v>
      </c>
      <c r="J19" s="25" t="inlineStr">
        <is>
          <t>★★ Medium</t>
        </is>
      </c>
      <c r="K19" s="24" t="inlineStr">
        <is>
          <t>Theory</t>
        </is>
      </c>
      <c r="L19" s="26" t="inlineStr">
        <is>
          <t>◐ Method</t>
        </is>
      </c>
      <c r="M19" s="6" t="inlineStr">
        <is>
          <t>2014-15 6(c); 2013-14 1(a); 2013-14 1(b); 2013-14 5(d); 2013-14 5(e); 2012-13 5(d)</t>
        </is>
      </c>
      <c r="N19" s="23" t="b">
        <v>0</v>
      </c>
      <c r="O19" s="24" t="n"/>
      <c r="P19" s="24" t="n"/>
      <c r="Q19" s="6" t="n"/>
    </row>
  </sheetData>
  <autoFilter ref="A3:Q19"/>
  <conditionalFormatting sqref="A4:Q19">
    <cfRule type="expression" priority="1" dxfId="0">
      <formula>$N4=TRUE</formula>
    </cfRule>
  </conditionalFormatting>
  <conditionalFormatting sqref="O4:O19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9" showDropDown="0" showInputMessage="0" showErrorMessage="0" allowBlank="1" type="list">
      <formula1>"TRUE,FALSE"</formula1>
    </dataValidation>
    <dataValidation sqref="O4:O19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34" customWidth="1" min="6" max="6"/>
    <col width="7" customWidth="1" min="7" max="7"/>
    <col width="8" customWidth="1" min="8" max="8"/>
    <col width="7" customWidth="1" min="9" max="9"/>
    <col width="32" customWidth="1" min="10" max="10"/>
  </cols>
  <sheetData>
    <row r="1">
      <c r="A1" s="18" t="inlineStr">
        <is>
          <t>IJ-section questions on topics NOT in the current slides</t>
        </is>
      </c>
    </row>
    <row r="2">
      <c r="A2" s="2" t="inlineStr">
        <is>
          <t>Mostly older papers. Ask sir/ma'am whether these topics are in this term's syllabus before practising them.</t>
        </is>
      </c>
    </row>
    <row r="3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Area</t>
        </is>
      </c>
      <c r="G3" s="7" t="inlineStr">
        <is>
          <t>Marks</t>
        </is>
      </c>
      <c r="H3" s="7" t="inlineStr">
        <is>
          <t>TF Page</t>
        </is>
      </c>
      <c r="I3" s="7" t="inlineStr">
        <is>
          <t>Done</t>
        </is>
      </c>
      <c r="J3" s="7" t="inlineStr">
        <is>
          <t>My Notes</t>
        </is>
      </c>
    </row>
    <row r="4">
      <c r="A4" s="24" t="n">
        <v>1</v>
      </c>
      <c r="B4" s="24" t="inlineStr">
        <is>
          <t>2024-25</t>
        </is>
      </c>
      <c r="C4" s="24" t="inlineStr">
        <is>
          <t>CSE 213</t>
        </is>
      </c>
      <c r="D4" s="24" t="inlineStr">
        <is>
          <t>2(b)</t>
        </is>
      </c>
      <c r="E4" s="6" t="inlineStr">
        <is>
          <t>Online education: AI feature vs financial crisis — identify and categorise risks</t>
        </is>
      </c>
      <c r="F4" s="6" t="inlineStr">
        <is>
          <t>Risk management</t>
        </is>
      </c>
      <c r="G4" s="24" t="n">
        <v>15</v>
      </c>
      <c r="H4" s="24" t="inlineStr">
        <is>
          <t>22 batch p.2</t>
        </is>
      </c>
      <c r="I4" s="23" t="b">
        <v>0</v>
      </c>
      <c r="J4" s="6" t="n"/>
    </row>
    <row r="5">
      <c r="A5" s="24" t="n">
        <v>2</v>
      </c>
      <c r="B5" s="24" t="inlineStr">
        <is>
          <t>2024-25</t>
        </is>
      </c>
      <c r="C5" s="24" t="inlineStr">
        <is>
          <t>CSE 213</t>
        </is>
      </c>
      <c r="D5" s="24" t="inlineStr">
        <is>
          <t>3(a)</t>
        </is>
      </c>
      <c r="E5" s="6" t="inlineStr">
        <is>
          <t>SmartHome EVM from Gantt data: officer's schedule claim; lower bound on AC</t>
        </is>
      </c>
      <c r="F5" s="6" t="inlineStr">
        <is>
          <t>Earned value analysis</t>
        </is>
      </c>
      <c r="G5" s="24" t="n">
        <v>20</v>
      </c>
      <c r="H5" s="24" t="inlineStr">
        <is>
          <t>22 batch p.3</t>
        </is>
      </c>
      <c r="I5" s="23" t="b">
        <v>0</v>
      </c>
      <c r="J5" s="6" t="n"/>
    </row>
    <row r="6">
      <c r="A6" s="24" t="n">
        <v>3</v>
      </c>
      <c r="B6" s="24" t="inlineStr">
        <is>
          <t>2024-25</t>
        </is>
      </c>
      <c r="C6" s="24" t="inlineStr">
        <is>
          <t>CSE 213</t>
        </is>
      </c>
      <c r="D6" s="24" t="inlineStr">
        <is>
          <t>3(b)</t>
        </is>
      </c>
      <c r="E6" s="6" t="inlineStr">
        <is>
          <t>Online library: caching, sharding, CDN</t>
        </is>
      </c>
      <c r="F6" s="6" t="inlineStr">
        <is>
          <t>Performance / architecture</t>
        </is>
      </c>
      <c r="G6" s="24" t="n">
        <v>15</v>
      </c>
      <c r="H6" s="24" t="inlineStr">
        <is>
          <t>22 batch p.3</t>
        </is>
      </c>
      <c r="I6" s="23" t="b">
        <v>0</v>
      </c>
      <c r="J6" s="6" t="n"/>
    </row>
    <row r="7">
      <c r="A7" s="24" t="n">
        <v>4</v>
      </c>
      <c r="B7" s="24" t="inlineStr">
        <is>
          <t>2024-25</t>
        </is>
      </c>
      <c r="C7" s="24" t="inlineStr">
        <is>
          <t>CSE 213</t>
        </is>
      </c>
      <c r="D7" s="24" t="inlineStr">
        <is>
          <t>6(b)</t>
        </is>
      </c>
      <c r="E7" s="6" t="inlineStr">
        <is>
          <t>Registration-night overload vs DoS attack: distinguish; two defences</t>
        </is>
      </c>
      <c r="F7" s="6" t="inlineStr">
        <is>
          <t>Security</t>
        </is>
      </c>
      <c r="G7" s="24" t="n">
        <v>10</v>
      </c>
      <c r="H7" s="24" t="inlineStr">
        <is>
          <t>22 batch p.6</t>
        </is>
      </c>
      <c r="I7" s="23" t="b">
        <v>0</v>
      </c>
      <c r="J7" s="6" t="n"/>
    </row>
    <row r="8">
      <c r="A8" s="24" t="n">
        <v>5</v>
      </c>
      <c r="B8" s="24" t="inlineStr">
        <is>
          <t>2024-25</t>
        </is>
      </c>
      <c r="C8" s="24" t="inlineStr">
        <is>
          <t>CSE 213</t>
        </is>
      </c>
      <c r="D8" s="24" t="inlineStr">
        <is>
          <t>7(c)</t>
        </is>
      </c>
      <c r="E8" s="6" t="inlineStr">
        <is>
          <t>C login with strcpy: buffer-overflow vulnerabilities, attack input, safer alternatives</t>
        </is>
      </c>
      <c r="F8" s="6" t="inlineStr">
        <is>
          <t>Security (buffer overflow)</t>
        </is>
      </c>
      <c r="G8" s="24" t="n">
        <v>10</v>
      </c>
      <c r="H8" s="24" t="inlineStr">
        <is>
          <t>22 batch p.7–8</t>
        </is>
      </c>
      <c r="I8" s="23" t="b">
        <v>0</v>
      </c>
      <c r="J8" s="6" t="n"/>
    </row>
    <row r="9">
      <c r="A9" s="24" t="n">
        <v>6</v>
      </c>
      <c r="B9" s="24" t="inlineStr">
        <is>
          <t>2023-24</t>
        </is>
      </c>
      <c r="C9" s="24" t="inlineStr">
        <is>
          <t>CSE 213</t>
        </is>
      </c>
      <c r="D9" s="24" t="inlineStr">
        <is>
          <t>1(b)</t>
        </is>
      </c>
      <c r="E9" s="6" t="inlineStr">
        <is>
          <t>Proper IT security policy? Design a password policy</t>
        </is>
      </c>
      <c r="F9" s="6" t="inlineStr">
        <is>
          <t>Security policy</t>
        </is>
      </c>
      <c r="G9" s="24" t="n">
        <v>14</v>
      </c>
      <c r="H9" s="24" t="n">
        <v>1</v>
      </c>
      <c r="I9" s="23" t="b">
        <v>0</v>
      </c>
      <c r="J9" s="6" t="n"/>
    </row>
    <row r="10">
      <c r="A10" s="24" t="n">
        <v>7</v>
      </c>
      <c r="B10" s="24" t="inlineStr">
        <is>
          <t>2023-24</t>
        </is>
      </c>
      <c r="C10" s="24" t="inlineStr">
        <is>
          <t>CSE 213</t>
        </is>
      </c>
      <c r="D10" s="24" t="inlineStr">
        <is>
          <t>1(d)</t>
        </is>
      </c>
      <c r="E10" s="6" t="inlineStr">
        <is>
          <t>Assets, exposures, vulnerabilities table</t>
        </is>
      </c>
      <c r="F10" s="6" t="inlineStr">
        <is>
          <t>Security</t>
        </is>
      </c>
      <c r="G10" s="24" t="n">
        <v>6</v>
      </c>
      <c r="H10" s="24" t="n">
        <v>1</v>
      </c>
      <c r="I10" s="23" t="b">
        <v>0</v>
      </c>
      <c r="J10" s="6" t="n"/>
    </row>
    <row r="11">
      <c r="A11" s="24" t="n">
        <v>8</v>
      </c>
      <c r="B11" s="24" t="inlineStr">
        <is>
          <t>2023-24</t>
        </is>
      </c>
      <c r="C11" s="24" t="inlineStr">
        <is>
          <t>CSE 213</t>
        </is>
      </c>
      <c r="D11" s="24" t="inlineStr">
        <is>
          <t>1(e)</t>
        </is>
      </c>
      <c r="E11" s="6" t="inlineStr">
        <is>
          <t>Weaknesses of password authentication; 2FA / 3FA</t>
        </is>
      </c>
      <c r="F11" s="6" t="inlineStr">
        <is>
          <t>Security</t>
        </is>
      </c>
      <c r="G11" s="24" t="n">
        <v>8</v>
      </c>
      <c r="H11" s="24" t="n">
        <v>1</v>
      </c>
      <c r="I11" s="23" t="b">
        <v>0</v>
      </c>
      <c r="J11" s="6" t="n"/>
    </row>
    <row r="12">
      <c r="A12" s="24" t="n">
        <v>9</v>
      </c>
      <c r="B12" s="24" t="inlineStr">
        <is>
          <t>2023-24</t>
        </is>
      </c>
      <c r="C12" s="24" t="inlineStr">
        <is>
          <t>CSE 213</t>
        </is>
      </c>
      <c r="D12" s="24" t="inlineStr">
        <is>
          <t>4(a)</t>
        </is>
      </c>
      <c r="E12" s="6" t="inlineStr">
        <is>
          <t>Security threats on instructions and data per CIA triad</t>
        </is>
      </c>
      <c r="F12" s="6" t="inlineStr">
        <is>
          <t>Security</t>
        </is>
      </c>
      <c r="G12" s="24" t="n">
        <v>7</v>
      </c>
      <c r="H12" s="24" t="n">
        <v>4</v>
      </c>
      <c r="I12" s="23" t="b">
        <v>0</v>
      </c>
      <c r="J12" s="6" t="n"/>
    </row>
    <row r="13">
      <c r="A13" s="24" t="n">
        <v>10</v>
      </c>
      <c r="B13" s="24" t="inlineStr">
        <is>
          <t>2023-24</t>
        </is>
      </c>
      <c r="C13" s="24" t="inlineStr">
        <is>
          <t>CSE 213</t>
        </is>
      </c>
      <c r="D13" s="24" t="inlineStr">
        <is>
          <t>4(b)</t>
        </is>
      </c>
      <c r="E13" s="6" t="inlineStr">
        <is>
          <t>Encryption policy diagram; symmetric vs asymmetric</t>
        </is>
      </c>
      <c r="F13" s="6" t="inlineStr">
        <is>
          <t>Security</t>
        </is>
      </c>
      <c r="G13" s="24" t="n">
        <v>8</v>
      </c>
      <c r="H13" s="24" t="n">
        <v>4</v>
      </c>
      <c r="I13" s="23" t="b">
        <v>0</v>
      </c>
      <c r="J13" s="6" t="n"/>
    </row>
    <row r="14">
      <c r="A14" s="24" t="n">
        <v>11</v>
      </c>
      <c r="B14" s="24" t="inlineStr">
        <is>
          <t>2023-24</t>
        </is>
      </c>
      <c r="C14" s="24" t="inlineStr">
        <is>
          <t>CSE 213</t>
        </is>
      </c>
      <c r="D14" s="24" t="inlineStr">
        <is>
          <t>4(c)</t>
        </is>
      </c>
      <c r="E14" s="6" t="inlineStr">
        <is>
          <t>Residual risk: asset $200,000, EF 20 %, ARO 1/5 yr, $10,000 safeguard → EF 5 %: worth it?</t>
        </is>
      </c>
      <c r="F14" s="6" t="inlineStr">
        <is>
          <t>Security risk (numerical)</t>
        </is>
      </c>
      <c r="G14" s="24" t="n">
        <v>7</v>
      </c>
      <c r="H14" s="24" t="n">
        <v>4</v>
      </c>
      <c r="I14" s="23" t="b">
        <v>0</v>
      </c>
      <c r="J14" s="6" t="n"/>
    </row>
    <row r="15">
      <c r="A15" s="24" t="n">
        <v>12</v>
      </c>
      <c r="B15" s="24" t="inlineStr">
        <is>
          <t>2023-24</t>
        </is>
      </c>
      <c r="C15" s="24" t="inlineStr">
        <is>
          <t>CSE 213</t>
        </is>
      </c>
      <c r="D15" s="24" t="inlineStr">
        <is>
          <t>4(d)</t>
        </is>
      </c>
      <c r="E15" s="6" t="inlineStr">
        <is>
          <t>Buffer overflow</t>
        </is>
      </c>
      <c r="F15" s="6" t="inlineStr">
        <is>
          <t>Security</t>
        </is>
      </c>
      <c r="G15" s="24" t="n">
        <v>8</v>
      </c>
      <c r="H15" s="24" t="n">
        <v>4</v>
      </c>
      <c r="I15" s="23" t="b">
        <v>0</v>
      </c>
      <c r="J15" s="6" t="n"/>
    </row>
    <row r="16">
      <c r="A16" s="24" t="n">
        <v>13</v>
      </c>
      <c r="B16" s="24" t="inlineStr">
        <is>
          <t>2023-24</t>
        </is>
      </c>
      <c r="C16" s="24" t="inlineStr">
        <is>
          <t>CSE 213</t>
        </is>
      </c>
      <c r="D16" s="24" t="inlineStr">
        <is>
          <t>6(c)</t>
        </is>
      </c>
      <c r="E16" s="6" t="inlineStr">
        <is>
          <t>EVM: 20 % more work per dollar, BAC 1000, features A/B — ahead?</t>
        </is>
      </c>
      <c r="F16" s="6" t="inlineStr">
        <is>
          <t>Earned value analysis</t>
        </is>
      </c>
      <c r="G16" s="24" t="n">
        <v>20</v>
      </c>
      <c r="H16" s="24" t="n">
        <v>5</v>
      </c>
      <c r="I16" s="23" t="b">
        <v>0</v>
      </c>
      <c r="J16" s="6" t="n"/>
    </row>
    <row r="17">
      <c r="A17" s="24" t="n">
        <v>14</v>
      </c>
      <c r="B17" s="24" t="inlineStr">
        <is>
          <t>2023-24</t>
        </is>
      </c>
      <c r="C17" s="24" t="inlineStr">
        <is>
          <t>CSE 213</t>
        </is>
      </c>
      <c r="D17" s="24" t="inlineStr">
        <is>
          <t>7(a)</t>
        </is>
      </c>
      <c r="E17" s="6" t="inlineStr">
        <is>
          <t>AI travel agency: risks; proactive / reactive strategies</t>
        </is>
      </c>
      <c r="F17" s="6" t="inlineStr">
        <is>
          <t>Risk management</t>
        </is>
      </c>
      <c r="G17" s="24" t="n">
        <v>15</v>
      </c>
      <c r="H17" s="24" t="n">
        <v>5</v>
      </c>
      <c r="I17" s="23" t="b">
        <v>0</v>
      </c>
      <c r="J17" s="6" t="n"/>
    </row>
    <row r="18">
      <c r="A18" s="24" t="n">
        <v>15</v>
      </c>
      <c r="B18" s="24" t="inlineStr">
        <is>
          <t>2023-24</t>
        </is>
      </c>
      <c r="C18" s="24" t="inlineStr">
        <is>
          <t>CSE 213</t>
        </is>
      </c>
      <c r="D18" s="24" t="inlineStr">
        <is>
          <t>7(b)</t>
        </is>
      </c>
      <c r="E18" s="6" t="inlineStr">
        <is>
          <t>Results portal crashes despite more servers</t>
        </is>
      </c>
      <c r="F18" s="6" t="inlineStr">
        <is>
          <t>Performance / scalability</t>
        </is>
      </c>
      <c r="G18" s="24" t="n">
        <v>10</v>
      </c>
      <c r="H18" s="24" t="n">
        <v>5</v>
      </c>
      <c r="I18" s="23" t="b">
        <v>0</v>
      </c>
      <c r="J18" s="6" t="n"/>
    </row>
    <row r="19">
      <c r="A19" s="24" t="n">
        <v>16</v>
      </c>
      <c r="B19" s="24" t="inlineStr">
        <is>
          <t>2023-24</t>
        </is>
      </c>
      <c r="C19" s="24" t="inlineStr">
        <is>
          <t>CSE 213</t>
        </is>
      </c>
      <c r="D19" s="24" t="inlineStr">
        <is>
          <t>7(c)</t>
        </is>
      </c>
      <c r="E19" s="6" t="inlineStr">
        <is>
          <t>Software profiling; resource metrics; scalability</t>
        </is>
      </c>
      <c r="F19" s="6" t="inlineStr">
        <is>
          <t>Performance / scalability</t>
        </is>
      </c>
      <c r="G19" s="24" t="n">
        <v>10</v>
      </c>
      <c r="H19" s="24" t="n">
        <v>5</v>
      </c>
      <c r="I19" s="23" t="b">
        <v>0</v>
      </c>
      <c r="J19" s="6" t="n"/>
    </row>
    <row r="20">
      <c r="A20" s="24" t="n">
        <v>17</v>
      </c>
      <c r="B20" s="24" t="inlineStr">
        <is>
          <t>2023-24</t>
        </is>
      </c>
      <c r="C20" s="24" t="inlineStr">
        <is>
          <t>CSE 213</t>
        </is>
      </c>
      <c r="D20" s="24" t="inlineStr">
        <is>
          <t>8(b)</t>
        </is>
      </c>
      <c r="E20" s="6" t="inlineStr">
        <is>
          <t>Manager vs leader</t>
        </is>
      </c>
      <c r="F20" s="6" t="inlineStr">
        <is>
          <t>Project management (people)</t>
        </is>
      </c>
      <c r="G20" s="24" t="n">
        <v>7</v>
      </c>
      <c r="H20" s="24" t="n">
        <v>6</v>
      </c>
      <c r="I20" s="23" t="b">
        <v>0</v>
      </c>
      <c r="J20" s="6" t="n"/>
    </row>
    <row r="21">
      <c r="A21" s="24" t="n">
        <v>18</v>
      </c>
      <c r="B21" s="24" t="inlineStr">
        <is>
          <t>2022-23</t>
        </is>
      </c>
      <c r="C21" s="24" t="inlineStr">
        <is>
          <t>CSE 307</t>
        </is>
      </c>
      <c r="D21" s="24" t="inlineStr">
        <is>
          <t>3(b)</t>
        </is>
      </c>
      <c r="E21" s="6" t="inlineStr">
        <is>
          <t>Write-through/read-through vs write-around cache mistake</t>
        </is>
      </c>
      <c r="F21" s="6" t="inlineStr">
        <is>
          <t>Caching / architecture</t>
        </is>
      </c>
      <c r="G21" s="24" t="n">
        <v>12</v>
      </c>
      <c r="H21" s="24" t="n">
        <v>8</v>
      </c>
      <c r="I21" s="23" t="b">
        <v>0</v>
      </c>
      <c r="J21" s="6" t="n"/>
    </row>
    <row r="22">
      <c r="A22" s="24" t="n">
        <v>19</v>
      </c>
      <c r="B22" s="24" t="inlineStr">
        <is>
          <t>2022-23</t>
        </is>
      </c>
      <c r="C22" s="24" t="inlineStr">
        <is>
          <t>CSE 307</t>
        </is>
      </c>
      <c r="D22" s="24" t="inlineStr">
        <is>
          <t>3(c)</t>
        </is>
      </c>
      <c r="E22" s="6" t="inlineStr">
        <is>
          <t>CI/CD in DevOps</t>
        </is>
      </c>
      <c r="F22" s="6" t="inlineStr">
        <is>
          <t>DevOps</t>
        </is>
      </c>
      <c r="G22" s="24" t="n">
        <v>8</v>
      </c>
      <c r="H22" s="24" t="n">
        <v>8</v>
      </c>
      <c r="I22" s="23" t="b">
        <v>0</v>
      </c>
      <c r="J22" s="6" t="n"/>
    </row>
    <row r="23">
      <c r="A23" s="24" t="n">
        <v>20</v>
      </c>
      <c r="B23" s="24" t="inlineStr">
        <is>
          <t>2022-23</t>
        </is>
      </c>
      <c r="C23" s="24" t="inlineStr">
        <is>
          <t>CSE 307</t>
        </is>
      </c>
      <c r="D23" s="24" t="inlineStr">
        <is>
          <t>7(a)</t>
        </is>
      </c>
      <c r="E23" s="6" t="inlineStr">
        <is>
          <t>Two risk strategies; risk table; RIS</t>
        </is>
      </c>
      <c r="F23" s="6" t="inlineStr">
        <is>
          <t>Risk management</t>
        </is>
      </c>
      <c r="G23" s="24" t="n">
        <v>10</v>
      </c>
      <c r="H23" s="24" t="n">
        <v>11</v>
      </c>
      <c r="I23" s="23" t="b">
        <v>0</v>
      </c>
      <c r="J23" s="6" t="n"/>
    </row>
    <row r="24">
      <c r="A24" s="24" t="n">
        <v>21</v>
      </c>
      <c r="B24" s="24" t="inlineStr">
        <is>
          <t>2022-23</t>
        </is>
      </c>
      <c r="C24" s="24" t="inlineStr">
        <is>
          <t>CSE 307</t>
        </is>
      </c>
      <c r="D24" s="24" t="inlineStr">
        <is>
          <t>7(b)</t>
        </is>
      </c>
      <c r="E24" s="6" t="inlineStr">
        <is>
          <t>EVM table A–E, AC 140: SPI, CPI, EAC, SV, CV</t>
        </is>
      </c>
      <c r="F24" s="6" t="inlineStr">
        <is>
          <t>Earned value analysis</t>
        </is>
      </c>
      <c r="G24" s="24" t="n">
        <v>10</v>
      </c>
      <c r="H24" s="24" t="n">
        <v>11</v>
      </c>
      <c r="I24" s="23" t="b">
        <v>0</v>
      </c>
      <c r="J24" s="6" t="n"/>
    </row>
    <row r="25">
      <c r="A25" s="24" t="n">
        <v>22</v>
      </c>
      <c r="B25" s="24" t="inlineStr">
        <is>
          <t>2022-23</t>
        </is>
      </c>
      <c r="C25" s="24" t="inlineStr">
        <is>
          <t>CSE 307</t>
        </is>
      </c>
      <c r="D25" s="24" t="inlineStr">
        <is>
          <t>7(c)</t>
        </is>
      </c>
      <c r="E25" s="6" t="inlineStr">
        <is>
          <t>Critical path &amp; slack (CPM table)</t>
        </is>
      </c>
      <c r="F25" s="6" t="inlineStr">
        <is>
          <t>CPM / PERT</t>
        </is>
      </c>
      <c r="G25" s="24" t="n">
        <v>15</v>
      </c>
      <c r="H25" s="24" t="n">
        <v>11</v>
      </c>
      <c r="I25" s="23" t="b">
        <v>0</v>
      </c>
      <c r="J25" s="6" t="n"/>
    </row>
    <row r="26">
      <c r="A26" s="24" t="n">
        <v>23</v>
      </c>
      <c r="B26" s="24" t="inlineStr">
        <is>
          <t>2022-23</t>
        </is>
      </c>
      <c r="C26" s="24" t="inlineStr">
        <is>
          <t>CSE 307</t>
        </is>
      </c>
      <c r="D26" s="24" t="inlineStr">
        <is>
          <t>8(a)</t>
        </is>
      </c>
      <c r="E26" s="6" t="inlineStr">
        <is>
          <t>SQL poisoning, XSS, federated identity</t>
        </is>
      </c>
      <c r="F26" s="6" t="inlineStr">
        <is>
          <t>Security</t>
        </is>
      </c>
      <c r="G26" s="24" t="n">
        <v>10</v>
      </c>
      <c r="H26" s="24" t="n">
        <v>12</v>
      </c>
      <c r="I26" s="23" t="b">
        <v>0</v>
      </c>
      <c r="J26" s="6" t="n"/>
    </row>
    <row r="27">
      <c r="A27" s="24" t="n">
        <v>24</v>
      </c>
      <c r="B27" s="24" t="inlineStr">
        <is>
          <t>2022-23</t>
        </is>
      </c>
      <c r="C27" s="24" t="inlineStr">
        <is>
          <t>CSE 307</t>
        </is>
      </c>
      <c r="D27" s="24" t="inlineStr">
        <is>
          <t>8(b)</t>
        </is>
      </c>
      <c r="E27" s="6" t="inlineStr">
        <is>
          <t>Symmetric vs asymmetric; authentication with asymmetric keys</t>
        </is>
      </c>
      <c r="F27" s="6" t="inlineStr">
        <is>
          <t>Security</t>
        </is>
      </c>
      <c r="G27" s="24" t="n">
        <v>10</v>
      </c>
      <c r="H27" s="24" t="n">
        <v>12</v>
      </c>
      <c r="I27" s="23" t="b">
        <v>0</v>
      </c>
      <c r="J27" s="6" t="n"/>
    </row>
    <row r="28">
      <c r="A28" s="24" t="n">
        <v>25</v>
      </c>
      <c r="B28" s="24" t="inlineStr">
        <is>
          <t>2022-23</t>
        </is>
      </c>
      <c r="C28" s="24" t="inlineStr">
        <is>
          <t>CSE 307</t>
        </is>
      </c>
      <c r="D28" s="24" t="inlineStr">
        <is>
          <t>8(c)</t>
        </is>
      </c>
      <c r="E28" s="6" t="inlineStr">
        <is>
          <t>Performance bottlenecks: synchronous app server, billions of rows, read queries</t>
        </is>
      </c>
      <c r="F28" s="6" t="inlineStr">
        <is>
          <t>Performance / architecture</t>
        </is>
      </c>
      <c r="G28" s="24" t="n">
        <v>15</v>
      </c>
      <c r="H28" s="24" t="n">
        <v>12</v>
      </c>
      <c r="I28" s="23" t="b">
        <v>0</v>
      </c>
      <c r="J28" s="6" t="n"/>
    </row>
    <row r="29">
      <c r="A29" s="24" t="n">
        <v>26</v>
      </c>
      <c r="B29" s="24" t="inlineStr">
        <is>
          <t>2021-22</t>
        </is>
      </c>
      <c r="C29" s="24" t="inlineStr">
        <is>
          <t>CSE 307</t>
        </is>
      </c>
      <c r="D29" s="24" t="inlineStr">
        <is>
          <t>5(a)</t>
        </is>
      </c>
      <c r="E29" s="6" t="inlineStr">
        <is>
          <t>Uncertainty and loss of a risk — example</t>
        </is>
      </c>
      <c r="F29" s="6" t="inlineStr">
        <is>
          <t>Risk management</t>
        </is>
      </c>
      <c r="G29" s="24" t="n">
        <v>10</v>
      </c>
      <c r="H29" s="24" t="n">
        <v>17</v>
      </c>
      <c r="I29" s="23" t="b">
        <v>0</v>
      </c>
      <c r="J29" s="6" t="n"/>
    </row>
    <row r="30">
      <c r="A30" s="24" t="n">
        <v>27</v>
      </c>
      <c r="B30" s="24" t="inlineStr">
        <is>
          <t>2021-22</t>
        </is>
      </c>
      <c r="C30" s="24" t="inlineStr">
        <is>
          <t>CSE 307</t>
        </is>
      </c>
      <c r="D30" s="24" t="inlineStr">
        <is>
          <t>5(c)</t>
        </is>
      </c>
      <c r="E30" s="6" t="inlineStr">
        <is>
          <t>Short, useful, up-to-date code documents</t>
        </is>
      </c>
      <c r="F30" s="6" t="inlineStr">
        <is>
          <t>Documentation</t>
        </is>
      </c>
      <c r="G30" s="24" t="n">
        <v>5</v>
      </c>
      <c r="H30" s="24" t="n">
        <v>17</v>
      </c>
      <c r="I30" s="23" t="b">
        <v>0</v>
      </c>
      <c r="J30" s="6" t="n"/>
    </row>
    <row r="31">
      <c r="A31" s="24" t="n">
        <v>28</v>
      </c>
      <c r="B31" s="24" t="inlineStr">
        <is>
          <t>2021-22</t>
        </is>
      </c>
      <c r="C31" s="24" t="inlineStr">
        <is>
          <t>CSE 307</t>
        </is>
      </c>
      <c r="D31" s="24" t="inlineStr">
        <is>
          <t>6(b)</t>
        </is>
      </c>
      <c r="E31" s="6" t="inlineStr">
        <is>
          <t>EVM table A–E, AC $130: SPI, CPI, EAC + remarks</t>
        </is>
      </c>
      <c r="F31" s="6" t="inlineStr">
        <is>
          <t>Earned value analysis</t>
        </is>
      </c>
      <c r="G31" s="24" t="n">
        <v>15</v>
      </c>
      <c r="H31" s="24" t="n">
        <v>17</v>
      </c>
      <c r="I31" s="23" t="b">
        <v>0</v>
      </c>
      <c r="J31" s="6" t="n"/>
    </row>
    <row r="32">
      <c r="A32" s="24" t="n">
        <v>29</v>
      </c>
      <c r="B32" s="24" t="inlineStr">
        <is>
          <t>2021-22</t>
        </is>
      </c>
      <c r="C32" s="24" t="inlineStr">
        <is>
          <t>CSE 307</t>
        </is>
      </c>
      <c r="D32" s="24" t="inlineStr">
        <is>
          <t>7(b)</t>
        </is>
      </c>
      <c r="E32" s="6" t="inlineStr">
        <is>
          <t>CPM table A–H: slack, critical path, strict deadline</t>
        </is>
      </c>
      <c r="F32" s="6" t="inlineStr">
        <is>
          <t>CPM / PERT</t>
        </is>
      </c>
      <c r="G32" s="24" t="n">
        <v>20</v>
      </c>
      <c r="H32" s="24" t="inlineStr">
        <is>
          <t>17–18</t>
        </is>
      </c>
      <c r="I32" s="23" t="b">
        <v>0</v>
      </c>
      <c r="J32" s="6" t="n"/>
    </row>
    <row r="33">
      <c r="A33" s="24" t="n">
        <v>30</v>
      </c>
      <c r="B33" s="24" t="inlineStr">
        <is>
          <t>2021-22</t>
        </is>
      </c>
      <c r="C33" s="24" t="inlineStr">
        <is>
          <t>CSE 307</t>
        </is>
      </c>
      <c r="D33" s="24" t="inlineStr">
        <is>
          <t>7(c)</t>
        </is>
      </c>
      <c r="E33" s="6" t="inlineStr">
        <is>
          <t>Adding manpower to a late project</t>
        </is>
      </c>
      <c r="F33" s="6" t="inlineStr">
        <is>
          <t>Project management (Brooks' law)</t>
        </is>
      </c>
      <c r="G33" s="24" t="n">
        <v>5</v>
      </c>
      <c r="H33" s="24" t="n">
        <v>18</v>
      </c>
      <c r="I33" s="23" t="b">
        <v>0</v>
      </c>
      <c r="J33" s="6" t="n"/>
    </row>
    <row r="34">
      <c r="A34" s="24" t="n">
        <v>31</v>
      </c>
      <c r="B34" s="24" t="inlineStr">
        <is>
          <t>2021-22</t>
        </is>
      </c>
      <c r="C34" s="24" t="inlineStr">
        <is>
          <t>CSE 307</t>
        </is>
      </c>
      <c r="D34" s="24" t="inlineStr">
        <is>
          <t>8(c)</t>
        </is>
      </c>
      <c r="E34" s="6" t="inlineStr">
        <is>
          <t>People and process components (project management)</t>
        </is>
      </c>
      <c r="F34" s="6" t="inlineStr">
        <is>
          <t>Project management (4 P's)</t>
        </is>
      </c>
      <c r="G34" s="24" t="n">
        <v>10</v>
      </c>
      <c r="H34" s="24" t="n">
        <v>18</v>
      </c>
      <c r="I34" s="23" t="b">
        <v>0</v>
      </c>
      <c r="J34" s="6" t="n"/>
    </row>
    <row r="35">
      <c r="A35" s="24" t="n">
        <v>32</v>
      </c>
      <c r="B35" s="24" t="inlineStr">
        <is>
          <t>2020-21</t>
        </is>
      </c>
      <c r="C35" s="24" t="inlineStr">
        <is>
          <t>CSE 307</t>
        </is>
      </c>
      <c r="D35" s="24" t="inlineStr">
        <is>
          <t>3(c)</t>
        </is>
      </c>
      <c r="E35" s="6" t="inlineStr">
        <is>
          <t>COCOMO II</t>
        </is>
      </c>
      <c r="F35" s="6" t="inlineStr">
        <is>
          <t>Cost estimation</t>
        </is>
      </c>
      <c r="G35" s="24" t="n">
        <v>10</v>
      </c>
      <c r="H35" s="24" t="n">
        <v>20</v>
      </c>
      <c r="I35" s="23" t="b">
        <v>0</v>
      </c>
      <c r="J35" s="6" t="n"/>
    </row>
    <row r="36">
      <c r="A36" s="24" t="n">
        <v>33</v>
      </c>
      <c r="B36" s="24" t="inlineStr">
        <is>
          <t>2020-21</t>
        </is>
      </c>
      <c r="C36" s="24" t="inlineStr">
        <is>
          <t>CSE 307</t>
        </is>
      </c>
      <c r="D36" s="24" t="inlineStr">
        <is>
          <t>4(a)</t>
        </is>
      </c>
      <c r="E36" s="6" t="inlineStr">
        <is>
          <t>SSC result processing: 5 risks, exposure, mitigation</t>
        </is>
      </c>
      <c r="F36" s="6" t="inlineStr">
        <is>
          <t>Risk management</t>
        </is>
      </c>
      <c r="G36" s="24" t="n">
        <v>10</v>
      </c>
      <c r="H36" s="24" t="n">
        <v>20</v>
      </c>
      <c r="I36" s="23" t="b">
        <v>0</v>
      </c>
      <c r="J36" s="6" t="n"/>
    </row>
    <row r="37">
      <c r="A37" s="24" t="n">
        <v>34</v>
      </c>
      <c r="B37" s="24" t="inlineStr">
        <is>
          <t>2020-21</t>
        </is>
      </c>
      <c r="C37" s="24" t="inlineStr">
        <is>
          <t>CSE 307</t>
        </is>
      </c>
      <c r="D37" s="24" t="inlineStr">
        <is>
          <t>4(b)</t>
        </is>
      </c>
      <c r="E37" s="6" t="inlineStr">
        <is>
          <t>Team selection factors (Bangla spell checker)</t>
        </is>
      </c>
      <c r="F37" s="6" t="inlineStr">
        <is>
          <t>Team organisation</t>
        </is>
      </c>
      <c r="G37" s="24" t="n">
        <v>15</v>
      </c>
      <c r="H37" s="24" t="n">
        <v>20</v>
      </c>
      <c r="I37" s="23" t="b">
        <v>0</v>
      </c>
      <c r="J37" s="6" t="n"/>
    </row>
    <row r="38">
      <c r="A38" s="24" t="n">
        <v>35</v>
      </c>
      <c r="B38" s="24" t="inlineStr">
        <is>
          <t>2020-21</t>
        </is>
      </c>
      <c r="C38" s="24" t="inlineStr">
        <is>
          <t>CSE 307</t>
        </is>
      </c>
      <c r="D38" s="24" t="inlineStr">
        <is>
          <t>4(c)</t>
        </is>
      </c>
      <c r="E38" s="6" t="inlineStr">
        <is>
          <t>Titas gas billing: decision tree buy vs reuse</t>
        </is>
      </c>
      <c r="F38" s="6" t="inlineStr">
        <is>
          <t>Decision tree (make/buy)</t>
        </is>
      </c>
      <c r="G38" s="24" t="n">
        <v>10</v>
      </c>
      <c r="H38" s="24" t="n">
        <v>20</v>
      </c>
      <c r="I38" s="23" t="b">
        <v>0</v>
      </c>
      <c r="J38" s="6" t="n"/>
    </row>
    <row r="39">
      <c r="A39" s="24" t="n">
        <v>36</v>
      </c>
      <c r="B39" s="24" t="inlineStr">
        <is>
          <t>2020-21</t>
        </is>
      </c>
      <c r="C39" s="24" t="inlineStr">
        <is>
          <t>CSE 307</t>
        </is>
      </c>
      <c r="D39" s="24" t="inlineStr">
        <is>
          <t>5(c)</t>
        </is>
      </c>
      <c r="E39" s="6" t="inlineStr">
        <is>
          <t>Non-repudiation with example</t>
        </is>
      </c>
      <c r="F39" s="6" t="inlineStr">
        <is>
          <t>Security</t>
        </is>
      </c>
      <c r="G39" s="24" t="n">
        <v>7</v>
      </c>
      <c r="H39" s="24" t="n">
        <v>21</v>
      </c>
      <c r="I39" s="23" t="b">
        <v>0</v>
      </c>
      <c r="J39" s="6" t="n"/>
    </row>
    <row r="40">
      <c r="A40" s="24" t="n">
        <v>37</v>
      </c>
      <c r="B40" s="24" t="inlineStr">
        <is>
          <t>2020-21</t>
        </is>
      </c>
      <c r="C40" s="24" t="inlineStr">
        <is>
          <t>CSE 307</t>
        </is>
      </c>
      <c r="D40" s="24" t="inlineStr">
        <is>
          <t>6(a)</t>
        </is>
      </c>
      <c r="E40" s="6" t="inlineStr">
        <is>
          <t>Microservice architecture for Amazon / Rokomari</t>
        </is>
      </c>
      <c r="F40" s="6" t="inlineStr">
        <is>
          <t>Architecture</t>
        </is>
      </c>
      <c r="G40" s="24" t="n">
        <v>12</v>
      </c>
      <c r="H40" s="24" t="n">
        <v>21</v>
      </c>
      <c r="I40" s="23" t="b">
        <v>0</v>
      </c>
      <c r="J40" s="6" t="n"/>
    </row>
    <row r="41">
      <c r="A41" s="24" t="n">
        <v>38</v>
      </c>
      <c r="B41" s="24" t="inlineStr">
        <is>
          <t>2020-21</t>
        </is>
      </c>
      <c r="C41" s="24" t="inlineStr">
        <is>
          <t>CSE 307</t>
        </is>
      </c>
      <c r="D41" s="24" t="inlineStr">
        <is>
          <t>7(b)</t>
        </is>
      </c>
      <c r="E41" s="6" t="inlineStr">
        <is>
          <t>Write-through/read-through vs write-around</t>
        </is>
      </c>
      <c r="F41" s="6" t="inlineStr">
        <is>
          <t>Caching / architecture</t>
        </is>
      </c>
      <c r="G41" s="24" t="n">
        <v>16</v>
      </c>
      <c r="H41" s="24" t="n">
        <v>21</v>
      </c>
      <c r="I41" s="23" t="b">
        <v>0</v>
      </c>
      <c r="J41" s="6" t="n"/>
    </row>
    <row r="42">
      <c r="A42" s="24" t="n">
        <v>39</v>
      </c>
      <c r="B42" s="24" t="inlineStr">
        <is>
          <t>2020-21</t>
        </is>
      </c>
      <c r="C42" s="24" t="inlineStr">
        <is>
          <t>CSE 307</t>
        </is>
      </c>
      <c r="D42" s="24" t="inlineStr">
        <is>
          <t>7(c)</t>
        </is>
      </c>
      <c r="E42" s="6" t="inlineStr">
        <is>
          <t>Three scenarios for data-centred architecture</t>
        </is>
      </c>
      <c r="F42" s="6" t="inlineStr">
        <is>
          <t>Architecture</t>
        </is>
      </c>
      <c r="G42" s="24" t="n">
        <v>9</v>
      </c>
      <c r="H42" s="24" t="n">
        <v>21</v>
      </c>
      <c r="I42" s="23" t="b">
        <v>0</v>
      </c>
      <c r="J42" s="6" t="n"/>
    </row>
    <row r="43">
      <c r="A43" s="24" t="n">
        <v>40</v>
      </c>
      <c r="B43" s="24" t="inlineStr">
        <is>
          <t>2020-21</t>
        </is>
      </c>
      <c r="C43" s="24" t="inlineStr">
        <is>
          <t>CSE 307</t>
        </is>
      </c>
      <c r="D43" s="24" t="inlineStr">
        <is>
          <t>8(a)</t>
        </is>
      </c>
      <c r="E43" s="6" t="inlineStr">
        <is>
          <t>Message-queue benefits; confidentiality practices</t>
        </is>
      </c>
      <c r="F43" s="6" t="inlineStr">
        <is>
          <t>Architecture / security</t>
        </is>
      </c>
      <c r="G43" s="24" t="n">
        <v>15</v>
      </c>
      <c r="H43" s="24" t="n">
        <v>21</v>
      </c>
      <c r="I43" s="23" t="b">
        <v>0</v>
      </c>
      <c r="J43" s="6" t="n"/>
    </row>
    <row r="44">
      <c r="A44" s="24" t="n">
        <v>41</v>
      </c>
      <c r="B44" s="24" t="inlineStr">
        <is>
          <t>2020-21</t>
        </is>
      </c>
      <c r="C44" s="24" t="inlineStr">
        <is>
          <t>CSE 307</t>
        </is>
      </c>
      <c r="D44" s="24" t="inlineStr">
        <is>
          <t>8(b)</t>
        </is>
      </c>
      <c r="E44" s="6" t="inlineStr">
        <is>
          <t>CI and containerisation in DevOps</t>
        </is>
      </c>
      <c r="F44" s="6" t="inlineStr">
        <is>
          <t>DevOps</t>
        </is>
      </c>
      <c r="G44" s="24" t="n">
        <v>12</v>
      </c>
      <c r="H44" s="24" t="n">
        <v>21</v>
      </c>
      <c r="I44" s="23" t="b">
        <v>0</v>
      </c>
      <c r="J44" s="6" t="n"/>
    </row>
    <row r="45">
      <c r="A45" s="24" t="n">
        <v>42</v>
      </c>
      <c r="B45" s="24" t="inlineStr">
        <is>
          <t>2019-20</t>
        </is>
      </c>
      <c r="C45" s="24" t="inlineStr">
        <is>
          <t>CSE 307</t>
        </is>
      </c>
      <c r="D45" s="24" t="inlineStr">
        <is>
          <t>2(b)</t>
        </is>
      </c>
      <c r="E45" s="6" t="inlineStr">
        <is>
          <t>50 KLOC IoT app within a year: effort by dynamic multivariate model</t>
        </is>
      </c>
      <c r="F45" s="6" t="inlineStr">
        <is>
          <t>Cost estimation (software equation)</t>
        </is>
      </c>
      <c r="G45" s="24" t="n">
        <v>15</v>
      </c>
      <c r="H45" s="24" t="n">
        <v>22</v>
      </c>
      <c r="I45" s="23" t="b">
        <v>0</v>
      </c>
      <c r="J45" s="6" t="n"/>
    </row>
    <row r="46">
      <c r="A46" s="24" t="n">
        <v>43</v>
      </c>
      <c r="B46" s="24" t="inlineStr">
        <is>
          <t>2019-20</t>
        </is>
      </c>
      <c r="C46" s="24" t="inlineStr">
        <is>
          <t>CSE 307</t>
        </is>
      </c>
      <c r="D46" s="24" t="inlineStr">
        <is>
          <t>3(a)</t>
        </is>
      </c>
      <c r="E46" s="6" t="inlineStr">
        <is>
          <t>GQM: goal 'code testable', questions, metrics</t>
        </is>
      </c>
      <c r="F46" s="6" t="inlineStr">
        <is>
          <t>Software measurement (GQM)</t>
        </is>
      </c>
      <c r="G46" s="24" t="n">
        <v>20</v>
      </c>
      <c r="H46" s="24" t="n">
        <v>23</v>
      </c>
      <c r="I46" s="23" t="b">
        <v>0</v>
      </c>
      <c r="J46" s="6" t="n"/>
    </row>
    <row r="47">
      <c r="A47" s="24" t="n">
        <v>44</v>
      </c>
      <c r="B47" s="24" t="inlineStr">
        <is>
          <t>2019-20</t>
        </is>
      </c>
      <c r="C47" s="24" t="inlineStr">
        <is>
          <t>CSE 307</t>
        </is>
      </c>
      <c r="D47" s="24" t="inlineStr">
        <is>
          <t>4(a)</t>
        </is>
      </c>
      <c r="E47" s="6" t="inlineStr">
        <is>
          <t>Result processing during the pandemic: 5 risks, exposure, mitigation</t>
        </is>
      </c>
      <c r="F47" s="6" t="inlineStr">
        <is>
          <t>Risk management</t>
        </is>
      </c>
      <c r="G47" s="24" t="n">
        <v>20</v>
      </c>
      <c r="H47" s="24" t="n">
        <v>23</v>
      </c>
      <c r="I47" s="23" t="b">
        <v>0</v>
      </c>
      <c r="J47" s="6" t="n"/>
    </row>
    <row r="48">
      <c r="A48" s="24" t="n">
        <v>45</v>
      </c>
      <c r="B48" s="24" t="inlineStr">
        <is>
          <t>2019-20</t>
        </is>
      </c>
      <c r="C48" s="24" t="inlineStr">
        <is>
          <t>CSE 307</t>
        </is>
      </c>
      <c r="D48" s="24" t="inlineStr">
        <is>
          <t>4(b)</t>
        </is>
      </c>
      <c r="E48" s="6" t="inlineStr">
        <is>
          <t>Activity-on-arrow network nodes 1–9: paths, critical path</t>
        </is>
      </c>
      <c r="F48" s="6" t="inlineStr">
        <is>
          <t>CPM / PERT</t>
        </is>
      </c>
      <c r="G48" s="24" t="n">
        <v>15</v>
      </c>
      <c r="H48" s="24" t="n">
        <v>23</v>
      </c>
      <c r="I48" s="23" t="b">
        <v>0</v>
      </c>
      <c r="J48" s="6" t="n"/>
    </row>
    <row r="49">
      <c r="A49" s="24" t="n">
        <v>46</v>
      </c>
      <c r="B49" s="24" t="inlineStr">
        <is>
          <t>2019-20</t>
        </is>
      </c>
      <c r="C49" s="24" t="inlineStr">
        <is>
          <t>CSE 307</t>
        </is>
      </c>
      <c r="D49" s="24" t="inlineStr">
        <is>
          <t>6(b)</t>
        </is>
      </c>
      <c r="E49" s="6" t="inlineStr">
        <is>
          <t>Steps of CI in DevOps; benefits of containerisation</t>
        </is>
      </c>
      <c r="F49" s="6" t="inlineStr">
        <is>
          <t>DevOps</t>
        </is>
      </c>
      <c r="G49" s="24" t="n">
        <v>15</v>
      </c>
      <c r="H49" s="24" t="n">
        <v>24</v>
      </c>
      <c r="I49" s="23" t="b">
        <v>0</v>
      </c>
      <c r="J49" s="6" t="n"/>
    </row>
    <row r="50">
      <c r="A50" s="24" t="n">
        <v>47</v>
      </c>
      <c r="B50" s="24" t="inlineStr">
        <is>
          <t>2019-20</t>
        </is>
      </c>
      <c r="C50" s="24" t="inlineStr">
        <is>
          <t>CSE 307</t>
        </is>
      </c>
      <c r="D50" s="24" t="inlineStr">
        <is>
          <t>7(b)</t>
        </is>
      </c>
      <c r="E50" s="6" t="inlineStr">
        <is>
          <t>Non-repudiation; integrity practices for a web app</t>
        </is>
      </c>
      <c r="F50" s="6" t="inlineStr">
        <is>
          <t>Security</t>
        </is>
      </c>
      <c r="G50" s="24" t="n">
        <v>15</v>
      </c>
      <c r="H50" s="24" t="n">
        <v>25</v>
      </c>
      <c r="I50" s="23" t="b">
        <v>0</v>
      </c>
      <c r="J50" s="6" t="n"/>
    </row>
    <row r="51">
      <c r="A51" s="24" t="n">
        <v>48</v>
      </c>
      <c r="B51" s="24" t="inlineStr">
        <is>
          <t>2019-20</t>
        </is>
      </c>
      <c r="C51" s="24" t="inlineStr">
        <is>
          <t>CSE 307</t>
        </is>
      </c>
      <c r="D51" s="24" t="inlineStr">
        <is>
          <t>8(a)</t>
        </is>
      </c>
      <c r="E51" s="6" t="inlineStr">
        <is>
          <t>BIIS login through MVC; advantages of microservices</t>
        </is>
      </c>
      <c r="F51" s="6" t="inlineStr">
        <is>
          <t>Architecture</t>
        </is>
      </c>
      <c r="G51" s="24" t="n">
        <v>20</v>
      </c>
      <c r="H51" s="24" t="n">
        <v>25</v>
      </c>
      <c r="I51" s="23" t="b">
        <v>0</v>
      </c>
      <c r="J51" s="6" t="n"/>
    </row>
    <row r="52">
      <c r="A52" s="24" t="n">
        <v>49</v>
      </c>
      <c r="B52" s="24" t="inlineStr">
        <is>
          <t>2018-19</t>
        </is>
      </c>
      <c r="C52" s="24" t="inlineStr">
        <is>
          <t>CSE 307</t>
        </is>
      </c>
      <c r="D52" s="24" t="inlineStr">
        <is>
          <t>5(a)</t>
        </is>
      </c>
      <c r="E52" s="6" t="inlineStr">
        <is>
          <t>Risk exposure formula; Spectrum Electronics faulty ICs</t>
        </is>
      </c>
      <c r="F52" s="6" t="inlineStr">
        <is>
          <t>Risk management (numerical)</t>
        </is>
      </c>
      <c r="G52" s="24" t="n">
        <v>12</v>
      </c>
      <c r="H52" s="24" t="n">
        <v>27</v>
      </c>
      <c r="I52" s="23" t="b">
        <v>0</v>
      </c>
      <c r="J52" s="6" t="n"/>
    </row>
    <row r="53">
      <c r="A53" s="24" t="n">
        <v>50</v>
      </c>
      <c r="B53" s="24" t="inlineStr">
        <is>
          <t>2018-19</t>
        </is>
      </c>
      <c r="C53" s="24" t="inlineStr">
        <is>
          <t>CSE 307</t>
        </is>
      </c>
      <c r="D53" s="24" t="inlineStr">
        <is>
          <t>6(a)</t>
        </is>
      </c>
      <c r="E53" s="6" t="inlineStr">
        <is>
          <t>Four P's of project management</t>
        </is>
      </c>
      <c r="F53" s="6" t="inlineStr">
        <is>
          <t>Project management (4 P's)</t>
        </is>
      </c>
      <c r="G53" s="24" t="n">
        <v>4</v>
      </c>
      <c r="H53" s="24" t="n">
        <v>28</v>
      </c>
      <c r="I53" s="23" t="b">
        <v>0</v>
      </c>
      <c r="J53" s="6" t="n"/>
    </row>
    <row r="54">
      <c r="A54" s="24" t="n">
        <v>51</v>
      </c>
      <c r="B54" s="24" t="inlineStr">
        <is>
          <t>2018-19</t>
        </is>
      </c>
      <c r="C54" s="24" t="inlineStr">
        <is>
          <t>CSE 307</t>
        </is>
      </c>
      <c r="D54" s="24" t="inlineStr">
        <is>
          <t>6(b)</t>
        </is>
      </c>
      <c r="E54" s="6" t="inlineStr">
        <is>
          <t>Decision tree: expected cost per path</t>
        </is>
      </c>
      <c r="F54" s="6" t="inlineStr">
        <is>
          <t>Decision tree (make/buy)</t>
        </is>
      </c>
      <c r="G54" s="24" t="n">
        <v>20</v>
      </c>
      <c r="H54" s="24" t="n">
        <v>28</v>
      </c>
      <c r="I54" s="23" t="b">
        <v>0</v>
      </c>
      <c r="J54" s="6" t="n"/>
    </row>
    <row r="55">
      <c r="A55" s="24" t="n">
        <v>52</v>
      </c>
      <c r="B55" s="24" t="inlineStr">
        <is>
          <t>2018-19</t>
        </is>
      </c>
      <c r="C55" s="24" t="inlineStr">
        <is>
          <t>CSE 307</t>
        </is>
      </c>
      <c r="D55" s="24" t="inlineStr">
        <is>
          <t>6(c)</t>
        </is>
      </c>
      <c r="E55" s="6" t="inlineStr">
        <is>
          <t>71 KLOC: effort by software equation</t>
        </is>
      </c>
      <c r="F55" s="6" t="inlineStr">
        <is>
          <t>Cost estimation (software equation)</t>
        </is>
      </c>
      <c r="G55" s="24" t="n">
        <v>11</v>
      </c>
      <c r="H55" s="24" t="n">
        <v>28</v>
      </c>
      <c r="I55" s="23" t="b">
        <v>0</v>
      </c>
      <c r="J55" s="6" t="n"/>
    </row>
    <row r="56">
      <c r="A56" s="24" t="n">
        <v>53</v>
      </c>
      <c r="B56" s="24" t="inlineStr">
        <is>
          <t>2018-19</t>
        </is>
      </c>
      <c r="C56" s="24" t="inlineStr">
        <is>
          <t>CSE 307</t>
        </is>
      </c>
      <c r="D56" s="24" t="inlineStr">
        <is>
          <t>7(b)</t>
        </is>
      </c>
      <c r="E56" s="6" t="inlineStr">
        <is>
          <t>Scope creep; DRE 300 / 50</t>
        </is>
      </c>
      <c r="F56" s="6" t="inlineStr">
        <is>
          <t>Quality metrics (DRE)</t>
        </is>
      </c>
      <c r="G56" s="24" t="n">
        <v>7</v>
      </c>
      <c r="H56" s="24" t="n">
        <v>28</v>
      </c>
      <c r="I56" s="23" t="b">
        <v>0</v>
      </c>
      <c r="J56" s="6" t="n"/>
    </row>
    <row r="57">
      <c r="A57" s="24" t="n">
        <v>54</v>
      </c>
      <c r="B57" s="24" t="inlineStr">
        <is>
          <t>2018-19</t>
        </is>
      </c>
      <c r="C57" s="24" t="inlineStr">
        <is>
          <t>CSE 307</t>
        </is>
      </c>
      <c r="D57" s="24" t="inlineStr">
        <is>
          <t>7(c)</t>
        </is>
      </c>
      <c r="E57" s="6" t="inlineStr">
        <is>
          <t>EVM $200,000 buy/setup/test/maintain: SPI, CPI, BAC, EAC, SV, CV</t>
        </is>
      </c>
      <c r="F57" s="6" t="inlineStr">
        <is>
          <t>Earned value analysis</t>
        </is>
      </c>
      <c r="G57" s="24" t="n">
        <v>12</v>
      </c>
      <c r="H57" s="24" t="inlineStr">
        <is>
          <t>28–29</t>
        </is>
      </c>
      <c r="I57" s="23" t="b">
        <v>0</v>
      </c>
      <c r="J57" s="6" t="n"/>
    </row>
    <row r="58">
      <c r="A58" s="24" t="n">
        <v>55</v>
      </c>
      <c r="B58" s="24" t="inlineStr">
        <is>
          <t>2018-19</t>
        </is>
      </c>
      <c r="C58" s="24" t="inlineStr">
        <is>
          <t>CSE 307</t>
        </is>
      </c>
      <c r="D58" s="24" t="inlineStr">
        <is>
          <t>8(c)</t>
        </is>
      </c>
      <c r="E58" s="6" t="inlineStr">
        <is>
          <t>Network diagram, ES/LS, critical path (A–J)</t>
        </is>
      </c>
      <c r="F58" s="6" t="inlineStr">
        <is>
          <t>CPM / PERT</t>
        </is>
      </c>
      <c r="G58" s="24" t="n">
        <v>18</v>
      </c>
      <c r="H58" s="24" t="n">
        <v>29</v>
      </c>
      <c r="I58" s="23" t="b">
        <v>0</v>
      </c>
      <c r="J58" s="6" t="n"/>
    </row>
    <row r="59">
      <c r="A59" s="24" t="n">
        <v>56</v>
      </c>
      <c r="B59" s="24" t="inlineStr">
        <is>
          <t>2017-18</t>
        </is>
      </c>
      <c r="C59" s="24" t="inlineStr">
        <is>
          <t>CSE 307</t>
        </is>
      </c>
      <c r="D59" s="24" t="inlineStr">
        <is>
          <t>1(a)</t>
        </is>
      </c>
      <c r="E59" s="6" t="inlineStr">
        <is>
          <t>ERP: SAP vs in-house vs outsourcing — optimal decision</t>
        </is>
      </c>
      <c r="F59" s="6" t="inlineStr">
        <is>
          <t>Decision tree (make/buy)</t>
        </is>
      </c>
      <c r="G59" s="24" t="n">
        <v>10</v>
      </c>
      <c r="H59" s="24" t="n">
        <v>30</v>
      </c>
      <c r="I59" s="23" t="b">
        <v>0</v>
      </c>
      <c r="J59" s="6" t="n"/>
    </row>
    <row r="60">
      <c r="A60" s="24" t="n">
        <v>57</v>
      </c>
      <c r="B60" s="24" t="inlineStr">
        <is>
          <t>2017-18</t>
        </is>
      </c>
      <c r="C60" s="24" t="inlineStr">
        <is>
          <t>CSE 307</t>
        </is>
      </c>
      <c r="D60" s="24" t="inlineStr">
        <is>
          <t>1(b)</t>
        </is>
      </c>
      <c r="E60" s="6" t="inlineStr">
        <is>
          <t>Pricing decisions in four situations</t>
        </is>
      </c>
      <c r="F60" s="6" t="inlineStr">
        <is>
          <t>Software pricing</t>
        </is>
      </c>
      <c r="G60" s="24" t="n">
        <v>8</v>
      </c>
      <c r="H60" s="24" t="inlineStr">
        <is>
          <t>30–31</t>
        </is>
      </c>
      <c r="I60" s="23" t="b">
        <v>0</v>
      </c>
      <c r="J60" s="6" t="n"/>
    </row>
    <row r="61">
      <c r="A61" s="24" t="n">
        <v>58</v>
      </c>
      <c r="B61" s="24" t="inlineStr">
        <is>
          <t>2017-18</t>
        </is>
      </c>
      <c r="C61" s="24" t="inlineStr">
        <is>
          <t>CSE 307</t>
        </is>
      </c>
      <c r="D61" s="24" t="inlineStr">
        <is>
          <t>1(c)</t>
        </is>
      </c>
      <c r="E61" s="6" t="inlineStr">
        <is>
          <t>Algorithmic cost model; accuracy factors</t>
        </is>
      </c>
      <c r="F61" s="6" t="inlineStr">
        <is>
          <t>Cost estimation</t>
        </is>
      </c>
      <c r="G61" s="24" t="n">
        <v>5</v>
      </c>
      <c r="H61" s="24" t="n">
        <v>31</v>
      </c>
      <c r="I61" s="23" t="b">
        <v>0</v>
      </c>
      <c r="J61" s="6" t="n"/>
    </row>
    <row r="62">
      <c r="A62" s="24" t="n">
        <v>59</v>
      </c>
      <c r="B62" s="24" t="inlineStr">
        <is>
          <t>2017-18</t>
        </is>
      </c>
      <c r="C62" s="24" t="inlineStr">
        <is>
          <t>CSE 307</t>
        </is>
      </c>
      <c r="D62" s="24" t="inlineStr">
        <is>
          <t>1(d)</t>
        </is>
      </c>
      <c r="E62" s="6" t="inlineStr">
        <is>
          <t>230 KLOC COCOMO 2: effort, time, team</t>
        </is>
      </c>
      <c r="F62" s="6" t="inlineStr">
        <is>
          <t>Cost estimation</t>
        </is>
      </c>
      <c r="G62" s="24" t="n">
        <v>12</v>
      </c>
      <c r="H62" s="24" t="n">
        <v>31</v>
      </c>
      <c r="I62" s="23" t="b">
        <v>0</v>
      </c>
      <c r="J62" s="6" t="n"/>
    </row>
    <row r="63">
      <c r="A63" s="24" t="n">
        <v>60</v>
      </c>
      <c r="B63" s="24" t="inlineStr">
        <is>
          <t>2017-18</t>
        </is>
      </c>
      <c r="C63" s="24" t="inlineStr">
        <is>
          <t>CSE 307</t>
        </is>
      </c>
      <c r="D63" s="24" t="inlineStr">
        <is>
          <t>3(a)–(e)</t>
        </is>
      </c>
      <c r="E63" s="6" t="inlineStr">
        <is>
          <t>SCM: configuration, baseline/codeline/mainline, change request form, merging, checksum</t>
        </is>
      </c>
      <c r="F63" s="6" t="inlineStr">
        <is>
          <t>Configuration management</t>
        </is>
      </c>
      <c r="G63" s="24" t="n">
        <v>35</v>
      </c>
      <c r="H63" s="24" t="n">
        <v>31</v>
      </c>
      <c r="I63" s="23" t="b">
        <v>0</v>
      </c>
      <c r="J63" s="6" t="n"/>
    </row>
    <row r="64">
      <c r="A64" s="24" t="n">
        <v>61</v>
      </c>
      <c r="B64" s="24" t="inlineStr">
        <is>
          <t>2017-18</t>
        </is>
      </c>
      <c r="C64" s="24" t="inlineStr">
        <is>
          <t>CSE 307</t>
        </is>
      </c>
      <c r="D64" s="24" t="inlineStr">
        <is>
          <t>4(a)–(d)</t>
        </is>
      </c>
      <c r="E64" s="6" t="inlineStr">
        <is>
          <t>Architecture of a hall-management system; layered/client-server library; offshore health risks; reliability vs safety</t>
        </is>
      </c>
      <c r="F64" s="6" t="inlineStr">
        <is>
          <t>Architecture / dependability</t>
        </is>
      </c>
      <c r="G64" s="24" t="n">
        <v>35</v>
      </c>
      <c r="H64" s="24" t="n">
        <v>32</v>
      </c>
      <c r="I64" s="23" t="b">
        <v>0</v>
      </c>
      <c r="J64" s="6" t="n"/>
    </row>
    <row r="65">
      <c r="A65" s="24" t="n">
        <v>62</v>
      </c>
      <c r="B65" s="24" t="inlineStr">
        <is>
          <t>2016-17</t>
        </is>
      </c>
      <c r="C65" s="24" t="inlineStr">
        <is>
          <t>CSE 307</t>
        </is>
      </c>
      <c r="D65" s="24" t="inlineStr">
        <is>
          <t>1(d)</t>
        </is>
      </c>
      <c r="E65" s="6" t="inlineStr">
        <is>
          <t>Ishikawa diagram</t>
        </is>
      </c>
      <c r="F65" s="6" t="inlineStr">
        <is>
          <t>Quality tools</t>
        </is>
      </c>
      <c r="G65" s="24" t="n">
        <v>7.67</v>
      </c>
      <c r="H65" s="24" t="n">
        <v>35</v>
      </c>
      <c r="I65" s="23" t="b">
        <v>0</v>
      </c>
      <c r="J65" s="6" t="n"/>
    </row>
    <row r="66">
      <c r="A66" s="24" t="n">
        <v>63</v>
      </c>
      <c r="B66" s="24" t="inlineStr">
        <is>
          <t>2016-17</t>
        </is>
      </c>
      <c r="C66" s="24" t="inlineStr">
        <is>
          <t>CSE 307</t>
        </is>
      </c>
      <c r="D66" s="24" t="inlineStr">
        <is>
          <t>3(a)</t>
        </is>
      </c>
      <c r="E66" s="6" t="inlineStr">
        <is>
          <t>Buffer overflow and SQL injection</t>
        </is>
      </c>
      <c r="F66" s="6" t="inlineStr">
        <is>
          <t>Security</t>
        </is>
      </c>
      <c r="G66" s="24" t="n">
        <v>15</v>
      </c>
      <c r="H66" s="24" t="n">
        <v>36</v>
      </c>
      <c r="I66" s="23" t="b">
        <v>0</v>
      </c>
      <c r="J66" s="6" t="n"/>
    </row>
    <row r="67">
      <c r="A67" s="24" t="n">
        <v>64</v>
      </c>
      <c r="B67" s="24" t="inlineStr">
        <is>
          <t>2016-17</t>
        </is>
      </c>
      <c r="C67" s="24" t="inlineStr">
        <is>
          <t>CSE 307</t>
        </is>
      </c>
      <c r="D67" s="24" t="inlineStr">
        <is>
          <t>3(c)</t>
        </is>
      </c>
      <c r="E67" s="6" t="inlineStr">
        <is>
          <t>Rewrite incx/decx program following MVC</t>
        </is>
      </c>
      <c r="F67" s="6" t="inlineStr">
        <is>
          <t>Architecture (MVC)</t>
        </is>
      </c>
      <c r="G67" s="24" t="n">
        <v>16.67</v>
      </c>
      <c r="H67" s="24" t="n">
        <v>36</v>
      </c>
      <c r="I67" s="23" t="b">
        <v>0</v>
      </c>
      <c r="J67" s="6" t="n"/>
    </row>
    <row r="68">
      <c r="A68" s="24" t="n">
        <v>65</v>
      </c>
      <c r="B68" s="24" t="inlineStr">
        <is>
          <t>2016-17</t>
        </is>
      </c>
      <c r="C68" s="24" t="inlineStr">
        <is>
          <t>CSE 307</t>
        </is>
      </c>
      <c r="D68" s="24" t="inlineStr">
        <is>
          <t>6(c)</t>
        </is>
      </c>
      <c r="E68" s="6" t="inlineStr">
        <is>
          <t>Decision tree System X</t>
        </is>
      </c>
      <c r="F68" s="6" t="inlineStr">
        <is>
          <t>Decision tree (make/buy)</t>
        </is>
      </c>
      <c r="G68" s="24" t="n">
        <v>10</v>
      </c>
      <c r="H68" s="24" t="n">
        <v>38</v>
      </c>
      <c r="I68" s="23" t="b">
        <v>0</v>
      </c>
      <c r="J68" s="6" t="n"/>
    </row>
    <row r="69">
      <c r="A69" s="24" t="n">
        <v>66</v>
      </c>
      <c r="B69" s="24" t="inlineStr">
        <is>
          <t>2016-17</t>
        </is>
      </c>
      <c r="C69" s="24" t="inlineStr">
        <is>
          <t>CSE 307</t>
        </is>
      </c>
      <c r="D69" s="24" t="inlineStr">
        <is>
          <t>6(d)</t>
        </is>
      </c>
      <c r="E69" s="6" t="inlineStr">
        <is>
          <t>Pareto principle</t>
        </is>
      </c>
      <c r="F69" s="6" t="inlineStr">
        <is>
          <t>Quality tools</t>
        </is>
      </c>
      <c r="G69" s="24" t="n">
        <v>6.67</v>
      </c>
      <c r="H69" s="24" t="n">
        <v>38</v>
      </c>
      <c r="I69" s="23" t="b">
        <v>0</v>
      </c>
      <c r="J69" s="6" t="n"/>
    </row>
    <row r="70">
      <c r="A70" s="24" t="n">
        <v>67</v>
      </c>
      <c r="B70" s="24" t="inlineStr">
        <is>
          <t>2016-17</t>
        </is>
      </c>
      <c r="C70" s="24" t="inlineStr">
        <is>
          <t>CSE 307</t>
        </is>
      </c>
      <c r="D70" s="24" t="inlineStr">
        <is>
          <t>7(b)</t>
        </is>
      </c>
      <c r="E70" s="6" t="inlineStr">
        <is>
          <t>PERT chart A–K, critical path</t>
        </is>
      </c>
      <c r="F70" s="6" t="inlineStr">
        <is>
          <t>CPM / PERT</t>
        </is>
      </c>
      <c r="G70" s="24" t="n">
        <v>15</v>
      </c>
      <c r="H70" s="24" t="n">
        <v>39</v>
      </c>
      <c r="I70" s="23" t="b">
        <v>0</v>
      </c>
      <c r="J70" s="6" t="n"/>
    </row>
    <row r="71">
      <c r="A71" s="24" t="n">
        <v>68</v>
      </c>
      <c r="B71" s="24" t="inlineStr">
        <is>
          <t>2016-17</t>
        </is>
      </c>
      <c r="C71" s="24" t="inlineStr">
        <is>
          <t>CSE 307</t>
        </is>
      </c>
      <c r="D71" s="24" t="inlineStr">
        <is>
          <t>7(c)</t>
        </is>
      </c>
      <c r="E71" s="6" t="inlineStr">
        <is>
          <t>Distributed vs centralised VCS</t>
        </is>
      </c>
      <c r="F71" s="6" t="inlineStr">
        <is>
          <t>Version control</t>
        </is>
      </c>
      <c r="G71" s="24" t="n">
        <v>10</v>
      </c>
      <c r="H71" s="24" t="n">
        <v>39</v>
      </c>
      <c r="I71" s="23" t="b">
        <v>0</v>
      </c>
      <c r="J71" s="6" t="n"/>
    </row>
    <row r="72">
      <c r="A72" s="24" t="n">
        <v>69</v>
      </c>
      <c r="B72" s="24" t="inlineStr">
        <is>
          <t>2016-17</t>
        </is>
      </c>
      <c r="C72" s="24" t="inlineStr">
        <is>
          <t>CSE 307</t>
        </is>
      </c>
      <c r="D72" s="24" t="inlineStr">
        <is>
          <t>7(d)</t>
        </is>
      </c>
      <c r="E72" s="6" t="inlineStr">
        <is>
          <t>Team A 342 vs B 184 errors: metrics to compare</t>
        </is>
      </c>
      <c r="F72" s="6" t="inlineStr">
        <is>
          <t>Quality metrics (DRE)</t>
        </is>
      </c>
      <c r="G72" s="24" t="n">
        <v>6.67</v>
      </c>
      <c r="H72" s="24" t="n">
        <v>39</v>
      </c>
      <c r="I72" s="23" t="b">
        <v>0</v>
      </c>
      <c r="J72" s="6" t="n"/>
    </row>
    <row r="73">
      <c r="A73" s="24" t="n">
        <v>70</v>
      </c>
      <c r="B73" s="24" t="inlineStr">
        <is>
          <t>2016-17</t>
        </is>
      </c>
      <c r="C73" s="24" t="inlineStr">
        <is>
          <t>CSE 307</t>
        </is>
      </c>
      <c r="D73" s="24" t="inlineStr">
        <is>
          <t>8(a)</t>
        </is>
      </c>
      <c r="E73" s="6" t="inlineStr">
        <is>
          <t>fork/clone, pull/fetch, branch/checkout, master/HEAD, CVCS/DVCS</t>
        </is>
      </c>
      <c r="F73" s="6" t="inlineStr">
        <is>
          <t>Version control</t>
        </is>
      </c>
      <c r="G73" s="24" t="n">
        <v>15</v>
      </c>
      <c r="H73" s="24" t="n">
        <v>39</v>
      </c>
      <c r="I73" s="23" t="b">
        <v>0</v>
      </c>
      <c r="J73" s="6" t="n"/>
    </row>
    <row r="74">
      <c r="A74" s="24" t="n">
        <v>71</v>
      </c>
      <c r="B74" s="24" t="inlineStr">
        <is>
          <t>2016-17</t>
        </is>
      </c>
      <c r="C74" s="24" t="inlineStr">
        <is>
          <t>CSE 307</t>
        </is>
      </c>
      <c r="D74" s="24" t="inlineStr">
        <is>
          <t>8(b)</t>
        </is>
      </c>
      <c r="E74" s="6" t="inlineStr">
        <is>
          <t>Monolithic vs microservice taxi-hailing app</t>
        </is>
      </c>
      <c r="F74" s="6" t="inlineStr">
        <is>
          <t>Architecture</t>
        </is>
      </c>
      <c r="G74" s="24" t="n">
        <v>15</v>
      </c>
      <c r="H74" s="24" t="n">
        <v>39</v>
      </c>
      <c r="I74" s="23" t="b">
        <v>0</v>
      </c>
      <c r="J74" s="6" t="n"/>
    </row>
    <row r="75">
      <c r="A75" s="24" t="n">
        <v>72</v>
      </c>
      <c r="B75" s="24" t="inlineStr">
        <is>
          <t>2016-17</t>
        </is>
      </c>
      <c r="C75" s="24" t="inlineStr">
        <is>
          <t>CSE 307</t>
        </is>
      </c>
      <c r="D75" s="24" t="inlineStr">
        <is>
          <t>8(c)</t>
        </is>
      </c>
      <c r="E75" s="6" t="inlineStr">
        <is>
          <t>Function-point analysis and cost</t>
        </is>
      </c>
      <c r="F75" s="6" t="inlineStr">
        <is>
          <t>Cost estimation (FP)</t>
        </is>
      </c>
      <c r="G75" s="24" t="n">
        <v>10</v>
      </c>
      <c r="H75" s="24" t="n">
        <v>40</v>
      </c>
      <c r="I75" s="23" t="b">
        <v>0</v>
      </c>
      <c r="J75" s="6" t="n"/>
    </row>
    <row r="76">
      <c r="A76" s="24" t="n">
        <v>73</v>
      </c>
      <c r="B76" s="24" t="inlineStr">
        <is>
          <t>2014-15</t>
        </is>
      </c>
      <c r="C76" s="24" t="inlineStr">
        <is>
          <t>CSE 307</t>
        </is>
      </c>
      <c r="D76" s="24" t="inlineStr">
        <is>
          <t>1(a)</t>
        </is>
      </c>
      <c r="E76" s="6" t="inlineStr">
        <is>
          <t>Quality attributes for product revision; metrics</t>
        </is>
      </c>
      <c r="F76" s="6" t="inlineStr">
        <is>
          <t>Software quality / metrics</t>
        </is>
      </c>
      <c r="G76" s="24" t="n">
        <v>6.67</v>
      </c>
      <c r="H76" s="24" t="n">
        <v>41</v>
      </c>
      <c r="I76" s="23" t="b">
        <v>0</v>
      </c>
      <c r="J76" s="6" t="n"/>
    </row>
    <row r="77">
      <c r="A77" s="24" t="n">
        <v>74</v>
      </c>
      <c r="B77" s="24" t="inlineStr">
        <is>
          <t>2014-15</t>
        </is>
      </c>
      <c r="C77" s="24" t="inlineStr">
        <is>
          <t>CSE 307</t>
        </is>
      </c>
      <c r="D77" s="24" t="inlineStr">
        <is>
          <t>1(b)</t>
        </is>
      </c>
      <c r="E77" s="6" t="inlineStr">
        <is>
          <t>Three metrics for 'reduce coding errors' (GQM)</t>
        </is>
      </c>
      <c r="F77" s="6" t="inlineStr">
        <is>
          <t>Software measurement (GQM)</t>
        </is>
      </c>
      <c r="G77" s="24" t="n">
        <v>8</v>
      </c>
      <c r="H77" s="24" t="n">
        <v>41</v>
      </c>
      <c r="I77" s="23" t="b">
        <v>0</v>
      </c>
      <c r="J77" s="6" t="n"/>
    </row>
    <row r="78">
      <c r="A78" s="24" t="n">
        <v>75</v>
      </c>
      <c r="B78" s="24" t="inlineStr">
        <is>
          <t>2014-15</t>
        </is>
      </c>
      <c r="C78" s="24" t="inlineStr">
        <is>
          <t>CSE 307</t>
        </is>
      </c>
      <c r="D78" s="24" t="inlineStr">
        <is>
          <t>1(c)</t>
        </is>
      </c>
      <c r="E78" s="6" t="inlineStr">
        <is>
          <t>Token, glue token, super-glue token (cohesion/coupling metrics)</t>
        </is>
      </c>
      <c r="F78" s="6" t="inlineStr">
        <is>
          <t>Cohesion metrics</t>
        </is>
      </c>
      <c r="G78" s="24" t="n">
        <v>7</v>
      </c>
      <c r="H78" s="24" t="n">
        <v>41</v>
      </c>
      <c r="I78" s="23" t="b">
        <v>0</v>
      </c>
      <c r="J78" s="6" t="n"/>
    </row>
    <row r="79">
      <c r="A79" s="24" t="n">
        <v>76</v>
      </c>
      <c r="B79" s="24" t="inlineStr">
        <is>
          <t>2014-15</t>
        </is>
      </c>
      <c r="C79" s="24" t="inlineStr">
        <is>
          <t>CSE 307</t>
        </is>
      </c>
      <c r="D79" s="24" t="inlineStr">
        <is>
          <t>1(e)</t>
        </is>
      </c>
      <c r="E79" s="6" t="inlineStr">
        <is>
          <t>Error amplification over 7 phases with DRE</t>
        </is>
      </c>
      <c r="F79" s="6" t="inlineStr">
        <is>
          <t>Quality metrics (DRE)</t>
        </is>
      </c>
      <c r="G79" s="24" t="n">
        <v>15</v>
      </c>
      <c r="H79" s="24" t="n">
        <v>41</v>
      </c>
      <c r="I79" s="23" t="b">
        <v>0</v>
      </c>
      <c r="J79" s="6" t="n"/>
    </row>
    <row r="80">
      <c r="A80" s="24" t="n">
        <v>77</v>
      </c>
      <c r="B80" s="24" t="inlineStr">
        <is>
          <t>2014-15</t>
        </is>
      </c>
      <c r="C80" s="24" t="inlineStr">
        <is>
          <t>CSE 307</t>
        </is>
      </c>
      <c r="D80" s="24" t="inlineStr">
        <is>
          <t>3(a)–(e)</t>
        </is>
      </c>
      <c r="E80" s="6" t="inlineStr">
        <is>
          <t>FP 3-point budget; estimation guidelines; failure reasons; project risk; banking risk table</t>
        </is>
      </c>
      <c r="F80" s="6" t="inlineStr">
        <is>
          <t>Estimation / risk</t>
        </is>
      </c>
      <c r="G80" s="24" t="n">
        <v>46.67</v>
      </c>
      <c r="H80" s="24" t="inlineStr">
        <is>
          <t>41–42</t>
        </is>
      </c>
      <c r="I80" s="23" t="b">
        <v>0</v>
      </c>
      <c r="J80" s="6" t="n"/>
    </row>
    <row r="81">
      <c r="A81" s="24" t="n">
        <v>78</v>
      </c>
      <c r="B81" s="24" t="inlineStr">
        <is>
          <t>2014-15</t>
        </is>
      </c>
      <c r="C81" s="24" t="inlineStr">
        <is>
          <t>CSE 307</t>
        </is>
      </c>
      <c r="D81" s="24" t="inlineStr">
        <is>
          <t>4(e)</t>
        </is>
      </c>
      <c r="E81" s="6" t="inlineStr">
        <is>
          <t>Microwave-oven controller architecture</t>
        </is>
      </c>
      <c r="F81" s="6" t="inlineStr">
        <is>
          <t>Architecture</t>
        </is>
      </c>
      <c r="G81" s="24" t="n">
        <v>10</v>
      </c>
      <c r="H81" s="24" t="n">
        <v>42</v>
      </c>
      <c r="I81" s="23" t="b">
        <v>0</v>
      </c>
      <c r="J81" s="6" t="n"/>
    </row>
    <row r="82">
      <c r="A82" s="24" t="n">
        <v>79</v>
      </c>
      <c r="B82" s="24" t="inlineStr">
        <is>
          <t>2013-14</t>
        </is>
      </c>
      <c r="C82" s="24" t="inlineStr">
        <is>
          <t>CSE 307</t>
        </is>
      </c>
      <c r="D82" s="24" t="inlineStr">
        <is>
          <t>2(a)–(f)</t>
        </is>
      </c>
      <c r="E82" s="6" t="inlineStr">
        <is>
          <t>Team selection factors; empirical estimation; mobile-banking decision tree; reactive risk; risk factors; risk table</t>
        </is>
      </c>
      <c r="F82" s="6" t="inlineStr">
        <is>
          <t>Estimation / risk</t>
        </is>
      </c>
      <c r="G82" s="24" t="n">
        <v>46.67</v>
      </c>
      <c r="H82" s="24" t="inlineStr">
        <is>
          <t>45–46</t>
        </is>
      </c>
      <c r="I82" s="23" t="b">
        <v>0</v>
      </c>
      <c r="J82" s="6" t="n"/>
    </row>
    <row r="83">
      <c r="A83" s="24" t="n">
        <v>80</v>
      </c>
      <c r="B83" s="24" t="inlineStr">
        <is>
          <t>2013-14</t>
        </is>
      </c>
      <c r="C83" s="24" t="inlineStr">
        <is>
          <t>CSE 307</t>
        </is>
      </c>
      <c r="D83" s="24" t="inlineStr">
        <is>
          <t>4(b)</t>
        </is>
      </c>
      <c r="E83" s="6" t="inlineStr">
        <is>
          <t>Architectures for four systems</t>
        </is>
      </c>
      <c r="F83" s="6" t="inlineStr">
        <is>
          <t>Architecture</t>
        </is>
      </c>
      <c r="G83" s="24" t="n">
        <v>12</v>
      </c>
      <c r="H83" s="24" t="n">
        <v>46</v>
      </c>
      <c r="I83" s="23" t="b">
        <v>0</v>
      </c>
      <c r="J83" s="6" t="n"/>
    </row>
    <row r="84">
      <c r="A84" s="24" t="n">
        <v>81</v>
      </c>
      <c r="B84" s="24" t="inlineStr">
        <is>
          <t>2013-14</t>
        </is>
      </c>
      <c r="C84" s="24" t="inlineStr">
        <is>
          <t>CSE 307</t>
        </is>
      </c>
      <c r="D84" s="24" t="inlineStr">
        <is>
          <t>6(b)</t>
        </is>
      </c>
      <c r="E84" s="6" t="inlineStr">
        <is>
          <t>Computing layers of application architecture</t>
        </is>
      </c>
      <c r="F84" s="6" t="inlineStr">
        <is>
          <t>Architecture</t>
        </is>
      </c>
      <c r="G84" s="24" t="n">
        <v>10</v>
      </c>
      <c r="H84" s="24" t="n">
        <v>47</v>
      </c>
      <c r="I84" s="23" t="b">
        <v>0</v>
      </c>
      <c r="J84" s="6" t="n"/>
    </row>
    <row r="85">
      <c r="A85" s="24" t="n">
        <v>82</v>
      </c>
      <c r="B85" s="24" t="inlineStr">
        <is>
          <t>2013-14</t>
        </is>
      </c>
      <c r="C85" s="24" t="inlineStr">
        <is>
          <t>CSE 307</t>
        </is>
      </c>
      <c r="D85" s="24" t="inlineStr">
        <is>
          <t>7(c)</t>
        </is>
      </c>
      <c r="E85" s="6" t="inlineStr">
        <is>
          <t>Distributed vs centralised architecture</t>
        </is>
      </c>
      <c r="F85" s="6" t="inlineStr">
        <is>
          <t>Architecture</t>
        </is>
      </c>
      <c r="G85" s="24" t="n">
        <v>10</v>
      </c>
      <c r="H85" s="24" t="n">
        <v>48</v>
      </c>
      <c r="I85" s="23" t="b">
        <v>0</v>
      </c>
      <c r="J85" s="6" t="n"/>
    </row>
    <row r="86">
      <c r="A86" s="24" t="n">
        <v>83</v>
      </c>
      <c r="B86" s="24" t="inlineStr">
        <is>
          <t>2012-13</t>
        </is>
      </c>
      <c r="C86" s="24" t="inlineStr">
        <is>
          <t>CSE 307</t>
        </is>
      </c>
      <c r="D86" s="24" t="inlineStr">
        <is>
          <t>1(a)</t>
        </is>
      </c>
      <c r="E86" s="6" t="inlineStr">
        <is>
          <t>Generic vs bespoke products</t>
        </is>
      </c>
      <c r="F86" s="6" t="inlineStr">
        <is>
          <t>SE basics</t>
        </is>
      </c>
      <c r="G86" s="24" t="n">
        <v>5.67</v>
      </c>
      <c r="H86" s="24" t="n">
        <v>50</v>
      </c>
      <c r="I86" s="23" t="b">
        <v>0</v>
      </c>
      <c r="J86" s="6" t="n"/>
    </row>
    <row r="87">
      <c r="A87" s="24" t="n">
        <v>84</v>
      </c>
      <c r="B87" s="24" t="inlineStr">
        <is>
          <t>2012-13</t>
        </is>
      </c>
      <c r="C87" s="24" t="inlineStr">
        <is>
          <t>CSE 307</t>
        </is>
      </c>
      <c r="D87" s="24" t="inlineStr">
        <is>
          <t>1(e)</t>
        </is>
      </c>
      <c r="E87" s="6" t="inlineStr">
        <is>
          <t>DRE of the elaboration phase (30 / 12)</t>
        </is>
      </c>
      <c r="F87" s="6" t="inlineStr">
        <is>
          <t>Quality metrics (DRE)</t>
        </is>
      </c>
      <c r="G87" s="24" t="n">
        <v>5</v>
      </c>
      <c r="H87" s="24" t="n">
        <v>50</v>
      </c>
      <c r="I87" s="23" t="b">
        <v>0</v>
      </c>
      <c r="J87" s="6" t="n"/>
    </row>
    <row r="88">
      <c r="A88" s="24" t="n">
        <v>85</v>
      </c>
      <c r="B88" s="24" t="inlineStr">
        <is>
          <t>2012-13</t>
        </is>
      </c>
      <c r="C88" s="24" t="inlineStr">
        <is>
          <t>CSE 307</t>
        </is>
      </c>
      <c r="D88" s="24" t="inlineStr">
        <is>
          <t>2(b)</t>
        </is>
      </c>
      <c r="E88" s="6" t="inlineStr">
        <is>
          <t>PERT chart A–K, critical paths</t>
        </is>
      </c>
      <c r="F88" s="6" t="inlineStr">
        <is>
          <t>CPM / PERT</t>
        </is>
      </c>
      <c r="G88" s="24" t="n">
        <v>14</v>
      </c>
      <c r="H88" s="24" t="n">
        <v>50</v>
      </c>
      <c r="I88" s="23" t="b">
        <v>0</v>
      </c>
      <c r="J88" s="6" t="n"/>
    </row>
    <row r="89">
      <c r="A89" s="24" t="n">
        <v>86</v>
      </c>
      <c r="B89" s="24" t="inlineStr">
        <is>
          <t>2012-13</t>
        </is>
      </c>
      <c r="C89" s="24" t="inlineStr">
        <is>
          <t>CSE 307</t>
        </is>
      </c>
      <c r="D89" s="24" t="inlineStr">
        <is>
          <t>2(e)</t>
        </is>
      </c>
      <c r="E89" s="6" t="inlineStr">
        <is>
          <t>Integrity of a web application (threat 25 %, repel 30 %)</t>
        </is>
      </c>
      <c r="F89" s="6" t="inlineStr">
        <is>
          <t>Security metrics</t>
        </is>
      </c>
      <c r="G89" s="24" t="n">
        <v>4</v>
      </c>
      <c r="H89" s="24" t="n">
        <v>50</v>
      </c>
      <c r="I89" s="23" t="b">
        <v>0</v>
      </c>
      <c r="J89" s="6" t="n"/>
    </row>
    <row r="90">
      <c r="A90" s="24" t="n">
        <v>87</v>
      </c>
      <c r="B90" s="24" t="inlineStr">
        <is>
          <t>2012-13</t>
        </is>
      </c>
      <c r="C90" s="24" t="inlineStr">
        <is>
          <t>CSE 307</t>
        </is>
      </c>
      <c r="D90" s="24" t="inlineStr">
        <is>
          <t>3(a)–(d)</t>
        </is>
      </c>
      <c r="E90" s="6" t="inlineStr">
        <is>
          <t>LOC/FP baseline; FP cost and effort; decision tree; library-system risks</t>
        </is>
      </c>
      <c r="F90" s="6" t="inlineStr">
        <is>
          <t>Estimation / risk</t>
        </is>
      </c>
      <c r="G90" s="24" t="n">
        <v>46.67</v>
      </c>
      <c r="H90" s="24" t="inlineStr">
        <is>
          <t>51–52</t>
        </is>
      </c>
      <c r="I90" s="23" t="b">
        <v>0</v>
      </c>
      <c r="J90" s="6" t="n"/>
    </row>
    <row r="91">
      <c r="A91" s="24" t="n">
        <v>88</v>
      </c>
      <c r="B91" s="24" t="inlineStr">
        <is>
          <t>2012-13</t>
        </is>
      </c>
      <c r="C91" s="24" t="inlineStr">
        <is>
          <t>CSE 307</t>
        </is>
      </c>
      <c r="D91" s="24" t="inlineStr">
        <is>
          <t>6(c)</t>
        </is>
      </c>
      <c r="E91" s="6" t="inlineStr">
        <is>
          <t>Drawbacks of two-tier client-server</t>
        </is>
      </c>
      <c r="F91" s="6" t="inlineStr">
        <is>
          <t>Architecture</t>
        </is>
      </c>
      <c r="G91" s="24" t="n">
        <v>10</v>
      </c>
      <c r="H91" s="24" t="n">
        <v>55</v>
      </c>
      <c r="I91" s="23" t="b">
        <v>0</v>
      </c>
      <c r="J91" s="6" t="n"/>
    </row>
    <row r="92">
      <c r="A92" s="24" t="n">
        <v>89</v>
      </c>
      <c r="B92" s="24" t="inlineStr">
        <is>
          <t>2011-12</t>
        </is>
      </c>
      <c r="C92" s="24" t="inlineStr">
        <is>
          <t>CSE 307</t>
        </is>
      </c>
      <c r="D92" s="24" t="inlineStr">
        <is>
          <t>1(c)</t>
        </is>
      </c>
      <c r="E92" s="6" t="inlineStr">
        <is>
          <t>Document standards for quality management</t>
        </is>
      </c>
      <c r="F92" s="6" t="inlineStr">
        <is>
          <t>Quality management</t>
        </is>
      </c>
      <c r="G92" s="24" t="n">
        <v>6</v>
      </c>
      <c r="H92" s="24" t="n">
        <v>57</v>
      </c>
      <c r="I92" s="23" t="b">
        <v>0</v>
      </c>
      <c r="J92" s="6" t="n"/>
    </row>
    <row r="93">
      <c r="A93" s="24" t="n">
        <v>90</v>
      </c>
      <c r="B93" s="24" t="inlineStr">
        <is>
          <t>2011-12</t>
        </is>
      </c>
      <c r="C93" s="24" t="inlineStr">
        <is>
          <t>CSE 307</t>
        </is>
      </c>
      <c r="D93" s="24" t="inlineStr">
        <is>
          <t>1(d)</t>
        </is>
      </c>
      <c r="E93" s="6" t="inlineStr">
        <is>
          <t>Process-based quality</t>
        </is>
      </c>
      <c r="F93" s="6" t="inlineStr">
        <is>
          <t>Quality management</t>
        </is>
      </c>
      <c r="G93" s="24" t="n">
        <v>8</v>
      </c>
      <c r="H93" s="24" t="n">
        <v>57</v>
      </c>
      <c r="I93" s="23" t="b">
        <v>0</v>
      </c>
      <c r="J93" s="6" t="n"/>
    </row>
    <row r="94">
      <c r="A94" s="24" t="n">
        <v>91</v>
      </c>
      <c r="B94" s="24" t="inlineStr">
        <is>
          <t>2011-12</t>
        </is>
      </c>
      <c r="C94" s="24" t="inlineStr">
        <is>
          <t>CSE 307</t>
        </is>
      </c>
      <c r="D94" s="24" t="inlineStr">
        <is>
          <t>2(b)</t>
        </is>
      </c>
      <c r="E94" s="6" t="inlineStr">
        <is>
          <t>Resilient vs non-resilient systems</t>
        </is>
      </c>
      <c r="F94" s="6" t="inlineStr">
        <is>
          <t>Dependability</t>
        </is>
      </c>
      <c r="G94" s="24" t="n">
        <v>6</v>
      </c>
      <c r="H94" s="24" t="n">
        <v>57</v>
      </c>
      <c r="I94" s="23" t="b">
        <v>0</v>
      </c>
      <c r="J94" s="6" t="n"/>
    </row>
    <row r="95">
      <c r="A95" s="24" t="n">
        <v>92</v>
      </c>
      <c r="B95" s="24" t="inlineStr">
        <is>
          <t>2011-12</t>
        </is>
      </c>
      <c r="C95" s="24" t="inlineStr">
        <is>
          <t>CSE 307</t>
        </is>
      </c>
      <c r="D95" s="24" t="inlineStr">
        <is>
          <t>4(b)</t>
        </is>
      </c>
      <c r="E95" s="6" t="inlineStr">
        <is>
          <t>Three-tier / n-tier client/server</t>
        </is>
      </c>
      <c r="F95" s="6" t="inlineStr">
        <is>
          <t>Architecture</t>
        </is>
      </c>
      <c r="G95" s="24" t="n">
        <v>12</v>
      </c>
      <c r="H95" s="24" t="n">
        <v>58</v>
      </c>
      <c r="I95" s="23" t="b">
        <v>0</v>
      </c>
      <c r="J95" s="6" t="n"/>
    </row>
    <row r="96">
      <c r="A96" s="24" t="n">
        <v>93</v>
      </c>
      <c r="B96" s="24" t="inlineStr">
        <is>
          <t>2011-12</t>
        </is>
      </c>
      <c r="C96" s="24" t="inlineStr">
        <is>
          <t>CSE 307</t>
        </is>
      </c>
      <c r="D96" s="24" t="inlineStr">
        <is>
          <t>6(a)</t>
        </is>
      </c>
      <c r="E96" s="6" t="inlineStr">
        <is>
          <t>Banking redevelopment: risks and coping</t>
        </is>
      </c>
      <c r="F96" s="6" t="inlineStr">
        <is>
          <t>Risk management</t>
        </is>
      </c>
      <c r="G96" s="24" t="n">
        <v>16.67</v>
      </c>
      <c r="H96" s="24" t="n">
        <v>59</v>
      </c>
      <c r="I96" s="23" t="b">
        <v>0</v>
      </c>
      <c r="J96" s="6" t="n"/>
    </row>
    <row r="97">
      <c r="A97" s="24" t="n">
        <v>94</v>
      </c>
      <c r="B97" s="24" t="inlineStr">
        <is>
          <t>2011-12</t>
        </is>
      </c>
      <c r="C97" s="24" t="inlineStr">
        <is>
          <t>CSE 307</t>
        </is>
      </c>
      <c r="D97" s="24" t="inlineStr">
        <is>
          <t>6(b)</t>
        </is>
      </c>
      <c r="E97" s="6" t="inlineStr">
        <is>
          <t>Ways to deal with errors (avoidance, detection, tolerance)</t>
        </is>
      </c>
      <c r="F97" s="6" t="inlineStr">
        <is>
          <t>Dependability</t>
        </is>
      </c>
      <c r="G97" s="24" t="n">
        <v>12</v>
      </c>
      <c r="H97" s="24" t="n">
        <v>59</v>
      </c>
      <c r="I97" s="23" t="b">
        <v>0</v>
      </c>
      <c r="J97" s="6" t="n"/>
    </row>
    <row r="98">
      <c r="A98" s="24" t="n">
        <v>95</v>
      </c>
      <c r="B98" s="24" t="inlineStr">
        <is>
          <t>2011-12</t>
        </is>
      </c>
      <c r="C98" s="24" t="inlineStr">
        <is>
          <t>CSE 307</t>
        </is>
      </c>
      <c r="D98" s="24" t="inlineStr">
        <is>
          <t>6(c)</t>
        </is>
      </c>
      <c r="E98" s="6" t="inlineStr">
        <is>
          <t>Bar chart of project schedule T1–T16</t>
        </is>
      </c>
      <c r="F98" s="6" t="inlineStr">
        <is>
          <t>CPM / PERT</t>
        </is>
      </c>
      <c r="G98" s="24" t="n">
        <v>18</v>
      </c>
      <c r="H98" s="24" t="n">
        <v>60</v>
      </c>
      <c r="I98" s="23" t="b">
        <v>0</v>
      </c>
      <c r="J98" s="6" t="n"/>
    </row>
    <row r="99">
      <c r="A99" s="24" t="n">
        <v>96</v>
      </c>
      <c r="B99" s="24" t="inlineStr">
        <is>
          <t>2011-12</t>
        </is>
      </c>
      <c r="C99" s="24" t="inlineStr">
        <is>
          <t>CSE 307</t>
        </is>
      </c>
      <c r="D99" s="24" t="inlineStr">
        <is>
          <t>8(c)</t>
        </is>
      </c>
      <c r="E99" s="6" t="inlineStr">
        <is>
          <t>COCOMO II at stages of the life cycle</t>
        </is>
      </c>
      <c r="F99" s="6" t="inlineStr">
        <is>
          <t>Cost estimation</t>
        </is>
      </c>
      <c r="G99" s="24" t="n">
        <v>15</v>
      </c>
      <c r="H99" s="24" t="n">
        <v>61</v>
      </c>
      <c r="I99" s="23" t="b">
        <v>0</v>
      </c>
      <c r="J99" s="6" t="n"/>
    </row>
    <row r="100">
      <c r="A100" s="24" t="n">
        <v>97</v>
      </c>
      <c r="B100" s="24" t="inlineStr">
        <is>
          <t>2010-11</t>
        </is>
      </c>
      <c r="C100" s="24" t="inlineStr">
        <is>
          <t>CSE 307</t>
        </is>
      </c>
      <c r="D100" s="24" t="inlineStr">
        <is>
          <t>5(a)–(b)</t>
        </is>
      </c>
      <c r="E100" s="6" t="inlineStr">
        <is>
          <t>COCOMO basic &amp; II; Ishikawa diagram</t>
        </is>
      </c>
      <c r="F100" s="6" t="inlineStr">
        <is>
          <t>Cost estimation / quality tools</t>
        </is>
      </c>
      <c r="G100" s="24" t="n">
        <v>46.67</v>
      </c>
      <c r="H100" s="24" t="n">
        <v>68</v>
      </c>
      <c r="I100" s="23" t="b">
        <v>0</v>
      </c>
      <c r="J100" s="6" t="n"/>
    </row>
    <row r="101">
      <c r="A101" s="24" t="n">
        <v>98</v>
      </c>
      <c r="B101" s="24" t="inlineStr">
        <is>
          <t>2010-11</t>
        </is>
      </c>
      <c r="C101" s="24" t="inlineStr">
        <is>
          <t>CSE 307</t>
        </is>
      </c>
      <c r="D101" s="24" t="inlineStr">
        <is>
          <t>6(b)</t>
        </is>
      </c>
      <c r="E101" s="6" t="inlineStr">
        <is>
          <t>Quality-management challenges; hospital software quality criteria</t>
        </is>
      </c>
      <c r="F101" s="6" t="inlineStr">
        <is>
          <t>Quality management</t>
        </is>
      </c>
      <c r="G101" s="24" t="n">
        <v>12</v>
      </c>
      <c r="H101" s="24" t="n">
        <v>69</v>
      </c>
      <c r="I101" s="23" t="b">
        <v>0</v>
      </c>
      <c r="J101" s="6" t="n"/>
    </row>
    <row r="102">
      <c r="A102" s="24" t="n">
        <v>99</v>
      </c>
      <c r="B102" s="24" t="inlineStr">
        <is>
          <t>2010-11</t>
        </is>
      </c>
      <c r="C102" s="24" t="inlineStr">
        <is>
          <t>CSE 307</t>
        </is>
      </c>
      <c r="D102" s="24" t="inlineStr">
        <is>
          <t>6(d)</t>
        </is>
      </c>
      <c r="E102" s="6" t="inlineStr">
        <is>
          <t>Communication practices</t>
        </is>
      </c>
      <c r="F102" s="6" t="inlineStr">
        <is>
          <t>SE practice</t>
        </is>
      </c>
      <c r="G102" s="24" t="n">
        <v>6.67</v>
      </c>
      <c r="H102" s="24" t="n">
        <v>69</v>
      </c>
      <c r="I102" s="23" t="b">
        <v>0</v>
      </c>
      <c r="J102" s="6" t="n"/>
    </row>
    <row r="103">
      <c r="A103" s="24" t="n">
        <v>100</v>
      </c>
      <c r="B103" s="24" t="inlineStr">
        <is>
          <t>2010-11</t>
        </is>
      </c>
      <c r="C103" s="24" t="inlineStr">
        <is>
          <t>CSE 307</t>
        </is>
      </c>
      <c r="D103" s="24" t="inlineStr">
        <is>
          <t>7(c)</t>
        </is>
      </c>
      <c r="E103" s="6" t="inlineStr">
        <is>
          <t>BPL game upgrade: risks and coping</t>
        </is>
      </c>
      <c r="F103" s="6" t="inlineStr">
        <is>
          <t>Risk management</t>
        </is>
      </c>
      <c r="G103" s="24" t="n">
        <v>15</v>
      </c>
      <c r="H103" s="24" t="n">
        <v>69</v>
      </c>
      <c r="I103" s="23" t="b">
        <v>0</v>
      </c>
      <c r="J103" s="6" t="n"/>
    </row>
    <row r="104">
      <c r="A104" s="24" t="n">
        <v>101</v>
      </c>
      <c r="B104" s="24" t="inlineStr">
        <is>
          <t>2010-11</t>
        </is>
      </c>
      <c r="C104" s="24" t="inlineStr">
        <is>
          <t>CSE 307</t>
        </is>
      </c>
      <c r="D104" s="24" t="inlineStr">
        <is>
          <t>8(a)–(d)</t>
        </is>
      </c>
      <c r="E104" s="6" t="inlineStr">
        <is>
          <t>SE vs system engineering; pricing factors; Parkinson / pricing to win; PERT</t>
        </is>
      </c>
      <c r="F104" s="6" t="inlineStr">
        <is>
          <t>Estimation / pricing / PERT</t>
        </is>
      </c>
      <c r="G104" s="24" t="n">
        <v>46.67</v>
      </c>
      <c r="H104" s="24" t="inlineStr">
        <is>
          <t>69–70</t>
        </is>
      </c>
      <c r="I104" s="23" t="b">
        <v>0</v>
      </c>
      <c r="J104" s="6" t="n"/>
    </row>
  </sheetData>
  <autoFilter ref="A3:J104"/>
  <conditionalFormatting sqref="A4:J104">
    <cfRule type="expression" priority="1" dxfId="3">
      <formula>$I4=TRUE</formula>
    </cfRule>
  </conditionalFormatting>
  <dataValidations count="1">
    <dataValidation sqref="I4:I104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2026-10-16T20:53:43Z</dcterms:created>
  <dcterms:modified xmlns:dcterms="http://purl.org/dc/terms/" xmlns:xsi="http://www.w3.org/2001/XMLSchema-instance" xsi:type="dcterms:W3CDTF">2026-10-16T20:53:43Z</dcterms:modified>
</cp:coreProperties>
</file>