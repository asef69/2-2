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Design Principles" sheetId="3" state="visible" r:id="rId3"/>
    <sheet xmlns:r="http://schemas.openxmlformats.org/officeDocument/2006/relationships" name="2 Creational Patterns" sheetId="4" state="visible" r:id="rId4"/>
    <sheet xmlns:r="http://schemas.openxmlformats.org/officeDocument/2006/relationships" name="3 Class Diagrams" sheetId="5" state="visible" r:id="rId5"/>
    <sheet xmlns:r="http://schemas.openxmlformats.org/officeDocument/2006/relationships" name="4 State Diagrams" sheetId="6" state="visible" r:id="rId6"/>
    <sheet xmlns:r="http://schemas.openxmlformats.org/officeDocument/2006/relationships" name="5 Interaction Diagrams" sheetId="7" state="visible" r:id="rId7"/>
    <sheet xmlns:r="http://schemas.openxmlformats.org/officeDocument/2006/relationships" name="6 Use Case + BPMN" sheetId="8" state="visible" r:id="rId8"/>
    <sheet xmlns:r="http://schemas.openxmlformats.org/officeDocument/2006/relationships" name="7 Software Testing" sheetId="9" state="visible" r:id="rId9"/>
    <sheet xmlns:r="http://schemas.openxmlformats.org/officeDocument/2006/relationships" name="Outside Notes" sheetId="10" state="visible" r:id="rId10"/>
  </sheets>
  <definedNames>
    <definedName name="_xlnm._FilterDatabase" localSheetId="2" hidden="1">'1 Design Principles'!$A$3:$Q$11</definedName>
    <definedName name="_xlnm._FilterDatabase" localSheetId="3" hidden="1">'2 Creational Patterns'!$A$3:$Q$21</definedName>
    <definedName name="_xlnm._FilterDatabase" localSheetId="4" hidden="1">'3 Class Diagrams'!$A$3:$Q$17</definedName>
    <definedName name="_xlnm._FilterDatabase" localSheetId="5" hidden="1">'4 State Diagrams'!$A$3:$Q$8</definedName>
    <definedName name="_xlnm._FilterDatabase" localSheetId="6" hidden="1">'5 Interaction Diagrams'!$A$3:$Q$11</definedName>
    <definedName name="_xlnm._FilterDatabase" localSheetId="7" hidden="1">'6 Use Case + BPMN'!$A$3:$Q$18</definedName>
    <definedName name="_xlnm._FilterDatabase" localSheetId="8" hidden="1">'7 Software Testing'!$A$3:$Q$43</definedName>
    <definedName name="_xlnm._FilterDatabase" localSheetId="9" hidden="1">'Outside Notes'!$A$3:$J$33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213 (Anindya Sir part) — TF Practice Tracker</t>
        </is>
      </c>
    </row>
    <row r="3">
      <c r="B3" s="2" t="inlineStr">
        <is>
          <t>Every Anindya-part question in CSE 213 All Past Papers.pdf,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1–7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213 All Past Papers.pdf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CSE 213 = current code (2023-24 onward); CSE 307 = old L-3/T-1 code for the same course. '2024-25' = the 22-batch paper (exam 10/05/2026, header says 2023-2024), separate file 'CSE 213 (22 batch).pdf' → TF Page '22 batch p.N'.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Anindya-section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1–7.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Design Principles</t>
        </is>
      </c>
      <c r="C5" s="8">
        <f>COUNTA('1 Design Principles'!$E$4:$E$11)</f>
        <v/>
      </c>
      <c r="D5" s="8">
        <f>COUNTIF('1 Design Principles'!$N$4:$N$11,TRUE())</f>
        <v/>
      </c>
      <c r="E5" s="10">
        <f>IF(C5=0,0,D5/C5)</f>
        <v/>
      </c>
      <c r="F5" s="8">
        <f>SUM('1 Design Principles'!$H$4:$H$11)</f>
        <v/>
      </c>
      <c r="G5" s="8">
        <f>SUMIF('1 Design Principles'!$N$4:$N$11,TRUE(),'1 Design Principles'!$H$4:$H$11)</f>
        <v/>
      </c>
      <c r="H5" s="8">
        <f>COUNTIFS('1 Design Principles'!$J$4:$J$11,"★★★ High",'1 Design Principles'!$N$4:$N$11,FALSE())</f>
        <v/>
      </c>
      <c r="I5" s="8">
        <f>COUNTIF('1 Design Principles'!$O$4:$O$11,"Weak")</f>
        <v/>
      </c>
      <c r="J5" s="9">
        <f>IFERROR("Q"&amp;INDEX('1 Design Principles'!$A$4:$A$11,MATCH(FALSE(),'1 Design Principles'!$N$4:$N$11,0))&amp;" · "&amp;INDEX('1 Design Principles'!$B$4:$B$11,MATCH(FALSE(),'1 Design Principles'!$N$4:$N$11,0))&amp;" "&amp;INDEX('1 Design Principles'!$D$4:$D$11,MATCH(FALSE(),'1 Design Principles'!$N$4:$N$11,0))&amp;" · TF p."&amp;INDEX('1 Design Principles'!$I$4:$I$11,MATCH(FALSE(),'1 Design Principles'!$N$4:$N$11,0)),"All done ✔")</f>
        <v/>
      </c>
    </row>
    <row r="6">
      <c r="A6" s="8" t="n">
        <v>2</v>
      </c>
      <c r="B6" s="9" t="inlineStr">
        <is>
          <t>2 Creational Patterns</t>
        </is>
      </c>
      <c r="C6" s="8">
        <f>COUNTA('2 Creational Patterns'!$E$4:$E$21)</f>
        <v/>
      </c>
      <c r="D6" s="8">
        <f>COUNTIF('2 Creational Patterns'!$N$4:$N$21,TRUE())</f>
        <v/>
      </c>
      <c r="E6" s="10">
        <f>IF(C6=0,0,D6/C6)</f>
        <v/>
      </c>
      <c r="F6" s="8">
        <f>SUM('2 Creational Patterns'!$H$4:$H$21)</f>
        <v/>
      </c>
      <c r="G6" s="8">
        <f>SUMIF('2 Creational Patterns'!$N$4:$N$21,TRUE(),'2 Creational Patterns'!$H$4:$H$21)</f>
        <v/>
      </c>
      <c r="H6" s="8">
        <f>COUNTIFS('2 Creational Patterns'!$J$4:$J$21,"★★★ High",'2 Creational Patterns'!$N$4:$N$21,FALSE())</f>
        <v/>
      </c>
      <c r="I6" s="8">
        <f>COUNTIF('2 Creational Patterns'!$O$4:$O$21,"Weak")</f>
        <v/>
      </c>
      <c r="J6" s="9">
        <f>IFERROR("Q"&amp;INDEX('2 Creational Patterns'!$A$4:$A$21,MATCH(FALSE(),'2 Creational Patterns'!$N$4:$N$21,0))&amp;" · "&amp;INDEX('2 Creational Patterns'!$B$4:$B$21,MATCH(FALSE(),'2 Creational Patterns'!$N$4:$N$21,0))&amp;" "&amp;INDEX('2 Creational Patterns'!$D$4:$D$21,MATCH(FALSE(),'2 Creational Patterns'!$N$4:$N$21,0))&amp;" · TF p."&amp;INDEX('2 Creational Patterns'!$I$4:$I$21,MATCH(FALSE(),'2 Creational Patterns'!$N$4:$N$21,0)),"All done ✔")</f>
        <v/>
      </c>
    </row>
    <row r="7">
      <c r="A7" s="8" t="n">
        <v>3</v>
      </c>
      <c r="B7" s="9" t="inlineStr">
        <is>
          <t>3 Class Diagrams</t>
        </is>
      </c>
      <c r="C7" s="8">
        <f>COUNTA('3 Class Diagrams'!$E$4:$E$17)</f>
        <v/>
      </c>
      <c r="D7" s="8">
        <f>COUNTIF('3 Class Diagrams'!$N$4:$N$17,TRUE())</f>
        <v/>
      </c>
      <c r="E7" s="10">
        <f>IF(C7=0,0,D7/C7)</f>
        <v/>
      </c>
      <c r="F7" s="8">
        <f>SUM('3 Class Diagrams'!$H$4:$H$17)</f>
        <v/>
      </c>
      <c r="G7" s="8">
        <f>SUMIF('3 Class Diagrams'!$N$4:$N$17,TRUE(),'3 Class Diagrams'!$H$4:$H$17)</f>
        <v/>
      </c>
      <c r="H7" s="8">
        <f>COUNTIFS('3 Class Diagrams'!$J$4:$J$17,"★★★ High",'3 Class Diagrams'!$N$4:$N$17,FALSE())</f>
        <v/>
      </c>
      <c r="I7" s="8">
        <f>COUNTIF('3 Class Diagrams'!$O$4:$O$17,"Weak")</f>
        <v/>
      </c>
      <c r="J7" s="9">
        <f>IFERROR("Q"&amp;INDEX('3 Class Diagrams'!$A$4:$A$17,MATCH(FALSE(),'3 Class Diagrams'!$N$4:$N$17,0))&amp;" · "&amp;INDEX('3 Class Diagrams'!$B$4:$B$17,MATCH(FALSE(),'3 Class Diagrams'!$N$4:$N$17,0))&amp;" "&amp;INDEX('3 Class Diagrams'!$D$4:$D$17,MATCH(FALSE(),'3 Class Diagrams'!$N$4:$N$17,0))&amp;" · TF p."&amp;INDEX('3 Class Diagrams'!$I$4:$I$17,MATCH(FALSE(),'3 Class Diagrams'!$N$4:$N$17,0)),"All done ✔")</f>
        <v/>
      </c>
    </row>
    <row r="8">
      <c r="A8" s="8" t="n">
        <v>4</v>
      </c>
      <c r="B8" s="9" t="inlineStr">
        <is>
          <t>4 State Diagrams</t>
        </is>
      </c>
      <c r="C8" s="8">
        <f>COUNTA('4 State Diagrams'!$E$4:$E$8)</f>
        <v/>
      </c>
      <c r="D8" s="8">
        <f>COUNTIF('4 State Diagrams'!$N$4:$N$8,TRUE())</f>
        <v/>
      </c>
      <c r="E8" s="10">
        <f>IF(C8=0,0,D8/C8)</f>
        <v/>
      </c>
      <c r="F8" s="8">
        <f>SUM('4 State Diagrams'!$H$4:$H$8)</f>
        <v/>
      </c>
      <c r="G8" s="8">
        <f>SUMIF('4 State Diagrams'!$N$4:$N$8,TRUE(),'4 State Diagrams'!$H$4:$H$8)</f>
        <v/>
      </c>
      <c r="H8" s="8">
        <f>COUNTIFS('4 State Diagrams'!$J$4:$J$8,"★★★ High",'4 State Diagrams'!$N$4:$N$8,FALSE())</f>
        <v/>
      </c>
      <c r="I8" s="8">
        <f>COUNTIF('4 State Diagrams'!$O$4:$O$8,"Weak")</f>
        <v/>
      </c>
      <c r="J8" s="9">
        <f>IFERROR("Q"&amp;INDEX('4 State Diagrams'!$A$4:$A$8,MATCH(FALSE(),'4 State Diagrams'!$N$4:$N$8,0))&amp;" · "&amp;INDEX('4 State Diagrams'!$B$4:$B$8,MATCH(FALSE(),'4 State Diagrams'!$N$4:$N$8,0))&amp;" "&amp;INDEX('4 State Diagrams'!$D$4:$D$8,MATCH(FALSE(),'4 State Diagrams'!$N$4:$N$8,0))&amp;" · TF p."&amp;INDEX('4 State Diagrams'!$I$4:$I$8,MATCH(FALSE(),'4 State Diagrams'!$N$4:$N$8,0)),"All done ✔")</f>
        <v/>
      </c>
    </row>
    <row r="9">
      <c r="A9" s="8" t="n">
        <v>5</v>
      </c>
      <c r="B9" s="9" t="inlineStr">
        <is>
          <t>5 Interaction Diagrams</t>
        </is>
      </c>
      <c r="C9" s="8">
        <f>COUNTA('5 Interaction Diagrams'!$E$4:$E$11)</f>
        <v/>
      </c>
      <c r="D9" s="8">
        <f>COUNTIF('5 Interaction Diagrams'!$N$4:$N$11,TRUE())</f>
        <v/>
      </c>
      <c r="E9" s="10">
        <f>IF(C9=0,0,D9/C9)</f>
        <v/>
      </c>
      <c r="F9" s="8">
        <f>SUM('5 Interaction Diagrams'!$H$4:$H$11)</f>
        <v/>
      </c>
      <c r="G9" s="8">
        <f>SUMIF('5 Interaction Diagrams'!$N$4:$N$11,TRUE(),'5 Interaction Diagrams'!$H$4:$H$11)</f>
        <v/>
      </c>
      <c r="H9" s="8">
        <f>COUNTIFS('5 Interaction Diagrams'!$J$4:$J$11,"★★★ High",'5 Interaction Diagrams'!$N$4:$N$11,FALSE())</f>
        <v/>
      </c>
      <c r="I9" s="8">
        <f>COUNTIF('5 Interaction Diagrams'!$O$4:$O$11,"Weak")</f>
        <v/>
      </c>
      <c r="J9" s="9">
        <f>IFERROR("Q"&amp;INDEX('5 Interaction Diagrams'!$A$4:$A$11,MATCH(FALSE(),'5 Interaction Diagrams'!$N$4:$N$11,0))&amp;" · "&amp;INDEX('5 Interaction Diagrams'!$B$4:$B$11,MATCH(FALSE(),'5 Interaction Diagrams'!$N$4:$N$11,0))&amp;" "&amp;INDEX('5 Interaction Diagrams'!$D$4:$D$11,MATCH(FALSE(),'5 Interaction Diagrams'!$N$4:$N$11,0))&amp;" · TF p."&amp;INDEX('5 Interaction Diagrams'!$I$4:$I$11,MATCH(FALSE(),'5 Interaction Diagrams'!$N$4:$N$11,0)),"All done ✔")</f>
        <v/>
      </c>
    </row>
    <row r="10">
      <c r="A10" s="8" t="n">
        <v>6</v>
      </c>
      <c r="B10" s="9" t="inlineStr">
        <is>
          <t>6 Use Case + BPMN</t>
        </is>
      </c>
      <c r="C10" s="8">
        <f>COUNTA('6 Use Case + BPMN'!$E$4:$E$18)</f>
        <v/>
      </c>
      <c r="D10" s="8">
        <f>COUNTIF('6 Use Case + BPMN'!$N$4:$N$18,TRUE())</f>
        <v/>
      </c>
      <c r="E10" s="10">
        <f>IF(C10=0,0,D10/C10)</f>
        <v/>
      </c>
      <c r="F10" s="8">
        <f>SUM('6 Use Case + BPMN'!$H$4:$H$18)</f>
        <v/>
      </c>
      <c r="G10" s="8">
        <f>SUMIF('6 Use Case + BPMN'!$N$4:$N$18,TRUE(),'6 Use Case + BPMN'!$H$4:$H$18)</f>
        <v/>
      </c>
      <c r="H10" s="8">
        <f>COUNTIFS('6 Use Case + BPMN'!$J$4:$J$18,"★★★ High",'6 Use Case + BPMN'!$N$4:$N$18,FALSE())</f>
        <v/>
      </c>
      <c r="I10" s="8">
        <f>COUNTIF('6 Use Case + BPMN'!$O$4:$O$18,"Weak")</f>
        <v/>
      </c>
      <c r="J10" s="9">
        <f>IFERROR("Q"&amp;INDEX('6 Use Case + BPMN'!$A$4:$A$18,MATCH(FALSE(),'6 Use Case + BPMN'!$N$4:$N$18,0))&amp;" · "&amp;INDEX('6 Use Case + BPMN'!$B$4:$B$18,MATCH(FALSE(),'6 Use Case + BPMN'!$N$4:$N$18,0))&amp;" "&amp;INDEX('6 Use Case + BPMN'!$D$4:$D$18,MATCH(FALSE(),'6 Use Case + BPMN'!$N$4:$N$18,0))&amp;" · TF p."&amp;INDEX('6 Use Case + BPMN'!$I$4:$I$18,MATCH(FALSE(),'6 Use Case + BPMN'!$N$4:$N$18,0)),"All done ✔")</f>
        <v/>
      </c>
    </row>
    <row r="11">
      <c r="A11" s="8" t="n">
        <v>7</v>
      </c>
      <c r="B11" s="9" t="inlineStr">
        <is>
          <t>7 Software Testing</t>
        </is>
      </c>
      <c r="C11" s="8">
        <f>COUNTA('7 Software Testing'!$E$4:$E$43)</f>
        <v/>
      </c>
      <c r="D11" s="8">
        <f>COUNTIF('7 Software Testing'!$N$4:$N$43,TRUE())</f>
        <v/>
      </c>
      <c r="E11" s="10">
        <f>IF(C11=0,0,D11/C11)</f>
        <v/>
      </c>
      <c r="F11" s="8">
        <f>SUM('7 Software Testing'!$H$4:$H$43)</f>
        <v/>
      </c>
      <c r="G11" s="8">
        <f>SUMIF('7 Software Testing'!$N$4:$N$43,TRUE(),'7 Software Testing'!$H$4:$H$43)</f>
        <v/>
      </c>
      <c r="H11" s="8">
        <f>COUNTIFS('7 Software Testing'!$J$4:$J$43,"★★★ High",'7 Software Testing'!$N$4:$N$43,FALSE())</f>
        <v/>
      </c>
      <c r="I11" s="8">
        <f>COUNTIF('7 Software Testing'!$O$4:$O$43,"Weak")</f>
        <v/>
      </c>
      <c r="J11" s="9">
        <f>IFERROR("Q"&amp;INDEX('7 Software Testing'!$A$4:$A$43,MATCH(FALSE(),'7 Software Testing'!$N$4:$N$43,0))&amp;" · "&amp;INDEX('7 Software Testing'!$B$4:$B$43,MATCH(FALSE(),'7 Software Testing'!$N$4:$N$43,0))&amp;" "&amp;INDEX('7 Software Testing'!$D$4:$D$43,MATCH(FALSE(),'7 Software Testing'!$N$4:$N$43,0))&amp;" · TF p."&amp;INDEX('7 Software Testing'!$I$4:$I$43,MATCH(FALSE(),'7 Software Testing'!$N$4:$N$43,0)),"All done ✔")</f>
        <v/>
      </c>
    </row>
    <row r="12">
      <c r="B12" s="11" t="inlineStr">
        <is>
          <t>TOTAL</t>
        </is>
      </c>
      <c r="C12" s="11">
        <f>SUM(C5:C11)</f>
        <v/>
      </c>
      <c r="D12" s="11">
        <f>SUM(D5:D11)</f>
        <v/>
      </c>
      <c r="E12" s="12">
        <f>IF(C12=0,0,D12/C12)</f>
        <v/>
      </c>
      <c r="F12" s="11">
        <f>SUM(F5:F11)</f>
        <v/>
      </c>
      <c r="G12" s="11">
        <f>SUM(G5:G11)</f>
        <v/>
      </c>
      <c r="H12" s="11">
        <f>SUM(H5:H11)</f>
        <v/>
      </c>
      <c r="I12" s="11">
        <f>SUM(I5:I11)</f>
        <v/>
      </c>
    </row>
    <row r="14">
      <c r="A14" s="13" t="inlineStr">
        <is>
          <t>Questions by year (tabs 1–7)</t>
        </is>
      </c>
    </row>
    <row r="15">
      <c r="A15" s="7" t="inlineStr">
        <is>
          <t>#</t>
        </is>
      </c>
      <c r="B15" s="7" t="inlineStr">
        <is>
          <t>Year</t>
        </is>
      </c>
      <c r="C15" s="7" t="inlineStr">
        <is>
          <t>Questions</t>
        </is>
      </c>
      <c r="D15" s="7" t="inlineStr">
        <is>
          <t>Done</t>
        </is>
      </c>
      <c r="E15" s="7" t="inlineStr">
        <is>
          <t>% Done</t>
        </is>
      </c>
      <c r="F15" s="7" t="inlineStr">
        <is>
          <t>Marks (total)</t>
        </is>
      </c>
    </row>
    <row r="16">
      <c r="A16" s="14" t="n">
        <v>1</v>
      </c>
      <c r="B16" s="14" t="inlineStr">
        <is>
          <t>2024-25</t>
        </is>
      </c>
      <c r="C16" s="14">
        <f>COUNTIF('1 Design Principles'!$B$4:$B$11,$B16)+COUNTIF('2 Creational Patterns'!$B$4:$B$21,$B16)+COUNTIF('3 Class Diagrams'!$B$4:$B$17,$B16)+COUNTIF('4 State Diagrams'!$B$4:$B$8,$B16)+COUNTIF('5 Interaction Diagrams'!$B$4:$B$11,$B16)+COUNTIF('6 Use Case + BPMN'!$B$4:$B$18,$B16)+COUNTIF('7 Software Testing'!$B$4:$B$43,$B16)</f>
        <v/>
      </c>
      <c r="D16" s="14">
        <f>COUNTIFS('1 Design Principles'!$B$4:$B$11,$B16,'1 Design Principles'!$N$4:$N$11,TRUE())+COUNTIFS('2 Creational Patterns'!$B$4:$B$21,$B16,'2 Creational Patterns'!$N$4:$N$21,TRUE())+COUNTIFS('3 Class Diagrams'!$B$4:$B$17,$B16,'3 Class Diagrams'!$N$4:$N$17,TRUE())+COUNTIFS('4 State Diagrams'!$B$4:$B$8,$B16,'4 State Diagrams'!$N$4:$N$8,TRUE())+COUNTIFS('5 Interaction Diagrams'!$B$4:$B$11,$B16,'5 Interaction Diagrams'!$N$4:$N$11,TRUE())+COUNTIFS('6 Use Case + BPMN'!$B$4:$B$18,$B16,'6 Use Case + BPMN'!$N$4:$N$18,TRUE())+COUNTIFS('7 Software Testing'!$B$4:$B$43,$B16,'7 Software Testing'!$N$4:$N$43,TRUE())</f>
        <v/>
      </c>
      <c r="E16" s="15">
        <f>IF(C16=0,0,D16/C16)</f>
        <v/>
      </c>
      <c r="F16" s="14">
        <f>SUMIF('1 Design Principles'!$B$4:$B$11,$B16,'1 Design Principles'!$H$4:$H$11)+SUMIF('2 Creational Patterns'!$B$4:$B$21,$B16,'2 Creational Patterns'!$H$4:$H$21)+SUMIF('3 Class Diagrams'!$B$4:$B$17,$B16,'3 Class Diagrams'!$H$4:$H$17)+SUMIF('4 State Diagrams'!$B$4:$B$8,$B16,'4 State Diagrams'!$H$4:$H$8)+SUMIF('5 Interaction Diagrams'!$B$4:$B$11,$B16,'5 Interaction Diagrams'!$H$4:$H$11)+SUMIF('6 Use Case + BPMN'!$B$4:$B$18,$B16,'6 Use Case + BPMN'!$H$4:$H$18)+SUMIF('7 Software Testing'!$B$4:$B$43,$B16,'7 Software Testing'!$H$4:$H$43)</f>
        <v/>
      </c>
    </row>
    <row r="17">
      <c r="A17" s="14" t="n">
        <v>2</v>
      </c>
      <c r="B17" s="14" t="inlineStr">
        <is>
          <t>2023-24</t>
        </is>
      </c>
      <c r="C17" s="14">
        <f>COUNTIF('1 Design Principles'!$B$4:$B$11,$B17)+COUNTIF('2 Creational Patterns'!$B$4:$B$21,$B17)+COUNTIF('3 Class Diagrams'!$B$4:$B$17,$B17)+COUNTIF('4 State Diagrams'!$B$4:$B$8,$B17)+COUNTIF('5 Interaction Diagrams'!$B$4:$B$11,$B17)+COUNTIF('6 Use Case + BPMN'!$B$4:$B$18,$B17)+COUNTIF('7 Software Testing'!$B$4:$B$43,$B17)</f>
        <v/>
      </c>
      <c r="D17" s="14">
        <f>COUNTIFS('1 Design Principles'!$B$4:$B$11,$B17,'1 Design Principles'!$N$4:$N$11,TRUE())+COUNTIFS('2 Creational Patterns'!$B$4:$B$21,$B17,'2 Creational Patterns'!$N$4:$N$21,TRUE())+COUNTIFS('3 Class Diagrams'!$B$4:$B$17,$B17,'3 Class Diagrams'!$N$4:$N$17,TRUE())+COUNTIFS('4 State Diagrams'!$B$4:$B$8,$B17,'4 State Diagrams'!$N$4:$N$8,TRUE())+COUNTIFS('5 Interaction Diagrams'!$B$4:$B$11,$B17,'5 Interaction Diagrams'!$N$4:$N$11,TRUE())+COUNTIFS('6 Use Case + BPMN'!$B$4:$B$18,$B17,'6 Use Case + BPMN'!$N$4:$N$18,TRUE())+COUNTIFS('7 Software Testing'!$B$4:$B$43,$B17,'7 Software Testing'!$N$4:$N$43,TRUE())</f>
        <v/>
      </c>
      <c r="E17" s="15">
        <f>IF(C17=0,0,D17/C17)</f>
        <v/>
      </c>
      <c r="F17" s="14">
        <f>SUMIF('1 Design Principles'!$B$4:$B$11,$B17,'1 Design Principles'!$H$4:$H$11)+SUMIF('2 Creational Patterns'!$B$4:$B$21,$B17,'2 Creational Patterns'!$H$4:$H$21)+SUMIF('3 Class Diagrams'!$B$4:$B$17,$B17,'3 Class Diagrams'!$H$4:$H$17)+SUMIF('4 State Diagrams'!$B$4:$B$8,$B17,'4 State Diagrams'!$H$4:$H$8)+SUMIF('5 Interaction Diagrams'!$B$4:$B$11,$B17,'5 Interaction Diagrams'!$H$4:$H$11)+SUMIF('6 Use Case + BPMN'!$B$4:$B$18,$B17,'6 Use Case + BPMN'!$H$4:$H$18)+SUMIF('7 Software Testing'!$B$4:$B$43,$B17,'7 Software Testing'!$H$4:$H$43)</f>
        <v/>
      </c>
    </row>
    <row r="18">
      <c r="A18" s="14" t="n">
        <v>3</v>
      </c>
      <c r="B18" s="14" t="inlineStr">
        <is>
          <t>2022-23</t>
        </is>
      </c>
      <c r="C18" s="14">
        <f>COUNTIF('1 Design Principles'!$B$4:$B$11,$B18)+COUNTIF('2 Creational Patterns'!$B$4:$B$21,$B18)+COUNTIF('3 Class Diagrams'!$B$4:$B$17,$B18)+COUNTIF('4 State Diagrams'!$B$4:$B$8,$B18)+COUNTIF('5 Interaction Diagrams'!$B$4:$B$11,$B18)+COUNTIF('6 Use Case + BPMN'!$B$4:$B$18,$B18)+COUNTIF('7 Software Testing'!$B$4:$B$43,$B18)</f>
        <v/>
      </c>
      <c r="D18" s="14">
        <f>COUNTIFS('1 Design Principles'!$B$4:$B$11,$B18,'1 Design Principles'!$N$4:$N$11,TRUE())+COUNTIFS('2 Creational Patterns'!$B$4:$B$21,$B18,'2 Creational Patterns'!$N$4:$N$21,TRUE())+COUNTIFS('3 Class Diagrams'!$B$4:$B$17,$B18,'3 Class Diagrams'!$N$4:$N$17,TRUE())+COUNTIFS('4 State Diagrams'!$B$4:$B$8,$B18,'4 State Diagrams'!$N$4:$N$8,TRUE())+COUNTIFS('5 Interaction Diagrams'!$B$4:$B$11,$B18,'5 Interaction Diagrams'!$N$4:$N$11,TRUE())+COUNTIFS('6 Use Case + BPMN'!$B$4:$B$18,$B18,'6 Use Case + BPMN'!$N$4:$N$18,TRUE())+COUNTIFS('7 Software Testing'!$B$4:$B$43,$B18,'7 Software Testing'!$N$4:$N$43,TRUE())</f>
        <v/>
      </c>
      <c r="E18" s="15">
        <f>IF(C18=0,0,D18/C18)</f>
        <v/>
      </c>
      <c r="F18" s="14">
        <f>SUMIF('1 Design Principles'!$B$4:$B$11,$B18,'1 Design Principles'!$H$4:$H$11)+SUMIF('2 Creational Patterns'!$B$4:$B$21,$B18,'2 Creational Patterns'!$H$4:$H$21)+SUMIF('3 Class Diagrams'!$B$4:$B$17,$B18,'3 Class Diagrams'!$H$4:$H$17)+SUMIF('4 State Diagrams'!$B$4:$B$8,$B18,'4 State Diagrams'!$H$4:$H$8)+SUMIF('5 Interaction Diagrams'!$B$4:$B$11,$B18,'5 Interaction Diagrams'!$H$4:$H$11)+SUMIF('6 Use Case + BPMN'!$B$4:$B$18,$B18,'6 Use Case + BPMN'!$H$4:$H$18)+SUMIF('7 Software Testing'!$B$4:$B$43,$B18,'7 Software Testing'!$H$4:$H$43)</f>
        <v/>
      </c>
    </row>
    <row r="19">
      <c r="A19" s="14" t="n">
        <v>4</v>
      </c>
      <c r="B19" s="14" t="inlineStr">
        <is>
          <t>2021-22</t>
        </is>
      </c>
      <c r="C19" s="14">
        <f>COUNTIF('1 Design Principles'!$B$4:$B$11,$B19)+COUNTIF('2 Creational Patterns'!$B$4:$B$21,$B19)+COUNTIF('3 Class Diagrams'!$B$4:$B$17,$B19)+COUNTIF('4 State Diagrams'!$B$4:$B$8,$B19)+COUNTIF('5 Interaction Diagrams'!$B$4:$B$11,$B19)+COUNTIF('6 Use Case + BPMN'!$B$4:$B$18,$B19)+COUNTIF('7 Software Testing'!$B$4:$B$43,$B19)</f>
        <v/>
      </c>
      <c r="D19" s="14">
        <f>COUNTIFS('1 Design Principles'!$B$4:$B$11,$B19,'1 Design Principles'!$N$4:$N$11,TRUE())+COUNTIFS('2 Creational Patterns'!$B$4:$B$21,$B19,'2 Creational Patterns'!$N$4:$N$21,TRUE())+COUNTIFS('3 Class Diagrams'!$B$4:$B$17,$B19,'3 Class Diagrams'!$N$4:$N$17,TRUE())+COUNTIFS('4 State Diagrams'!$B$4:$B$8,$B19,'4 State Diagrams'!$N$4:$N$8,TRUE())+COUNTIFS('5 Interaction Diagrams'!$B$4:$B$11,$B19,'5 Interaction Diagrams'!$N$4:$N$11,TRUE())+COUNTIFS('6 Use Case + BPMN'!$B$4:$B$18,$B19,'6 Use Case + BPMN'!$N$4:$N$18,TRUE())+COUNTIFS('7 Software Testing'!$B$4:$B$43,$B19,'7 Software Testing'!$N$4:$N$43,TRUE())</f>
        <v/>
      </c>
      <c r="E19" s="15">
        <f>IF(C19=0,0,D19/C19)</f>
        <v/>
      </c>
      <c r="F19" s="14">
        <f>SUMIF('1 Design Principles'!$B$4:$B$11,$B19,'1 Design Principles'!$H$4:$H$11)+SUMIF('2 Creational Patterns'!$B$4:$B$21,$B19,'2 Creational Patterns'!$H$4:$H$21)+SUMIF('3 Class Diagrams'!$B$4:$B$17,$B19,'3 Class Diagrams'!$H$4:$H$17)+SUMIF('4 State Diagrams'!$B$4:$B$8,$B19,'4 State Diagrams'!$H$4:$H$8)+SUMIF('5 Interaction Diagrams'!$B$4:$B$11,$B19,'5 Interaction Diagrams'!$H$4:$H$11)+SUMIF('6 Use Case + BPMN'!$B$4:$B$18,$B19,'6 Use Case + BPMN'!$H$4:$H$18)+SUMIF('7 Software Testing'!$B$4:$B$43,$B19,'7 Software Testing'!$H$4:$H$43)</f>
        <v/>
      </c>
    </row>
    <row r="20">
      <c r="A20" s="14" t="n">
        <v>5</v>
      </c>
      <c r="B20" s="14" t="inlineStr">
        <is>
          <t>2020-21</t>
        </is>
      </c>
      <c r="C20" s="14">
        <f>COUNTIF('1 Design Principles'!$B$4:$B$11,$B20)+COUNTIF('2 Creational Patterns'!$B$4:$B$21,$B20)+COUNTIF('3 Class Diagrams'!$B$4:$B$17,$B20)+COUNTIF('4 State Diagrams'!$B$4:$B$8,$B20)+COUNTIF('5 Interaction Diagrams'!$B$4:$B$11,$B20)+COUNTIF('6 Use Case + BPMN'!$B$4:$B$18,$B20)+COUNTIF('7 Software Testing'!$B$4:$B$43,$B20)</f>
        <v/>
      </c>
      <c r="D20" s="14">
        <f>COUNTIFS('1 Design Principles'!$B$4:$B$11,$B20,'1 Design Principles'!$N$4:$N$11,TRUE())+COUNTIFS('2 Creational Patterns'!$B$4:$B$21,$B20,'2 Creational Patterns'!$N$4:$N$21,TRUE())+COUNTIFS('3 Class Diagrams'!$B$4:$B$17,$B20,'3 Class Diagrams'!$N$4:$N$17,TRUE())+COUNTIFS('4 State Diagrams'!$B$4:$B$8,$B20,'4 State Diagrams'!$N$4:$N$8,TRUE())+COUNTIFS('5 Interaction Diagrams'!$B$4:$B$11,$B20,'5 Interaction Diagrams'!$N$4:$N$11,TRUE())+COUNTIFS('6 Use Case + BPMN'!$B$4:$B$18,$B20,'6 Use Case + BPMN'!$N$4:$N$18,TRUE())+COUNTIFS('7 Software Testing'!$B$4:$B$43,$B20,'7 Software Testing'!$N$4:$N$43,TRUE())</f>
        <v/>
      </c>
      <c r="E20" s="15">
        <f>IF(C20=0,0,D20/C20)</f>
        <v/>
      </c>
      <c r="F20" s="14">
        <f>SUMIF('1 Design Principles'!$B$4:$B$11,$B20,'1 Design Principles'!$H$4:$H$11)+SUMIF('2 Creational Patterns'!$B$4:$B$21,$B20,'2 Creational Patterns'!$H$4:$H$21)+SUMIF('3 Class Diagrams'!$B$4:$B$17,$B20,'3 Class Diagrams'!$H$4:$H$17)+SUMIF('4 State Diagrams'!$B$4:$B$8,$B20,'4 State Diagrams'!$H$4:$H$8)+SUMIF('5 Interaction Diagrams'!$B$4:$B$11,$B20,'5 Interaction Diagrams'!$H$4:$H$11)+SUMIF('6 Use Case + BPMN'!$B$4:$B$18,$B20,'6 Use Case + BPMN'!$H$4:$H$18)+SUMIF('7 Software Testing'!$B$4:$B$43,$B20,'7 Software Testing'!$H$4:$H$43)</f>
        <v/>
      </c>
    </row>
    <row r="21">
      <c r="A21" s="14" t="n">
        <v>6</v>
      </c>
      <c r="B21" s="14" t="inlineStr">
        <is>
          <t>2019-20</t>
        </is>
      </c>
      <c r="C21" s="14">
        <f>COUNTIF('1 Design Principles'!$B$4:$B$11,$B21)+COUNTIF('2 Creational Patterns'!$B$4:$B$21,$B21)+COUNTIF('3 Class Diagrams'!$B$4:$B$17,$B21)+COUNTIF('4 State Diagrams'!$B$4:$B$8,$B21)+COUNTIF('5 Interaction Diagrams'!$B$4:$B$11,$B21)+COUNTIF('6 Use Case + BPMN'!$B$4:$B$18,$B21)+COUNTIF('7 Software Testing'!$B$4:$B$43,$B21)</f>
        <v/>
      </c>
      <c r="D21" s="14">
        <f>COUNTIFS('1 Design Principles'!$B$4:$B$11,$B21,'1 Design Principles'!$N$4:$N$11,TRUE())+COUNTIFS('2 Creational Patterns'!$B$4:$B$21,$B21,'2 Creational Patterns'!$N$4:$N$21,TRUE())+COUNTIFS('3 Class Diagrams'!$B$4:$B$17,$B21,'3 Class Diagrams'!$N$4:$N$17,TRUE())+COUNTIFS('4 State Diagrams'!$B$4:$B$8,$B21,'4 State Diagrams'!$N$4:$N$8,TRUE())+COUNTIFS('5 Interaction Diagrams'!$B$4:$B$11,$B21,'5 Interaction Diagrams'!$N$4:$N$11,TRUE())+COUNTIFS('6 Use Case + BPMN'!$B$4:$B$18,$B21,'6 Use Case + BPMN'!$N$4:$N$18,TRUE())+COUNTIFS('7 Software Testing'!$B$4:$B$43,$B21,'7 Software Testing'!$N$4:$N$43,TRUE())</f>
        <v/>
      </c>
      <c r="E21" s="15">
        <f>IF(C21=0,0,D21/C21)</f>
        <v/>
      </c>
      <c r="F21" s="14">
        <f>SUMIF('1 Design Principles'!$B$4:$B$11,$B21,'1 Design Principles'!$H$4:$H$11)+SUMIF('2 Creational Patterns'!$B$4:$B$21,$B21,'2 Creational Patterns'!$H$4:$H$21)+SUMIF('3 Class Diagrams'!$B$4:$B$17,$B21,'3 Class Diagrams'!$H$4:$H$17)+SUMIF('4 State Diagrams'!$B$4:$B$8,$B21,'4 State Diagrams'!$H$4:$H$8)+SUMIF('5 Interaction Diagrams'!$B$4:$B$11,$B21,'5 Interaction Diagrams'!$H$4:$H$11)+SUMIF('6 Use Case + BPMN'!$B$4:$B$18,$B21,'6 Use Case + BPMN'!$H$4:$H$18)+SUMIF('7 Software Testing'!$B$4:$B$43,$B21,'7 Software Testing'!$H$4:$H$43)</f>
        <v/>
      </c>
    </row>
    <row r="22">
      <c r="A22" s="16" t="n">
        <v>7</v>
      </c>
      <c r="B22" s="16" t="inlineStr">
        <is>
          <t>2018-19</t>
        </is>
      </c>
      <c r="C22" s="16">
        <f>COUNTIF('1 Design Principles'!$B$4:$B$11,$B22)+COUNTIF('2 Creational Patterns'!$B$4:$B$21,$B22)+COUNTIF('3 Class Diagrams'!$B$4:$B$17,$B22)+COUNTIF('4 State Diagrams'!$B$4:$B$8,$B22)+COUNTIF('5 Interaction Diagrams'!$B$4:$B$11,$B22)+COUNTIF('6 Use Case + BPMN'!$B$4:$B$18,$B22)+COUNTIF('7 Software Testing'!$B$4:$B$43,$B22)</f>
        <v/>
      </c>
      <c r="D22" s="16">
        <f>COUNTIFS('1 Design Principles'!$B$4:$B$11,$B22,'1 Design Principles'!$N$4:$N$11,TRUE())+COUNTIFS('2 Creational Patterns'!$B$4:$B$21,$B22,'2 Creational Patterns'!$N$4:$N$21,TRUE())+COUNTIFS('3 Class Diagrams'!$B$4:$B$17,$B22,'3 Class Diagrams'!$N$4:$N$17,TRUE())+COUNTIFS('4 State Diagrams'!$B$4:$B$8,$B22,'4 State Diagrams'!$N$4:$N$8,TRUE())+COUNTIFS('5 Interaction Diagrams'!$B$4:$B$11,$B22,'5 Interaction Diagrams'!$N$4:$N$11,TRUE())+COUNTIFS('6 Use Case + BPMN'!$B$4:$B$18,$B22,'6 Use Case + BPMN'!$N$4:$N$18,TRUE())+COUNTIFS('7 Software Testing'!$B$4:$B$43,$B22,'7 Software Testing'!$N$4:$N$43,TRUE())</f>
        <v/>
      </c>
      <c r="E22" s="17">
        <f>IF(C22=0,0,D22/C22)</f>
        <v/>
      </c>
      <c r="F22" s="16">
        <f>SUMIF('1 Design Principles'!$B$4:$B$11,$B22,'1 Design Principles'!$H$4:$H$11)+SUMIF('2 Creational Patterns'!$B$4:$B$21,$B22,'2 Creational Patterns'!$H$4:$H$21)+SUMIF('3 Class Diagrams'!$B$4:$B$17,$B22,'3 Class Diagrams'!$H$4:$H$17)+SUMIF('4 State Diagrams'!$B$4:$B$8,$B22,'4 State Diagrams'!$H$4:$H$8)+SUMIF('5 Interaction Diagrams'!$B$4:$B$11,$B22,'5 Interaction Diagrams'!$H$4:$H$11)+SUMIF('6 Use Case + BPMN'!$B$4:$B$18,$B22,'6 Use Case + BPMN'!$H$4:$H$18)+SUMIF('7 Software Testing'!$B$4:$B$43,$B22,'7 Software Testing'!$H$4:$H$43)</f>
        <v/>
      </c>
    </row>
    <row r="23">
      <c r="A23" s="16" t="n">
        <v>8</v>
      </c>
      <c r="B23" s="16" t="inlineStr">
        <is>
          <t>2017-18</t>
        </is>
      </c>
      <c r="C23" s="16">
        <f>COUNTIF('1 Design Principles'!$B$4:$B$11,$B23)+COUNTIF('2 Creational Patterns'!$B$4:$B$21,$B23)+COUNTIF('3 Class Diagrams'!$B$4:$B$17,$B23)+COUNTIF('4 State Diagrams'!$B$4:$B$8,$B23)+COUNTIF('5 Interaction Diagrams'!$B$4:$B$11,$B23)+COUNTIF('6 Use Case + BPMN'!$B$4:$B$18,$B23)+COUNTIF('7 Software Testing'!$B$4:$B$43,$B23)</f>
        <v/>
      </c>
      <c r="D23" s="16">
        <f>COUNTIFS('1 Design Principles'!$B$4:$B$11,$B23,'1 Design Principles'!$N$4:$N$11,TRUE())+COUNTIFS('2 Creational Patterns'!$B$4:$B$21,$B23,'2 Creational Patterns'!$N$4:$N$21,TRUE())+COUNTIFS('3 Class Diagrams'!$B$4:$B$17,$B23,'3 Class Diagrams'!$N$4:$N$17,TRUE())+COUNTIFS('4 State Diagrams'!$B$4:$B$8,$B23,'4 State Diagrams'!$N$4:$N$8,TRUE())+COUNTIFS('5 Interaction Diagrams'!$B$4:$B$11,$B23,'5 Interaction Diagrams'!$N$4:$N$11,TRUE())+COUNTIFS('6 Use Case + BPMN'!$B$4:$B$18,$B23,'6 Use Case + BPMN'!$N$4:$N$18,TRUE())+COUNTIFS('7 Software Testing'!$B$4:$B$43,$B23,'7 Software Testing'!$N$4:$N$43,TRUE())</f>
        <v/>
      </c>
      <c r="E23" s="17">
        <f>IF(C23=0,0,D23/C23)</f>
        <v/>
      </c>
      <c r="F23" s="16">
        <f>SUMIF('1 Design Principles'!$B$4:$B$11,$B23,'1 Design Principles'!$H$4:$H$11)+SUMIF('2 Creational Patterns'!$B$4:$B$21,$B23,'2 Creational Patterns'!$H$4:$H$21)+SUMIF('3 Class Diagrams'!$B$4:$B$17,$B23,'3 Class Diagrams'!$H$4:$H$17)+SUMIF('4 State Diagrams'!$B$4:$B$8,$B23,'4 State Diagrams'!$H$4:$H$8)+SUMIF('5 Interaction Diagrams'!$B$4:$B$11,$B23,'5 Interaction Diagrams'!$H$4:$H$11)+SUMIF('6 Use Case + BPMN'!$B$4:$B$18,$B23,'6 Use Case + BPMN'!$H$4:$H$18)+SUMIF('7 Software Testing'!$B$4:$B$43,$B23,'7 Software Testing'!$H$4:$H$43)</f>
        <v/>
      </c>
    </row>
    <row r="24">
      <c r="A24" s="16" t="n">
        <v>9</v>
      </c>
      <c r="B24" s="16" t="inlineStr">
        <is>
          <t>2016-17</t>
        </is>
      </c>
      <c r="C24" s="16">
        <f>COUNTIF('1 Design Principles'!$B$4:$B$11,$B24)+COUNTIF('2 Creational Patterns'!$B$4:$B$21,$B24)+COUNTIF('3 Class Diagrams'!$B$4:$B$17,$B24)+COUNTIF('4 State Diagrams'!$B$4:$B$8,$B24)+COUNTIF('5 Interaction Diagrams'!$B$4:$B$11,$B24)+COUNTIF('6 Use Case + BPMN'!$B$4:$B$18,$B24)+COUNTIF('7 Software Testing'!$B$4:$B$43,$B24)</f>
        <v/>
      </c>
      <c r="D24" s="16">
        <f>COUNTIFS('1 Design Principles'!$B$4:$B$11,$B24,'1 Design Principles'!$N$4:$N$11,TRUE())+COUNTIFS('2 Creational Patterns'!$B$4:$B$21,$B24,'2 Creational Patterns'!$N$4:$N$21,TRUE())+COUNTIFS('3 Class Diagrams'!$B$4:$B$17,$B24,'3 Class Diagrams'!$N$4:$N$17,TRUE())+COUNTIFS('4 State Diagrams'!$B$4:$B$8,$B24,'4 State Diagrams'!$N$4:$N$8,TRUE())+COUNTIFS('5 Interaction Diagrams'!$B$4:$B$11,$B24,'5 Interaction Diagrams'!$N$4:$N$11,TRUE())+COUNTIFS('6 Use Case + BPMN'!$B$4:$B$18,$B24,'6 Use Case + BPMN'!$N$4:$N$18,TRUE())+COUNTIFS('7 Software Testing'!$B$4:$B$43,$B24,'7 Software Testing'!$N$4:$N$43,TRUE())</f>
        <v/>
      </c>
      <c r="E24" s="17">
        <f>IF(C24=0,0,D24/C24)</f>
        <v/>
      </c>
      <c r="F24" s="16">
        <f>SUMIF('1 Design Principles'!$B$4:$B$11,$B24,'1 Design Principles'!$H$4:$H$11)+SUMIF('2 Creational Patterns'!$B$4:$B$21,$B24,'2 Creational Patterns'!$H$4:$H$21)+SUMIF('3 Class Diagrams'!$B$4:$B$17,$B24,'3 Class Diagrams'!$H$4:$H$17)+SUMIF('4 State Diagrams'!$B$4:$B$8,$B24,'4 State Diagrams'!$H$4:$H$8)+SUMIF('5 Interaction Diagrams'!$B$4:$B$11,$B24,'5 Interaction Diagrams'!$H$4:$H$11)+SUMIF('6 Use Case + BPMN'!$B$4:$B$18,$B24,'6 Use Case + BPMN'!$H$4:$H$18)+SUMIF('7 Software Testing'!$B$4:$B$43,$B24,'7 Software Testing'!$H$4:$H$43)</f>
        <v/>
      </c>
    </row>
    <row r="25">
      <c r="A25" s="16" t="n">
        <v>10</v>
      </c>
      <c r="B25" s="16" t="inlineStr">
        <is>
          <t>2014-15</t>
        </is>
      </c>
      <c r="C25" s="16">
        <f>COUNTIF('1 Design Principles'!$B$4:$B$11,$B25)+COUNTIF('2 Creational Patterns'!$B$4:$B$21,$B25)+COUNTIF('3 Class Diagrams'!$B$4:$B$17,$B25)+COUNTIF('4 State Diagrams'!$B$4:$B$8,$B25)+COUNTIF('5 Interaction Diagrams'!$B$4:$B$11,$B25)+COUNTIF('6 Use Case + BPMN'!$B$4:$B$18,$B25)+COUNTIF('7 Software Testing'!$B$4:$B$43,$B25)</f>
        <v/>
      </c>
      <c r="D25" s="16">
        <f>COUNTIFS('1 Design Principles'!$B$4:$B$11,$B25,'1 Design Principles'!$N$4:$N$11,TRUE())+COUNTIFS('2 Creational Patterns'!$B$4:$B$21,$B25,'2 Creational Patterns'!$N$4:$N$21,TRUE())+COUNTIFS('3 Class Diagrams'!$B$4:$B$17,$B25,'3 Class Diagrams'!$N$4:$N$17,TRUE())+COUNTIFS('4 State Diagrams'!$B$4:$B$8,$B25,'4 State Diagrams'!$N$4:$N$8,TRUE())+COUNTIFS('5 Interaction Diagrams'!$B$4:$B$11,$B25,'5 Interaction Diagrams'!$N$4:$N$11,TRUE())+COUNTIFS('6 Use Case + BPMN'!$B$4:$B$18,$B25,'6 Use Case + BPMN'!$N$4:$N$18,TRUE())+COUNTIFS('7 Software Testing'!$B$4:$B$43,$B25,'7 Software Testing'!$N$4:$N$43,TRUE())</f>
        <v/>
      </c>
      <c r="E25" s="17">
        <f>IF(C25=0,0,D25/C25)</f>
        <v/>
      </c>
      <c r="F25" s="16">
        <f>SUMIF('1 Design Principles'!$B$4:$B$11,$B25,'1 Design Principles'!$H$4:$H$11)+SUMIF('2 Creational Patterns'!$B$4:$B$21,$B25,'2 Creational Patterns'!$H$4:$H$21)+SUMIF('3 Class Diagrams'!$B$4:$B$17,$B25,'3 Class Diagrams'!$H$4:$H$17)+SUMIF('4 State Diagrams'!$B$4:$B$8,$B25,'4 State Diagrams'!$H$4:$H$8)+SUMIF('5 Interaction Diagrams'!$B$4:$B$11,$B25,'5 Interaction Diagrams'!$H$4:$H$11)+SUMIF('6 Use Case + BPMN'!$B$4:$B$18,$B25,'6 Use Case + BPMN'!$H$4:$H$18)+SUMIF('7 Software Testing'!$B$4:$B$43,$B25,'7 Software Testing'!$H$4:$H$43)</f>
        <v/>
      </c>
    </row>
    <row r="26">
      <c r="A26" s="16" t="n">
        <v>11</v>
      </c>
      <c r="B26" s="16" t="inlineStr">
        <is>
          <t>2013-14</t>
        </is>
      </c>
      <c r="C26" s="16">
        <f>COUNTIF('1 Design Principles'!$B$4:$B$11,$B26)+COUNTIF('2 Creational Patterns'!$B$4:$B$21,$B26)+COUNTIF('3 Class Diagrams'!$B$4:$B$17,$B26)+COUNTIF('4 State Diagrams'!$B$4:$B$8,$B26)+COUNTIF('5 Interaction Diagrams'!$B$4:$B$11,$B26)+COUNTIF('6 Use Case + BPMN'!$B$4:$B$18,$B26)+COUNTIF('7 Software Testing'!$B$4:$B$43,$B26)</f>
        <v/>
      </c>
      <c r="D26" s="16">
        <f>COUNTIFS('1 Design Principles'!$B$4:$B$11,$B26,'1 Design Principles'!$N$4:$N$11,TRUE())+COUNTIFS('2 Creational Patterns'!$B$4:$B$21,$B26,'2 Creational Patterns'!$N$4:$N$21,TRUE())+COUNTIFS('3 Class Diagrams'!$B$4:$B$17,$B26,'3 Class Diagrams'!$N$4:$N$17,TRUE())+COUNTIFS('4 State Diagrams'!$B$4:$B$8,$B26,'4 State Diagrams'!$N$4:$N$8,TRUE())+COUNTIFS('5 Interaction Diagrams'!$B$4:$B$11,$B26,'5 Interaction Diagrams'!$N$4:$N$11,TRUE())+COUNTIFS('6 Use Case + BPMN'!$B$4:$B$18,$B26,'6 Use Case + BPMN'!$N$4:$N$18,TRUE())+COUNTIFS('7 Software Testing'!$B$4:$B$43,$B26,'7 Software Testing'!$N$4:$N$43,TRUE())</f>
        <v/>
      </c>
      <c r="E26" s="17">
        <f>IF(C26=0,0,D26/C26)</f>
        <v/>
      </c>
      <c r="F26" s="16">
        <f>SUMIF('1 Design Principles'!$B$4:$B$11,$B26,'1 Design Principles'!$H$4:$H$11)+SUMIF('2 Creational Patterns'!$B$4:$B$21,$B26,'2 Creational Patterns'!$H$4:$H$21)+SUMIF('3 Class Diagrams'!$B$4:$B$17,$B26,'3 Class Diagrams'!$H$4:$H$17)+SUMIF('4 State Diagrams'!$B$4:$B$8,$B26,'4 State Diagrams'!$H$4:$H$8)+SUMIF('5 Interaction Diagrams'!$B$4:$B$11,$B26,'5 Interaction Diagrams'!$H$4:$H$11)+SUMIF('6 Use Case + BPMN'!$B$4:$B$18,$B26,'6 Use Case + BPMN'!$H$4:$H$18)+SUMIF('7 Software Testing'!$B$4:$B$43,$B26,'7 Software Testing'!$H$4:$H$43)</f>
        <v/>
      </c>
    </row>
    <row r="27">
      <c r="A27" s="16" t="n">
        <v>12</v>
      </c>
      <c r="B27" s="16" t="inlineStr">
        <is>
          <t>2012-13</t>
        </is>
      </c>
      <c r="C27" s="16">
        <f>COUNTIF('1 Design Principles'!$B$4:$B$11,$B27)+COUNTIF('2 Creational Patterns'!$B$4:$B$21,$B27)+COUNTIF('3 Class Diagrams'!$B$4:$B$17,$B27)+COUNTIF('4 State Diagrams'!$B$4:$B$8,$B27)+COUNTIF('5 Interaction Diagrams'!$B$4:$B$11,$B27)+COUNTIF('6 Use Case + BPMN'!$B$4:$B$18,$B27)+COUNTIF('7 Software Testing'!$B$4:$B$43,$B27)</f>
        <v/>
      </c>
      <c r="D27" s="16">
        <f>COUNTIFS('1 Design Principles'!$B$4:$B$11,$B27,'1 Design Principles'!$N$4:$N$11,TRUE())+COUNTIFS('2 Creational Patterns'!$B$4:$B$21,$B27,'2 Creational Patterns'!$N$4:$N$21,TRUE())+COUNTIFS('3 Class Diagrams'!$B$4:$B$17,$B27,'3 Class Diagrams'!$N$4:$N$17,TRUE())+COUNTIFS('4 State Diagrams'!$B$4:$B$8,$B27,'4 State Diagrams'!$N$4:$N$8,TRUE())+COUNTIFS('5 Interaction Diagrams'!$B$4:$B$11,$B27,'5 Interaction Diagrams'!$N$4:$N$11,TRUE())+COUNTIFS('6 Use Case + BPMN'!$B$4:$B$18,$B27,'6 Use Case + BPMN'!$N$4:$N$18,TRUE())+COUNTIFS('7 Software Testing'!$B$4:$B$43,$B27,'7 Software Testing'!$N$4:$N$43,TRUE())</f>
        <v/>
      </c>
      <c r="E27" s="17">
        <f>IF(C27=0,0,D27/C27)</f>
        <v/>
      </c>
      <c r="F27" s="16">
        <f>SUMIF('1 Design Principles'!$B$4:$B$11,$B27,'1 Design Principles'!$H$4:$H$11)+SUMIF('2 Creational Patterns'!$B$4:$B$21,$B27,'2 Creational Patterns'!$H$4:$H$21)+SUMIF('3 Class Diagrams'!$B$4:$B$17,$B27,'3 Class Diagrams'!$H$4:$H$17)+SUMIF('4 State Diagrams'!$B$4:$B$8,$B27,'4 State Diagrams'!$H$4:$H$8)+SUMIF('5 Interaction Diagrams'!$B$4:$B$11,$B27,'5 Interaction Diagrams'!$H$4:$H$11)+SUMIF('6 Use Case + BPMN'!$B$4:$B$18,$B27,'6 Use Case + BPMN'!$H$4:$H$18)+SUMIF('7 Software Testing'!$B$4:$B$43,$B27,'7 Software Testing'!$H$4:$H$43)</f>
        <v/>
      </c>
    </row>
    <row r="28">
      <c r="A28" s="16" t="n">
        <v>13</v>
      </c>
      <c r="B28" s="16" t="inlineStr">
        <is>
          <t>2011-12</t>
        </is>
      </c>
      <c r="C28" s="16">
        <f>COUNTIF('1 Design Principles'!$B$4:$B$11,$B28)+COUNTIF('2 Creational Patterns'!$B$4:$B$21,$B28)+COUNTIF('3 Class Diagrams'!$B$4:$B$17,$B28)+COUNTIF('4 State Diagrams'!$B$4:$B$8,$B28)+COUNTIF('5 Interaction Diagrams'!$B$4:$B$11,$B28)+COUNTIF('6 Use Case + BPMN'!$B$4:$B$18,$B28)+COUNTIF('7 Software Testing'!$B$4:$B$43,$B28)</f>
        <v/>
      </c>
      <c r="D28" s="16">
        <f>COUNTIFS('1 Design Principles'!$B$4:$B$11,$B28,'1 Design Principles'!$N$4:$N$11,TRUE())+COUNTIFS('2 Creational Patterns'!$B$4:$B$21,$B28,'2 Creational Patterns'!$N$4:$N$21,TRUE())+COUNTIFS('3 Class Diagrams'!$B$4:$B$17,$B28,'3 Class Diagrams'!$N$4:$N$17,TRUE())+COUNTIFS('4 State Diagrams'!$B$4:$B$8,$B28,'4 State Diagrams'!$N$4:$N$8,TRUE())+COUNTIFS('5 Interaction Diagrams'!$B$4:$B$11,$B28,'5 Interaction Diagrams'!$N$4:$N$11,TRUE())+COUNTIFS('6 Use Case + BPMN'!$B$4:$B$18,$B28,'6 Use Case + BPMN'!$N$4:$N$18,TRUE())+COUNTIFS('7 Software Testing'!$B$4:$B$43,$B28,'7 Software Testing'!$N$4:$N$43,TRUE())</f>
        <v/>
      </c>
      <c r="E28" s="17">
        <f>IF(C28=0,0,D28/C28)</f>
        <v/>
      </c>
      <c r="F28" s="16">
        <f>SUMIF('1 Design Principles'!$B$4:$B$11,$B28,'1 Design Principles'!$H$4:$H$11)+SUMIF('2 Creational Patterns'!$B$4:$B$21,$B28,'2 Creational Patterns'!$H$4:$H$21)+SUMIF('3 Class Diagrams'!$B$4:$B$17,$B28,'3 Class Diagrams'!$H$4:$H$17)+SUMIF('4 State Diagrams'!$B$4:$B$8,$B28,'4 State Diagrams'!$H$4:$H$8)+SUMIF('5 Interaction Diagrams'!$B$4:$B$11,$B28,'5 Interaction Diagrams'!$H$4:$H$11)+SUMIF('6 Use Case + BPMN'!$B$4:$B$18,$B28,'6 Use Case + BPMN'!$H$4:$H$18)+SUMIF('7 Software Testing'!$B$4:$B$43,$B28,'7 Software Testing'!$H$4:$H$43)</f>
        <v/>
      </c>
    </row>
    <row r="29">
      <c r="A29" s="16" t="n">
        <v>14</v>
      </c>
      <c r="B29" s="16" t="inlineStr">
        <is>
          <t>2010-11</t>
        </is>
      </c>
      <c r="C29" s="16">
        <f>COUNTIF('1 Design Principles'!$B$4:$B$11,$B29)+COUNTIF('2 Creational Patterns'!$B$4:$B$21,$B29)+COUNTIF('3 Class Diagrams'!$B$4:$B$17,$B29)+COUNTIF('4 State Diagrams'!$B$4:$B$8,$B29)+COUNTIF('5 Interaction Diagrams'!$B$4:$B$11,$B29)+COUNTIF('6 Use Case + BPMN'!$B$4:$B$18,$B29)+COUNTIF('7 Software Testing'!$B$4:$B$43,$B29)</f>
        <v/>
      </c>
      <c r="D29" s="16">
        <f>COUNTIFS('1 Design Principles'!$B$4:$B$11,$B29,'1 Design Principles'!$N$4:$N$11,TRUE())+COUNTIFS('2 Creational Patterns'!$B$4:$B$21,$B29,'2 Creational Patterns'!$N$4:$N$21,TRUE())+COUNTIFS('3 Class Diagrams'!$B$4:$B$17,$B29,'3 Class Diagrams'!$N$4:$N$17,TRUE())+COUNTIFS('4 State Diagrams'!$B$4:$B$8,$B29,'4 State Diagrams'!$N$4:$N$8,TRUE())+COUNTIFS('5 Interaction Diagrams'!$B$4:$B$11,$B29,'5 Interaction Diagrams'!$N$4:$N$11,TRUE())+COUNTIFS('6 Use Case + BPMN'!$B$4:$B$18,$B29,'6 Use Case + BPMN'!$N$4:$N$18,TRUE())+COUNTIFS('7 Software Testing'!$B$4:$B$43,$B29,'7 Software Testing'!$N$4:$N$43,TRUE())</f>
        <v/>
      </c>
      <c r="E29" s="17">
        <f>IF(C29=0,0,D29/C29)</f>
        <v/>
      </c>
      <c r="F29" s="16">
        <f>SUMIF('1 Design Principles'!$B$4:$B$11,$B29,'1 Design Principles'!$H$4:$H$11)+SUMIF('2 Creational Patterns'!$B$4:$B$21,$B29,'2 Creational Patterns'!$H$4:$H$21)+SUMIF('3 Class Diagrams'!$B$4:$B$17,$B29,'3 Class Diagrams'!$H$4:$H$17)+SUMIF('4 State Diagrams'!$B$4:$B$8,$B29,'4 State Diagrams'!$H$4:$H$8)+SUMIF('5 Interaction Diagrams'!$B$4:$B$11,$B29,'5 Interaction Diagrams'!$H$4:$H$11)+SUMIF('6 Use Case + BPMN'!$B$4:$B$18,$B29,'6 Use Case + BPMN'!$H$4:$H$18)+SUMIF('7 Software Testing'!$B$4:$B$43,$B29,'7 Software Testing'!$H$4:$H$43)</f>
        <v/>
      </c>
    </row>
    <row r="30">
      <c r="B30" s="2" t="inlineStr">
        <is>
          <t>Shaded years = ★★★ High priority (2019-20 onward).</t>
        </is>
      </c>
    </row>
    <row r="31">
      <c r="B31" s="2" t="inlineStr">
        <is>
          <t>TF Page = page in 'CSE 213 All Past Papers.pdf' (70 p.). It contains everything in 'CSE 213 Question.pdf' (63 p.) plus the 2023-24 CSE 213 paper (21 batch) as pages 1–7, so Question.pdf page = All Past Papers page − 7.</t>
        </is>
      </c>
    </row>
    <row r="32">
      <c r="B32" s="2" t="inlineStr">
        <is>
          <t>Papers do not split by teacher section; every question is assigned by topic. Topics in neither teacher's slides (EVM, CPM/PERT, COCOMO/FP, risk, security, architecture, DevOps, IS design) are in 'Outside Notes'.</t>
        </is>
      </c>
    </row>
  </sheetData>
  <conditionalFormatting sqref="E5:E12">
    <cfRule type="dataBar" priority="1">
      <dataBar>
        <cfvo type="num" val="0"/>
        <cfvo type="num" val="1"/>
        <color rgb="0063BE7B"/>
      </dataBar>
    </cfRule>
  </conditionalFormatting>
  <conditionalFormatting sqref="E16:E29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1–2 — Design Principles &amp; Pattern Basics</t>
        </is>
      </c>
    </row>
    <row r="2">
      <c r="A2" s="2" t="inlineStr">
        <is>
          <t>Note file: CSE213_Anindya_Design_Principles_Notes.docx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2018-19</t>
        </is>
      </c>
      <c r="C4" s="19" t="inlineStr">
        <is>
          <t>CSE 307</t>
        </is>
      </c>
      <c r="D4" s="19" t="inlineStr">
        <is>
          <t>3(c)</t>
        </is>
      </c>
      <c r="E4" s="20" t="inlineStr">
        <is>
          <t>Cohesion and coupling</t>
        </is>
      </c>
      <c r="F4" s="20" t="inlineStr">
        <is>
          <t>Encapsulation, interfaces, cohesion/coupling — Lec 1, sl. 2–9</t>
        </is>
      </c>
      <c r="G4" s="19" t="inlineStr">
        <is>
          <t>L1</t>
        </is>
      </c>
      <c r="H4" s="19" t="n">
        <v>8</v>
      </c>
      <c r="I4" s="19" t="n">
        <v>27</v>
      </c>
      <c r="J4" s="21" t="inlineStr">
        <is>
          <t>★★ Medium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2017-18 7(c)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2017-18</t>
        </is>
      </c>
      <c r="C5" s="19" t="inlineStr">
        <is>
          <t>CSE 307</t>
        </is>
      </c>
      <c r="D5" s="19" t="inlineStr">
        <is>
          <t>7(c)</t>
        </is>
      </c>
      <c r="E5" s="20" t="inlineStr">
        <is>
          <t>Tight cohesion and loose coupling; influence on design</t>
        </is>
      </c>
      <c r="F5" s="20" t="inlineStr">
        <is>
          <t>Encapsulation, interfaces, cohesion/coupling — Lec 1, sl. 2–9</t>
        </is>
      </c>
      <c r="G5" s="19" t="inlineStr">
        <is>
          <t>L1</t>
        </is>
      </c>
      <c r="H5" s="19" t="n">
        <v>8</v>
      </c>
      <c r="I5" s="19" t="n">
        <v>34</v>
      </c>
      <c r="J5" s="21" t="inlineStr">
        <is>
          <t>★★ Medium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2018-19 3(c)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2010-11</t>
        </is>
      </c>
      <c r="C6" s="19" t="inlineStr">
        <is>
          <t>CSE 307</t>
        </is>
      </c>
      <c r="D6" s="19" t="inlineStr">
        <is>
          <t>3(c)</t>
        </is>
      </c>
      <c r="E6" s="20" t="inlineStr">
        <is>
          <t>Subclassing vs delegation: names; which deserves preference?</t>
        </is>
      </c>
      <c r="F6" s="20" t="inlineStr">
        <is>
          <t>Encapsulation, interfaces, cohesion/coupling — Lec 1, sl. 2–9</t>
        </is>
      </c>
      <c r="G6" s="19" t="inlineStr">
        <is>
          <t>L1</t>
        </is>
      </c>
      <c r="H6" s="19" t="n">
        <v>5</v>
      </c>
      <c r="I6" s="19" t="n">
        <v>66</v>
      </c>
      <c r="J6" s="22" t="inlineStr">
        <is>
          <t>★ Low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—</t>
        </is>
      </c>
      <c r="N6" s="23" t="b">
        <v>0</v>
      </c>
      <c r="O6" s="19" t="n"/>
      <c r="P6" s="19" t="n"/>
      <c r="Q6" s="20" t="n"/>
    </row>
    <row r="7">
      <c r="A7" s="24" t="n">
        <v>4</v>
      </c>
      <c r="B7" s="24" t="inlineStr">
        <is>
          <t>2016-17</t>
        </is>
      </c>
      <c r="C7" s="24" t="inlineStr">
        <is>
          <t>CSE 307</t>
        </is>
      </c>
      <c r="D7" s="24" t="inlineStr">
        <is>
          <t>8(d)</t>
        </is>
      </c>
      <c r="E7" s="6" t="inlineStr">
        <is>
          <t>GraphicEditor.getArea by m_type: which principle is violated? Rewrite</t>
        </is>
      </c>
      <c r="F7" s="6" t="inlineStr">
        <is>
          <t>SRP, OCP — Lec 1, sl. 10–17</t>
        </is>
      </c>
      <c r="G7" s="24" t="inlineStr">
        <is>
          <t>L2</t>
        </is>
      </c>
      <c r="H7" s="24" t="n">
        <v>6.67</v>
      </c>
      <c r="I7" s="24" t="n">
        <v>40</v>
      </c>
      <c r="J7" s="22" t="inlineStr">
        <is>
          <t>★ Low</t>
        </is>
      </c>
      <c r="K7" s="24" t="inlineStr">
        <is>
          <t>Code</t>
        </is>
      </c>
      <c r="L7" s="22" t="inlineStr">
        <is>
          <t>✔ Solved</t>
        </is>
      </c>
      <c r="M7" s="6" t="inlineStr">
        <is>
          <t>—</t>
        </is>
      </c>
      <c r="N7" s="23" t="b">
        <v>0</v>
      </c>
      <c r="O7" s="24" t="n"/>
      <c r="P7" s="24" t="n"/>
      <c r="Q7" s="6" t="n"/>
    </row>
    <row r="8">
      <c r="A8" s="19" t="n">
        <v>5</v>
      </c>
      <c r="B8" s="19" t="inlineStr">
        <is>
          <t>2022-23</t>
        </is>
      </c>
      <c r="C8" s="19" t="inlineStr">
        <is>
          <t>CSE 307</t>
        </is>
      </c>
      <c r="D8" s="19" t="inlineStr">
        <is>
          <t>2(c)</t>
        </is>
      </c>
      <c r="E8" s="20" t="inlineStr">
        <is>
          <t>Example of the Interface Segregation Principle</t>
        </is>
      </c>
      <c r="F8" s="20" t="inlineStr">
        <is>
          <t>LSP, ISP, DIP — Lec 1, sl. 18–31</t>
        </is>
      </c>
      <c r="G8" s="19" t="inlineStr">
        <is>
          <t>L3</t>
        </is>
      </c>
      <c r="H8" s="19" t="n">
        <v>8</v>
      </c>
      <c r="I8" s="19" t="n">
        <v>8</v>
      </c>
      <c r="J8" s="25" t="inlineStr">
        <is>
          <t>★★★ High</t>
        </is>
      </c>
      <c r="K8" s="19" t="inlineStr">
        <is>
          <t>Design</t>
        </is>
      </c>
      <c r="L8" s="22" t="inlineStr">
        <is>
          <t>✔ Solved</t>
        </is>
      </c>
      <c r="M8" s="20" t="inlineStr">
        <is>
          <t>2012-13 4(b)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2012-13</t>
        </is>
      </c>
      <c r="C9" s="19" t="inlineStr">
        <is>
          <t>CSE 307</t>
        </is>
      </c>
      <c r="D9" s="19" t="inlineStr">
        <is>
          <t>4(b)</t>
        </is>
      </c>
      <c r="E9" s="20" t="inlineStr">
        <is>
          <t>Motivation of ISP with a bad example</t>
        </is>
      </c>
      <c r="F9" s="20" t="inlineStr">
        <is>
          <t>LSP, ISP, DIP — Lec 1, sl. 18–31</t>
        </is>
      </c>
      <c r="G9" s="19" t="inlineStr">
        <is>
          <t>L3</t>
        </is>
      </c>
      <c r="H9" s="19" t="n">
        <v>14.67</v>
      </c>
      <c r="I9" s="19" t="n">
        <v>52</v>
      </c>
      <c r="J9" s="21" t="inlineStr">
        <is>
          <t>★★ Medium</t>
        </is>
      </c>
      <c r="K9" s="19" t="inlineStr">
        <is>
          <t>Design</t>
        </is>
      </c>
      <c r="L9" s="22" t="inlineStr">
        <is>
          <t>✔ Solved</t>
        </is>
      </c>
      <c r="M9" s="20" t="inlineStr">
        <is>
          <t>2022-23 2(c)</t>
        </is>
      </c>
      <c r="N9" s="23" t="b">
        <v>0</v>
      </c>
      <c r="O9" s="19" t="n"/>
      <c r="P9" s="19" t="n"/>
      <c r="Q9" s="20" t="n"/>
    </row>
    <row r="10">
      <c r="A10" s="24" t="n">
        <v>7</v>
      </c>
      <c r="B10" s="24" t="inlineStr">
        <is>
          <t>2014-15</t>
        </is>
      </c>
      <c r="C10" s="24" t="inlineStr">
        <is>
          <t>CSE 307</t>
        </is>
      </c>
      <c r="D10" s="24" t="inlineStr">
        <is>
          <t>6(a)</t>
        </is>
      </c>
      <c r="E10" s="6" t="inlineStr">
        <is>
          <t>Structural vs behavioural patterns; classification criteria</t>
        </is>
      </c>
      <c r="F10" s="6" t="inlineStr">
        <is>
          <t>Pattern basics, GoF catalogue — Lec 2, sl. 1–10</t>
        </is>
      </c>
      <c r="G10" s="24" t="inlineStr">
        <is>
          <t>L4</t>
        </is>
      </c>
      <c r="H10" s="24" t="n">
        <v>10</v>
      </c>
      <c r="I10" s="24" t="n">
        <v>43</v>
      </c>
      <c r="J10" s="21" t="inlineStr">
        <is>
          <t>★★ Medium</t>
        </is>
      </c>
      <c r="K10" s="24" t="inlineStr">
        <is>
          <t>Theory</t>
        </is>
      </c>
      <c r="L10" s="22" t="inlineStr">
        <is>
          <t>✔ Solved</t>
        </is>
      </c>
      <c r="M10" s="6" t="inlineStr">
        <is>
          <t>2011-12 4(c)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2011-12</t>
        </is>
      </c>
      <c r="C11" s="24" t="inlineStr">
        <is>
          <t>CSE 307</t>
        </is>
      </c>
      <c r="D11" s="24" t="inlineStr">
        <is>
          <t>4(c)</t>
        </is>
      </c>
      <c r="E11" s="6" t="inlineStr">
        <is>
          <t>Four essential elements of a design pattern</t>
        </is>
      </c>
      <c r="F11" s="6" t="inlineStr">
        <is>
          <t>Pattern basics, GoF catalogue — Lec 2, sl. 1–10</t>
        </is>
      </c>
      <c r="G11" s="24" t="inlineStr">
        <is>
          <t>L4</t>
        </is>
      </c>
      <c r="H11" s="24" t="n">
        <v>8</v>
      </c>
      <c r="I11" s="24" t="n">
        <v>58</v>
      </c>
      <c r="J11" s="21" t="inlineStr">
        <is>
          <t>★★ Medium</t>
        </is>
      </c>
      <c r="K11" s="24" t="inlineStr">
        <is>
          <t>Theory</t>
        </is>
      </c>
      <c r="L11" s="22" t="inlineStr">
        <is>
          <t>✔ Solved</t>
        </is>
      </c>
      <c r="M11" s="6" t="inlineStr">
        <is>
          <t>2014-15 6(a)</t>
        </is>
      </c>
      <c r="N11" s="23" t="b">
        <v>0</v>
      </c>
      <c r="O11" s="24" t="n"/>
      <c r="P11" s="24" t="n"/>
      <c r="Q11" s="6" t="n"/>
    </row>
  </sheetData>
  <autoFilter ref="A3:Q11"/>
  <conditionalFormatting sqref="A4:Q11">
    <cfRule type="expression" priority="1" dxfId="0">
      <formula>$N4=TRUE</formula>
    </cfRule>
  </conditionalFormatting>
  <conditionalFormatting sqref="O4:O1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1" showDropDown="0" showInputMessage="0" showErrorMessage="0" allowBlank="1" type="list">
      <formula1>"TRUE,FALSE"</formula1>
    </dataValidation>
    <dataValidation sqref="O4:O1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3 — Creational Design Patterns</t>
        </is>
      </c>
    </row>
    <row r="2">
      <c r="A2" s="2" t="inlineStr">
        <is>
          <t>Note file: CSE213_Anindya_Creational_Patterns_Notes.docx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2024-25</t>
        </is>
      </c>
      <c r="C4" s="19" t="inlineStr">
        <is>
          <t>CSE 213</t>
        </is>
      </c>
      <c r="D4" s="19" t="inlineStr">
        <is>
          <t>1(a)</t>
        </is>
      </c>
      <c r="E4" s="20" t="inlineStr">
        <is>
          <t>Travel packages (Adventure/Regular): centralised creation, client never names concrete class, add types without modifying — pattern + Java</t>
        </is>
      </c>
      <c r="F4" s="20" t="inlineStr">
        <is>
          <t>UML recap, Factory Method — Lec 3, sl. 2–16</t>
        </is>
      </c>
      <c r="G4" s="19" t="inlineStr">
        <is>
          <t>L5</t>
        </is>
      </c>
      <c r="H4" s="19" t="n">
        <v>15</v>
      </c>
      <c r="I4" s="19" t="inlineStr">
        <is>
          <t>22 batch p.1</t>
        </is>
      </c>
      <c r="J4" s="25" t="inlineStr">
        <is>
          <t>★★★ High</t>
        </is>
      </c>
      <c r="K4" s="19" t="inlineStr">
        <is>
          <t>Design</t>
        </is>
      </c>
      <c r="L4" s="22" t="inlineStr">
        <is>
          <t>✔ Solved</t>
        </is>
      </c>
      <c r="M4" s="20" t="inlineStr">
        <is>
          <t>2016-17 5(c); 2010-11 3(d)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2016-17</t>
        </is>
      </c>
      <c r="C5" s="19" t="inlineStr">
        <is>
          <t>CSE 307</t>
        </is>
      </c>
      <c r="D5" s="19" t="inlineStr">
        <is>
          <t>5(c)</t>
        </is>
      </c>
      <c r="E5" s="20" t="inlineStr">
        <is>
          <t>Choose parser by file extension (.c, .cpp, .java, .html) — pattern + Java</t>
        </is>
      </c>
      <c r="F5" s="20" t="inlineStr">
        <is>
          <t>UML recap, Factory Method — Lec 3, sl. 2–16</t>
        </is>
      </c>
      <c r="G5" s="19" t="inlineStr">
        <is>
          <t>L5</t>
        </is>
      </c>
      <c r="H5" s="19" t="n">
        <v>10</v>
      </c>
      <c r="I5" s="19" t="n">
        <v>38</v>
      </c>
      <c r="J5" s="21" t="inlineStr">
        <is>
          <t>★★ Medium</t>
        </is>
      </c>
      <c r="K5" s="19" t="inlineStr">
        <is>
          <t>Design</t>
        </is>
      </c>
      <c r="L5" s="22" t="inlineStr">
        <is>
          <t>✔ Solved</t>
        </is>
      </c>
      <c r="M5" s="20" t="inlineStr">
        <is>
          <t>2024-25 1(a); 2010-11 3(d)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2010-11</t>
        </is>
      </c>
      <c r="C6" s="19" t="inlineStr">
        <is>
          <t>CSE 307</t>
        </is>
      </c>
      <c r="D6" s="19" t="inlineStr">
        <is>
          <t>3(d)</t>
        </is>
      </c>
      <c r="E6" s="20" t="inlineStr">
        <is>
          <t>Does XMLReaderFactory implement the Factory pattern?</t>
        </is>
      </c>
      <c r="F6" s="20" t="inlineStr">
        <is>
          <t>UML recap, Factory Method — Lec 3, sl. 2–16</t>
        </is>
      </c>
      <c r="G6" s="19" t="inlineStr">
        <is>
          <t>L5</t>
        </is>
      </c>
      <c r="H6" s="19" t="n">
        <v>5</v>
      </c>
      <c r="I6" s="19" t="n">
        <v>67</v>
      </c>
      <c r="J6" s="21" t="inlineStr">
        <is>
          <t>★★ Medium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2024-25 1(a); 2016-17 5(c)</t>
        </is>
      </c>
      <c r="N6" s="23" t="b">
        <v>0</v>
      </c>
      <c r="O6" s="19" t="n"/>
      <c r="P6" s="19" t="n"/>
      <c r="Q6" s="20" t="n"/>
    </row>
    <row r="7">
      <c r="A7" s="24" t="n">
        <v>4</v>
      </c>
      <c r="B7" s="24" t="inlineStr">
        <is>
          <t>2023-24</t>
        </is>
      </c>
      <c r="C7" s="24" t="inlineStr">
        <is>
          <t>CSE 213</t>
        </is>
      </c>
      <c r="D7" s="24" t="inlineStr">
        <is>
          <t>5(a)</t>
        </is>
      </c>
      <c r="E7" s="6" t="inlineStr">
        <is>
          <t>Pizza stores Italy / America with regional styles — pattern + code</t>
        </is>
      </c>
      <c r="F7" s="6" t="inlineStr">
        <is>
          <t>Abstract Factory — Lec 3, sl. 17–35</t>
        </is>
      </c>
      <c r="G7" s="24" t="inlineStr">
        <is>
          <t>L6</t>
        </is>
      </c>
      <c r="H7" s="24" t="n">
        <v>15</v>
      </c>
      <c r="I7" s="24" t="n">
        <v>4</v>
      </c>
      <c r="J7" s="25" t="inlineStr">
        <is>
          <t>★★★ High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2021-22 3(a); 2017-18 7(b); 2014-15 6(b)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2021-22</t>
        </is>
      </c>
      <c r="C8" s="24" t="inlineStr">
        <is>
          <t>CSE 307</t>
        </is>
      </c>
      <c r="D8" s="24" t="inlineStr">
        <is>
          <t>3(a)</t>
        </is>
      </c>
      <c r="E8" s="6" t="inlineStr">
        <is>
          <t>Restaurant set menus (Veggie Harvest, Chicken Delight, Beef Fiesta, Sea Shanty) from three kitchens — pattern + UML + code</t>
        </is>
      </c>
      <c r="F8" s="6" t="inlineStr">
        <is>
          <t>Abstract Factory — Lec 3, sl. 17–35</t>
        </is>
      </c>
      <c r="G8" s="24" t="inlineStr">
        <is>
          <t>L6</t>
        </is>
      </c>
      <c r="H8" s="24" t="n">
        <v>20</v>
      </c>
      <c r="I8" s="24" t="n">
        <v>15</v>
      </c>
      <c r="J8" s="25" t="inlineStr">
        <is>
          <t>★★★ High</t>
        </is>
      </c>
      <c r="K8" s="24" t="inlineStr">
        <is>
          <t>Design</t>
        </is>
      </c>
      <c r="L8" s="22" t="inlineStr">
        <is>
          <t>✔ Solved</t>
        </is>
      </c>
      <c r="M8" s="6" t="inlineStr">
        <is>
          <t>2023-24 5(a); 2017-18 7(b); 2014-15 6(b)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2017-18</t>
        </is>
      </c>
      <c r="C9" s="24" t="inlineStr">
        <is>
          <t>CSE 307</t>
        </is>
      </c>
      <c r="D9" s="24" t="inlineStr">
        <is>
          <t>7(b)</t>
        </is>
      </c>
      <c r="E9" s="6" t="inlineStr">
        <is>
          <t>Uber / Pathao car and moto fare formulas — class diagram + code</t>
        </is>
      </c>
      <c r="F9" s="6" t="inlineStr">
        <is>
          <t>Abstract Factory — Lec 3, sl. 17–35</t>
        </is>
      </c>
      <c r="G9" s="24" t="inlineStr">
        <is>
          <t>L6</t>
        </is>
      </c>
      <c r="H9" s="24" t="n">
        <v>21</v>
      </c>
      <c r="I9" s="24" t="inlineStr">
        <is>
          <t>33–34</t>
        </is>
      </c>
      <c r="J9" s="21" t="inlineStr">
        <is>
          <t>★★ Medium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2023-24 5(a); 2021-22 3(a); 2014-15 6(b)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2014-15</t>
        </is>
      </c>
      <c r="C10" s="24" t="inlineStr">
        <is>
          <t>CSE 307</t>
        </is>
      </c>
      <c r="D10" s="24" t="inlineStr">
        <is>
          <t>6(b)</t>
        </is>
      </c>
      <c r="E10" s="6" t="inlineStr">
        <is>
          <t>Pattern that reduces dependence on hardware/software platforms</t>
        </is>
      </c>
      <c r="F10" s="6" t="inlineStr">
        <is>
          <t>Abstract Factory — Lec 3, sl. 17–35</t>
        </is>
      </c>
      <c r="G10" s="24" t="inlineStr">
        <is>
          <t>L6</t>
        </is>
      </c>
      <c r="H10" s="24" t="n">
        <v>12</v>
      </c>
      <c r="I10" s="24" t="n">
        <v>43</v>
      </c>
      <c r="J10" s="21" t="inlineStr">
        <is>
          <t>★★ Medium</t>
        </is>
      </c>
      <c r="K10" s="24" t="inlineStr">
        <is>
          <t>Theory</t>
        </is>
      </c>
      <c r="L10" s="22" t="inlineStr">
        <is>
          <t>✔ Solved</t>
        </is>
      </c>
      <c r="M10" s="6" t="inlineStr">
        <is>
          <t>2023-24 5(a); 2021-22 3(a); 2017-18 7(b)</t>
        </is>
      </c>
      <c r="N10" s="23" t="b">
        <v>0</v>
      </c>
      <c r="O10" s="24" t="n"/>
      <c r="P10" s="24" t="n"/>
      <c r="Q10" s="6" t="n"/>
    </row>
    <row r="11">
      <c r="A11" s="19" t="n">
        <v>8</v>
      </c>
      <c r="B11" s="19" t="inlineStr">
        <is>
          <t>2019-20</t>
        </is>
      </c>
      <c r="C11" s="19" t="inlineStr">
        <is>
          <t>CSE 307</t>
        </is>
      </c>
      <c r="D11" s="19" t="inlineStr">
        <is>
          <t>1(a)</t>
        </is>
      </c>
      <c r="E11" s="20" t="inlineStr">
        <is>
          <t>Serial unique identifiers (userID, district, qualification, TxID) starting from 1 — suitable pattern</t>
        </is>
      </c>
      <c r="F11" s="20" t="inlineStr">
        <is>
          <t>Singleton — Lec 3, sl. 36–42</t>
        </is>
      </c>
      <c r="G11" s="19" t="inlineStr">
        <is>
          <t>L7</t>
        </is>
      </c>
      <c r="H11" s="19" t="n">
        <v>15</v>
      </c>
      <c r="I11" s="19" t="n">
        <v>22</v>
      </c>
      <c r="J11" s="25" t="inlineStr">
        <is>
          <t>★★★ High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2016-17 5(a); 2012-13 2(a); 2011-12 1(b); 2010-11 4(a)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2016-17</t>
        </is>
      </c>
      <c r="C12" s="19" t="inlineStr">
        <is>
          <t>CSE 307</t>
        </is>
      </c>
      <c r="D12" s="19" t="inlineStr">
        <is>
          <t>5(a)</t>
        </is>
      </c>
      <c r="E12" s="20" t="inlineStr">
        <is>
          <t>Eager vs lazy singleton; when lazy is preferred</t>
        </is>
      </c>
      <c r="F12" s="20" t="inlineStr">
        <is>
          <t>Singleton — Lec 3, sl. 36–42</t>
        </is>
      </c>
      <c r="G12" s="19" t="inlineStr">
        <is>
          <t>L7</t>
        </is>
      </c>
      <c r="H12" s="19" t="n">
        <v>15</v>
      </c>
      <c r="I12" s="19" t="n">
        <v>38</v>
      </c>
      <c r="J12" s="21" t="inlineStr">
        <is>
          <t>★★ Medium</t>
        </is>
      </c>
      <c r="K12" s="19" t="inlineStr">
        <is>
          <t>Theory</t>
        </is>
      </c>
      <c r="L12" s="22" t="inlineStr">
        <is>
          <t>✔ Solved</t>
        </is>
      </c>
      <c r="M12" s="20" t="inlineStr">
        <is>
          <t>2019-20 1(a); 2012-13 2(a); 2011-12 1(b); 2010-11 4(a)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2012-13</t>
        </is>
      </c>
      <c r="C13" s="19" t="inlineStr">
        <is>
          <t>CSE 307</t>
        </is>
      </c>
      <c r="D13" s="19" t="inlineStr">
        <is>
          <t>2(a)</t>
        </is>
      </c>
      <c r="E13" s="20" t="inlineStr">
        <is>
          <t>Lazy vs eager singleton; structure</t>
        </is>
      </c>
      <c r="F13" s="20" t="inlineStr">
        <is>
          <t>Singleton — Lec 3, sl. 36–42</t>
        </is>
      </c>
      <c r="G13" s="19" t="inlineStr">
        <is>
          <t>L7</t>
        </is>
      </c>
      <c r="H13" s="19" t="n">
        <v>10</v>
      </c>
      <c r="I13" s="19" t="n">
        <v>50</v>
      </c>
      <c r="J13" s="21" t="inlineStr">
        <is>
          <t>★★ Medium</t>
        </is>
      </c>
      <c r="K13" s="19" t="inlineStr">
        <is>
          <t>Theory</t>
        </is>
      </c>
      <c r="L13" s="22" t="inlineStr">
        <is>
          <t>✔ Solved</t>
        </is>
      </c>
      <c r="M13" s="20" t="inlineStr">
        <is>
          <t>2019-20 1(a); 2016-17 5(a); 2011-12 1(b); 2010-11 4(a)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2011-12</t>
        </is>
      </c>
      <c r="C14" s="19" t="inlineStr">
        <is>
          <t>CSE 307</t>
        </is>
      </c>
      <c r="D14" s="19" t="inlineStr">
        <is>
          <t>1(b)</t>
        </is>
      </c>
      <c r="E14" s="20" t="inlineStr">
        <is>
          <t>Base class with Derived1 (max 5 instances) and Derived2 (max 10) — Singleton-style Java</t>
        </is>
      </c>
      <c r="F14" s="20" t="inlineStr">
        <is>
          <t>Singleton — Lec 3, sl. 36–42</t>
        </is>
      </c>
      <c r="G14" s="19" t="inlineStr">
        <is>
          <t>L7</t>
        </is>
      </c>
      <c r="H14" s="19" t="n">
        <v>18.67</v>
      </c>
      <c r="I14" s="19" t="n">
        <v>57</v>
      </c>
      <c r="J14" s="21" t="inlineStr">
        <is>
          <t>★★ Medium</t>
        </is>
      </c>
      <c r="K14" s="19" t="inlineStr">
        <is>
          <t>Code</t>
        </is>
      </c>
      <c r="L14" s="22" t="inlineStr">
        <is>
          <t>✔ Solved</t>
        </is>
      </c>
      <c r="M14" s="20" t="inlineStr">
        <is>
          <t>2019-20 1(a); 2016-17 5(a); 2012-13 2(a); 2010-11 4(a)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2010-11</t>
        </is>
      </c>
      <c r="C15" s="19" t="inlineStr">
        <is>
          <t>CSE 307</t>
        </is>
      </c>
      <c r="D15" s="19" t="inlineStr">
        <is>
          <t>4(a)</t>
        </is>
      </c>
      <c r="E15" s="20" t="inlineStr">
        <is>
          <t>Which singleton implementation (eager / holder) is valid?</t>
        </is>
      </c>
      <c r="F15" s="20" t="inlineStr">
        <is>
          <t>Singleton — Lec 3, sl. 36–42</t>
        </is>
      </c>
      <c r="G15" s="19" t="inlineStr">
        <is>
          <t>L7</t>
        </is>
      </c>
      <c r="H15" s="19" t="n">
        <v>5</v>
      </c>
      <c r="I15" s="19" t="n">
        <v>67</v>
      </c>
      <c r="J15" s="21" t="inlineStr">
        <is>
          <t>★★ Medium</t>
        </is>
      </c>
      <c r="K15" s="19" t="inlineStr">
        <is>
          <t>Theory</t>
        </is>
      </c>
      <c r="L15" s="22" t="inlineStr">
        <is>
          <t>✔ Solved</t>
        </is>
      </c>
      <c r="M15" s="20" t="inlineStr">
        <is>
          <t>2019-20 1(a); 2016-17 5(a); 2012-13 2(a); 2011-12 1(b)</t>
        </is>
      </c>
      <c r="N15" s="23" t="b">
        <v>0</v>
      </c>
      <c r="O15" s="19" t="n"/>
      <c r="P15" s="19" t="n"/>
      <c r="Q15" s="20" t="n"/>
    </row>
    <row r="16">
      <c r="A16" s="24" t="n">
        <v>13</v>
      </c>
      <c r="B16" s="24" t="inlineStr">
        <is>
          <t>2022-23</t>
        </is>
      </c>
      <c r="C16" s="24" t="inlineStr">
        <is>
          <t>CSE 307</t>
        </is>
      </c>
      <c r="D16" s="24" t="inlineStr">
        <is>
          <t>3(a)</t>
        </is>
      </c>
      <c r="E16" s="6" t="inlineStr">
        <is>
          <t>HTMLPageDirector / HTMLPageBuilder — class diagram + code</t>
        </is>
      </c>
      <c r="F16" s="6" t="inlineStr">
        <is>
          <t>Builder, choosing a creational pattern — Lec 3, sl. 43–53</t>
        </is>
      </c>
      <c r="G16" s="24" t="inlineStr">
        <is>
          <t>L8</t>
        </is>
      </c>
      <c r="H16" s="24" t="n">
        <v>15</v>
      </c>
      <c r="I16" s="24" t="n">
        <v>8</v>
      </c>
      <c r="J16" s="25" t="inlineStr">
        <is>
          <t>★★★ High</t>
        </is>
      </c>
      <c r="K16" s="24" t="inlineStr">
        <is>
          <t>Design</t>
        </is>
      </c>
      <c r="L16" s="22" t="inlineStr">
        <is>
          <t>✔ Solved</t>
        </is>
      </c>
      <c r="M16" s="6" t="inlineStr">
        <is>
          <t>2018-19 3(b); 2017-18 6(a)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2021-22</t>
        </is>
      </c>
      <c r="C17" s="24" t="inlineStr">
        <is>
          <t>CSE 307</t>
        </is>
      </c>
      <c r="D17" s="24" t="inlineStr">
        <is>
          <t>1(a)</t>
        </is>
      </c>
      <c r="E17" s="6" t="inlineStr">
        <is>
          <t>Differentiate use cases of Factory Method, Abstract Factory, Builder and Bridge</t>
        </is>
      </c>
      <c r="F17" s="6" t="inlineStr">
        <is>
          <t>Builder, choosing a creational pattern — Lec 3, sl. 43–53</t>
        </is>
      </c>
      <c r="G17" s="24" t="inlineStr">
        <is>
          <t>L8</t>
        </is>
      </c>
      <c r="H17" s="24" t="n">
        <v>16</v>
      </c>
      <c r="I17" s="24" t="n">
        <v>13</v>
      </c>
      <c r="J17" s="25" t="inlineStr">
        <is>
          <t>★★★ High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—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2020-21</t>
        </is>
      </c>
      <c r="C18" s="24" t="inlineStr">
        <is>
          <t>CSE 307</t>
        </is>
      </c>
      <c r="D18" s="24" t="inlineStr">
        <is>
          <t>1(a)</t>
        </is>
      </c>
      <c r="E18" s="6" t="inlineStr">
        <is>
          <t>Burger shop: pizzas + extra cheese + drinks + appetizers + meals — construct the four orders with three different patterns, with prices</t>
        </is>
      </c>
      <c r="F18" s="6" t="inlineStr">
        <is>
          <t>Builder, choosing a creational pattern — Lec 3, sl. 43–53</t>
        </is>
      </c>
      <c r="G18" s="24" t="inlineStr">
        <is>
          <t>L8</t>
        </is>
      </c>
      <c r="H18" s="24" t="n">
        <v>28</v>
      </c>
      <c r="I18" s="24" t="n">
        <v>19</v>
      </c>
      <c r="J18" s="25" t="inlineStr">
        <is>
          <t>★★★ High</t>
        </is>
      </c>
      <c r="K18" s="24" t="inlineStr">
        <is>
          <t>Design</t>
        </is>
      </c>
      <c r="L18" s="22" t="inlineStr">
        <is>
          <t>✔ Solved</t>
        </is>
      </c>
      <c r="M18" s="6" t="inlineStr">
        <is>
          <t>2020-21 1(b)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2020-21</t>
        </is>
      </c>
      <c r="C19" s="24" t="inlineStr">
        <is>
          <t>CSE 307</t>
        </is>
      </c>
      <c r="D19" s="24" t="inlineStr">
        <is>
          <t>1(b)</t>
        </is>
      </c>
      <c r="E19" s="6" t="inlineStr">
        <is>
          <t>Advantages and disadvantages of the patterns used in 1(a)</t>
        </is>
      </c>
      <c r="F19" s="6" t="inlineStr">
        <is>
          <t>Builder, choosing a creational pattern — Lec 3, sl. 43–53</t>
        </is>
      </c>
      <c r="G19" s="24" t="inlineStr">
        <is>
          <t>L8</t>
        </is>
      </c>
      <c r="H19" s="24" t="n">
        <v>7</v>
      </c>
      <c r="I19" s="24" t="n">
        <v>19</v>
      </c>
      <c r="J19" s="25" t="inlineStr">
        <is>
          <t>★★★ High</t>
        </is>
      </c>
      <c r="K19" s="24" t="inlineStr">
        <is>
          <t>Theory</t>
        </is>
      </c>
      <c r="L19" s="22" t="inlineStr">
        <is>
          <t>✔ Solved</t>
        </is>
      </c>
      <c r="M19" s="6" t="inlineStr">
        <is>
          <t>2020-21 1(a)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2018-19</t>
        </is>
      </c>
      <c r="C20" s="24" t="inlineStr">
        <is>
          <t>CSE 307</t>
        </is>
      </c>
      <c r="D20" s="24" t="inlineStr">
        <is>
          <t>3(b)</t>
        </is>
      </c>
      <c r="E20" s="6" t="inlineStr">
        <is>
          <t>Forms built per user type (Builder) — class diagram + code</t>
        </is>
      </c>
      <c r="F20" s="6" t="inlineStr">
        <is>
          <t>Builder, choosing a creational pattern — Lec 3, sl. 43–53</t>
        </is>
      </c>
      <c r="G20" s="24" t="inlineStr">
        <is>
          <t>L8</t>
        </is>
      </c>
      <c r="H20" s="24" t="n">
        <v>20</v>
      </c>
      <c r="I20" s="24" t="n">
        <v>27</v>
      </c>
      <c r="J20" s="21" t="inlineStr">
        <is>
          <t>★★ Medium</t>
        </is>
      </c>
      <c r="K20" s="24" t="inlineStr">
        <is>
          <t>Design</t>
        </is>
      </c>
      <c r="L20" s="22" t="inlineStr">
        <is>
          <t>✔ Solved</t>
        </is>
      </c>
      <c r="M20" s="6" t="inlineStr">
        <is>
          <t>2022-23 3(a); 2017-18 6(a)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2017-18</t>
        </is>
      </c>
      <c r="C21" s="24" t="inlineStr">
        <is>
          <t>CSE 307</t>
        </is>
      </c>
      <c r="D21" s="24" t="inlineStr">
        <is>
          <t>6(a)</t>
        </is>
      </c>
      <c r="E21" s="6" t="inlineStr">
        <is>
          <t>Lalbagh set meals (rice + curries / bread + kebabs, optional drinks, bill) — class diagram + code</t>
        </is>
      </c>
      <c r="F21" s="6" t="inlineStr">
        <is>
          <t>Builder, choosing a creational pattern — Lec 3, sl. 43–53</t>
        </is>
      </c>
      <c r="G21" s="24" t="inlineStr">
        <is>
          <t>L8</t>
        </is>
      </c>
      <c r="H21" s="24" t="n">
        <v>22</v>
      </c>
      <c r="I21" s="24" t="n">
        <v>33</v>
      </c>
      <c r="J21" s="21" t="inlineStr">
        <is>
          <t>★★ Medium</t>
        </is>
      </c>
      <c r="K21" s="24" t="inlineStr">
        <is>
          <t>Design</t>
        </is>
      </c>
      <c r="L21" s="22" t="inlineStr">
        <is>
          <t>✔ Solved</t>
        </is>
      </c>
      <c r="M21" s="6" t="inlineStr">
        <is>
          <t>2022-23 3(a); 2018-19 3(b)</t>
        </is>
      </c>
      <c r="N21" s="23" t="b">
        <v>0</v>
      </c>
      <c r="O21" s="24" t="n"/>
      <c r="P21" s="24" t="n"/>
      <c r="Q21" s="6" t="n"/>
    </row>
  </sheetData>
  <autoFilter ref="A3:Q21"/>
  <conditionalFormatting sqref="A4:Q21">
    <cfRule type="expression" priority="1" dxfId="0">
      <formula>$N4=TRUE</formula>
    </cfRule>
  </conditionalFormatting>
  <conditionalFormatting sqref="O4:O2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1" showDropDown="0" showInputMessage="0" showErrorMessage="0" allowBlank="1" type="list">
      <formula1>"TRUE,FALSE"</formula1>
    </dataValidation>
    <dataValidation sqref="O4:O2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4–6 — Class Diagrams &amp; ERD to Class</t>
        </is>
      </c>
    </row>
    <row r="2">
      <c r="A2" s="2" t="inlineStr">
        <is>
          <t>Note file: CSE213_Anindya_Class_Diagrams_Notes.docx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2014-15</t>
        </is>
      </c>
      <c r="C4" s="19" t="inlineStr">
        <is>
          <t>CSE 307</t>
        </is>
      </c>
      <c r="D4" s="19" t="inlineStr">
        <is>
          <t>8(a)</t>
        </is>
      </c>
      <c r="E4" s="20" t="inlineStr">
        <is>
          <t>Types of classes in a class diagram</t>
        </is>
      </c>
      <c r="F4" s="20" t="inlineStr">
        <is>
          <t>Class notation, kinds of classes — Lec 5, sl. 1–5</t>
        </is>
      </c>
      <c r="G4" s="19" t="inlineStr">
        <is>
          <t>L9</t>
        </is>
      </c>
      <c r="H4" s="19" t="n">
        <v>12.67</v>
      </c>
      <c r="I4" s="19" t="n">
        <v>44</v>
      </c>
      <c r="J4" s="22" t="inlineStr">
        <is>
          <t>★ Low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2018-19</t>
        </is>
      </c>
      <c r="C5" s="24" t="inlineStr">
        <is>
          <t>CSE 307</t>
        </is>
      </c>
      <c r="D5" s="24" t="inlineStr">
        <is>
          <t>4(c)</t>
        </is>
      </c>
      <c r="E5" s="6" t="inlineStr">
        <is>
          <t>Aggregation and composition — video rental store</t>
        </is>
      </c>
      <c r="F5" s="6" t="inlineStr">
        <is>
          <t>Relationships, aggregation vs composition — Lec 5, sl. 6–14</t>
        </is>
      </c>
      <c r="G5" s="24" t="inlineStr">
        <is>
          <t>L10</t>
        </is>
      </c>
      <c r="H5" s="24" t="n">
        <v>8</v>
      </c>
      <c r="I5" s="24" t="n">
        <v>27</v>
      </c>
      <c r="J5" s="21" t="inlineStr">
        <is>
          <t>★★ Medium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2017-18 8(c)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2017-18</t>
        </is>
      </c>
      <c r="C6" s="24" t="inlineStr">
        <is>
          <t>CSE 307</t>
        </is>
      </c>
      <c r="D6" s="24" t="inlineStr">
        <is>
          <t>8(c)</t>
        </is>
      </c>
      <c r="E6" s="6" t="inlineStr">
        <is>
          <t>Aggregation and composition example diagrams</t>
        </is>
      </c>
      <c r="F6" s="6" t="inlineStr">
        <is>
          <t>Relationships, aggregation vs composition — Lec 5, sl. 6–14</t>
        </is>
      </c>
      <c r="G6" s="24" t="inlineStr">
        <is>
          <t>L10</t>
        </is>
      </c>
      <c r="H6" s="24" t="n">
        <v>6</v>
      </c>
      <c r="I6" s="24" t="n">
        <v>34</v>
      </c>
      <c r="J6" s="21" t="inlineStr">
        <is>
          <t>★★ Medium</t>
        </is>
      </c>
      <c r="K6" s="24" t="inlineStr">
        <is>
          <t>Design</t>
        </is>
      </c>
      <c r="L6" s="22" t="inlineStr">
        <is>
          <t>✔ Solved</t>
        </is>
      </c>
      <c r="M6" s="6" t="inlineStr">
        <is>
          <t>2018-19 4(c)</t>
        </is>
      </c>
      <c r="N6" s="23" t="b">
        <v>0</v>
      </c>
      <c r="O6" s="24" t="n"/>
      <c r="P6" s="24" t="n"/>
      <c r="Q6" s="6" t="n"/>
    </row>
    <row r="7">
      <c r="A7" s="19" t="n">
        <v>4</v>
      </c>
      <c r="B7" s="19" t="inlineStr">
        <is>
          <t>2022-23</t>
        </is>
      </c>
      <c r="C7" s="19" t="inlineStr">
        <is>
          <t>CSE 307</t>
        </is>
      </c>
      <c r="D7" s="19" t="inlineStr">
        <is>
          <t>4(b)</t>
        </is>
      </c>
      <c r="E7" s="20" t="inlineStr">
        <is>
          <t>Accounting software: Account / Debtor / Creditor / child &amp; leaf accounts / 2-step authorisation — class diagram</t>
        </is>
      </c>
      <c r="F7" s="20" t="inlineStr">
        <is>
          <t>Scenario class diagrams — Lec 5, sl. 15–24</t>
        </is>
      </c>
      <c r="G7" s="19" t="inlineStr">
        <is>
          <t>L11</t>
        </is>
      </c>
      <c r="H7" s="19" t="n">
        <v>12</v>
      </c>
      <c r="I7" s="19" t="n">
        <v>9</v>
      </c>
      <c r="J7" s="25" t="inlineStr">
        <is>
          <t>★★★ High</t>
        </is>
      </c>
      <c r="K7" s="19" t="inlineStr">
        <is>
          <t>Design</t>
        </is>
      </c>
      <c r="L7" s="22" t="inlineStr">
        <is>
          <t>✔ Solved</t>
        </is>
      </c>
      <c r="M7" s="20" t="inlineStr">
        <is>
          <t>2021-22 2(b); 2020-21 5(a); 2019-20 5(a); 2018-19 1(a); 2017-18 5(a); 2014-15 8(b)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2021-22</t>
        </is>
      </c>
      <c r="C8" s="19" t="inlineStr">
        <is>
          <t>CSE 307</t>
        </is>
      </c>
      <c r="D8" s="19" t="inlineStr">
        <is>
          <t>2(b)</t>
        </is>
      </c>
      <c r="E8" s="20" t="inlineStr">
        <is>
          <t>University: departments, faculties, head, courses, students — class diagram</t>
        </is>
      </c>
      <c r="F8" s="20" t="inlineStr">
        <is>
          <t>Scenario class diagrams — Lec 5, sl. 15–24</t>
        </is>
      </c>
      <c r="G8" s="19" t="inlineStr">
        <is>
          <t>L11</t>
        </is>
      </c>
      <c r="H8" s="19" t="n">
        <v>10</v>
      </c>
      <c r="I8" s="19" t="n">
        <v>15</v>
      </c>
      <c r="J8" s="25" t="inlineStr">
        <is>
          <t>★★★ High</t>
        </is>
      </c>
      <c r="K8" s="19" t="inlineStr">
        <is>
          <t>Design</t>
        </is>
      </c>
      <c r="L8" s="22" t="inlineStr">
        <is>
          <t>✔ Solved</t>
        </is>
      </c>
      <c r="M8" s="20" t="inlineStr">
        <is>
          <t>2022-23 4(b); 2020-21 5(a); 2019-20 5(a); 2018-19 1(a); 2017-18 5(a); 2014-15 8(b)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2020-21</t>
        </is>
      </c>
      <c r="C9" s="19" t="inlineStr">
        <is>
          <t>CSE 307</t>
        </is>
      </c>
      <c r="D9" s="19" t="inlineStr">
        <is>
          <t>5(a)</t>
        </is>
      </c>
      <c r="E9" s="20" t="inlineStr">
        <is>
          <t>Media agency newspaper advertisements — class diagram</t>
        </is>
      </c>
      <c r="F9" s="20" t="inlineStr">
        <is>
          <t>Scenario class diagrams — Lec 5, sl. 15–24</t>
        </is>
      </c>
      <c r="G9" s="19" t="inlineStr">
        <is>
          <t>L11</t>
        </is>
      </c>
      <c r="H9" s="19" t="n">
        <v>16</v>
      </c>
      <c r="I9" s="19" t="n">
        <v>21</v>
      </c>
      <c r="J9" s="25" t="inlineStr">
        <is>
          <t>★★★ High</t>
        </is>
      </c>
      <c r="K9" s="19" t="inlineStr">
        <is>
          <t>Design</t>
        </is>
      </c>
      <c r="L9" s="22" t="inlineStr">
        <is>
          <t>✔ Solved</t>
        </is>
      </c>
      <c r="M9" s="20" t="inlineStr">
        <is>
          <t>2022-23 4(b); 2021-22 2(b); 2019-20 5(a); 2018-19 1(a); 2017-18 5(a); 2014-15 8(b)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2019-20</t>
        </is>
      </c>
      <c r="C10" s="19" t="inlineStr">
        <is>
          <t>CSE 307</t>
        </is>
      </c>
      <c r="D10" s="19" t="inlineStr">
        <is>
          <t>5(a)</t>
        </is>
      </c>
      <c r="E10" s="20" t="inlineStr">
        <is>
          <t>Hospital wards, teams, consultant / junior doctors, patients — class diagram</t>
        </is>
      </c>
      <c r="F10" s="20" t="inlineStr">
        <is>
          <t>Scenario class diagrams — Lec 5, sl. 15–24</t>
        </is>
      </c>
      <c r="G10" s="19" t="inlineStr">
        <is>
          <t>L11</t>
        </is>
      </c>
      <c r="H10" s="19" t="n">
        <v>20</v>
      </c>
      <c r="I10" s="19" t="n">
        <v>24</v>
      </c>
      <c r="J10" s="25" t="inlineStr">
        <is>
          <t>★★★ High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2022-23 4(b); 2021-22 2(b); 2020-21 5(a); 2018-19 1(a); 2017-18 5(a); 2014-15 8(b)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2018-19</t>
        </is>
      </c>
      <c r="C11" s="19" t="inlineStr">
        <is>
          <t>CSE 307</t>
        </is>
      </c>
      <c r="D11" s="19" t="inlineStr">
        <is>
          <t>1(a)</t>
        </is>
      </c>
      <c r="E11" s="20" t="inlineStr">
        <is>
          <t>Bangladesh Shipping Management (shipped items, transportation events) — class diagram</t>
        </is>
      </c>
      <c r="F11" s="20" t="inlineStr">
        <is>
          <t>Scenario class diagrams — Lec 5, sl. 15–24</t>
        </is>
      </c>
      <c r="G11" s="19" t="inlineStr">
        <is>
          <t>L11</t>
        </is>
      </c>
      <c r="H11" s="19" t="n">
        <v>14</v>
      </c>
      <c r="I11" s="19" t="n">
        <v>26</v>
      </c>
      <c r="J11" s="21" t="inlineStr">
        <is>
          <t>★★ Medium</t>
        </is>
      </c>
      <c r="K11" s="19" t="inlineStr">
        <is>
          <t>Design</t>
        </is>
      </c>
      <c r="L11" s="26" t="inlineStr">
        <is>
          <t>◐ Method</t>
        </is>
      </c>
      <c r="M11" s="20" t="inlineStr">
        <is>
          <t>2022-23 4(b); 2021-22 2(b); 2020-21 5(a); 2019-20 5(a); 2017-18 5(a); 2014-15 8(b)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2017-18</t>
        </is>
      </c>
      <c r="C12" s="19" t="inlineStr">
        <is>
          <t>CSE 307</t>
        </is>
      </c>
      <c r="D12" s="19" t="inlineStr">
        <is>
          <t>5(a)</t>
        </is>
      </c>
      <c r="E12" s="20" t="inlineStr">
        <is>
          <t>Hospital wards / teams — class diagram</t>
        </is>
      </c>
      <c r="F12" s="20" t="inlineStr">
        <is>
          <t>Scenario class diagrams — Lec 5, sl. 15–24</t>
        </is>
      </c>
      <c r="G12" s="19" t="inlineStr">
        <is>
          <t>L11</t>
        </is>
      </c>
      <c r="H12" s="19" t="n">
        <v>14</v>
      </c>
      <c r="I12" s="19" t="n">
        <v>32</v>
      </c>
      <c r="J12" s="21" t="inlineStr">
        <is>
          <t>★★ Medium</t>
        </is>
      </c>
      <c r="K12" s="19" t="inlineStr">
        <is>
          <t>Design</t>
        </is>
      </c>
      <c r="L12" s="22" t="inlineStr">
        <is>
          <t>✔ Solved</t>
        </is>
      </c>
      <c r="M12" s="20" t="inlineStr">
        <is>
          <t>2022-23 4(b); 2021-22 2(b); 2020-21 5(a); 2019-20 5(a); 2018-19 1(a); 2014-15 8(b)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2014-15</t>
        </is>
      </c>
      <c r="C13" s="19" t="inlineStr">
        <is>
          <t>CSE 307</t>
        </is>
      </c>
      <c r="D13" s="19" t="inlineStr">
        <is>
          <t>8(b)</t>
        </is>
      </c>
      <c r="E13" s="20" t="inlineStr">
        <is>
          <t>Music-CD lending database — class and sequence diagrams</t>
        </is>
      </c>
      <c r="F13" s="20" t="inlineStr">
        <is>
          <t>Scenario class diagrams — Lec 5, sl. 15–24</t>
        </is>
      </c>
      <c r="G13" s="19" t="inlineStr">
        <is>
          <t>L11</t>
        </is>
      </c>
      <c r="H13" s="19" t="n">
        <v>22</v>
      </c>
      <c r="I13" s="19" t="n">
        <v>44</v>
      </c>
      <c r="J13" s="21" t="inlineStr">
        <is>
          <t>★★ Medium</t>
        </is>
      </c>
      <c r="K13" s="19" t="inlineStr">
        <is>
          <t>Design</t>
        </is>
      </c>
      <c r="L13" s="22" t="inlineStr">
        <is>
          <t>✔ Solved</t>
        </is>
      </c>
      <c r="M13" s="20" t="inlineStr">
        <is>
          <t>2022-23 4(b); 2021-22 2(b); 2020-21 5(a); 2019-20 5(a); 2018-19 1(a); 2017-18 5(a)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2013-14</t>
        </is>
      </c>
      <c r="C14" s="19" t="inlineStr">
        <is>
          <t>CSE 307</t>
        </is>
      </c>
      <c r="D14" s="19" t="inlineStr">
        <is>
          <t>7(a)</t>
        </is>
      </c>
      <c r="E14" s="20" t="inlineStr">
        <is>
          <t>CSE 308 teams / assignments / midterm — class diagram</t>
        </is>
      </c>
      <c r="F14" s="20" t="inlineStr">
        <is>
          <t>Scenario class diagrams — Lec 5, sl. 15–24</t>
        </is>
      </c>
      <c r="G14" s="19" t="inlineStr">
        <is>
          <t>L11</t>
        </is>
      </c>
      <c r="H14" s="19" t="n">
        <v>20</v>
      </c>
      <c r="I14" s="19" t="n">
        <v>48</v>
      </c>
      <c r="J14" s="21" t="inlineStr">
        <is>
          <t>★★ Medium</t>
        </is>
      </c>
      <c r="K14" s="19" t="inlineStr">
        <is>
          <t>Design</t>
        </is>
      </c>
      <c r="L14" s="22" t="inlineStr">
        <is>
          <t>✔ Solved</t>
        </is>
      </c>
      <c r="M14" s="20" t="inlineStr">
        <is>
          <t>2022-23 4(b); 2021-22 2(b); 2020-21 5(a); 2019-20 5(a); 2018-19 1(a); 2017-18 5(a)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2012-13</t>
        </is>
      </c>
      <c r="C15" s="19" t="inlineStr">
        <is>
          <t>CSE 307</t>
        </is>
      </c>
      <c r="D15" s="19" t="inlineStr">
        <is>
          <t>7(c)</t>
        </is>
      </c>
      <c r="E15" s="20" t="inlineStr">
        <is>
          <t>Library: librarians in shifts, copies, authors, publishers — class diagram</t>
        </is>
      </c>
      <c r="F15" s="20" t="inlineStr">
        <is>
          <t>Scenario class diagrams — Lec 5, sl. 15–24</t>
        </is>
      </c>
      <c r="G15" s="19" t="inlineStr">
        <is>
          <t>L11</t>
        </is>
      </c>
      <c r="H15" s="19" t="n">
        <v>12</v>
      </c>
      <c r="I15" s="19" t="n">
        <v>55</v>
      </c>
      <c r="J15" s="21" t="inlineStr">
        <is>
          <t>★★ Medium</t>
        </is>
      </c>
      <c r="K15" s="19" t="inlineStr">
        <is>
          <t>Design</t>
        </is>
      </c>
      <c r="L15" s="22" t="inlineStr">
        <is>
          <t>✔ Solved</t>
        </is>
      </c>
      <c r="M15" s="20" t="inlineStr">
        <is>
          <t>2022-23 4(b); 2021-22 2(b); 2020-21 5(a); 2019-20 5(a); 2018-19 1(a); 2017-18 5(a)</t>
        </is>
      </c>
      <c r="N15" s="23" t="b">
        <v>0</v>
      </c>
      <c r="O15" s="19" t="n"/>
      <c r="P15" s="19" t="n"/>
      <c r="Q15" s="20" t="n"/>
    </row>
    <row r="16">
      <c r="A16" s="24" t="n">
        <v>13</v>
      </c>
      <c r="B16" s="24" t="inlineStr">
        <is>
          <t>2012-13</t>
        </is>
      </c>
      <c r="C16" s="24" t="inlineStr">
        <is>
          <t>CSE 307</t>
        </is>
      </c>
      <c r="D16" s="24" t="inlineStr">
        <is>
          <t>8(b)</t>
        </is>
      </c>
      <c r="E16" s="6" t="inlineStr">
        <is>
          <t>CRC: meaning and two benefits</t>
        </is>
      </c>
      <c r="F16" s="6" t="inlineStr">
        <is>
          <t>ERD to class, CRC — Lec 6, sl. 1–10</t>
        </is>
      </c>
      <c r="G16" s="24" t="inlineStr">
        <is>
          <t>L12</t>
        </is>
      </c>
      <c r="H16" s="24" t="n">
        <v>5</v>
      </c>
      <c r="I16" s="24" t="n">
        <v>56</v>
      </c>
      <c r="J16" s="21" t="inlineStr">
        <is>
          <t>★★ Medium</t>
        </is>
      </c>
      <c r="K16" s="24" t="inlineStr">
        <is>
          <t>Theory</t>
        </is>
      </c>
      <c r="L16" s="22" t="inlineStr">
        <is>
          <t>✔ Solved</t>
        </is>
      </c>
      <c r="M16" s="6" t="inlineStr">
        <is>
          <t>2011-12 2(d)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2011-12</t>
        </is>
      </c>
      <c r="C17" s="24" t="inlineStr">
        <is>
          <t>CSE 307</t>
        </is>
      </c>
      <c r="D17" s="24" t="inlineStr">
        <is>
          <t>2(d)</t>
        </is>
      </c>
      <c r="E17" s="6" t="inlineStr">
        <is>
          <t>CRC card and its usage</t>
        </is>
      </c>
      <c r="F17" s="6" t="inlineStr">
        <is>
          <t>ERD to class, CRC — Lec 6, sl. 1–10</t>
        </is>
      </c>
      <c r="G17" s="24" t="inlineStr">
        <is>
          <t>L12</t>
        </is>
      </c>
      <c r="H17" s="24" t="n">
        <v>10</v>
      </c>
      <c r="I17" s="24" t="n">
        <v>57</v>
      </c>
      <c r="J17" s="21" t="inlineStr">
        <is>
          <t>★★ Medium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2012-13 8(b)</t>
        </is>
      </c>
      <c r="N17" s="23" t="b">
        <v>0</v>
      </c>
      <c r="O17" s="24" t="n"/>
      <c r="P17" s="24" t="n"/>
      <c r="Q17" s="6" t="n"/>
    </row>
  </sheetData>
  <autoFilter ref="A3:Q17"/>
  <conditionalFormatting sqref="A4:Q17">
    <cfRule type="expression" priority="1" dxfId="0">
      <formula>$N4=TRUE</formula>
    </cfRule>
  </conditionalFormatting>
  <conditionalFormatting sqref="O4:O1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7" showDropDown="0" showInputMessage="0" showErrorMessage="0" allowBlank="1" type="list">
      <formula1>"TRUE,FALSE"</formula1>
    </dataValidation>
    <dataValidation sqref="O4:O1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7 — State Diagrams</t>
        </is>
      </c>
    </row>
    <row r="2">
      <c r="A2" s="2" t="inlineStr">
        <is>
          <t>Note file: CSE213_Anindya_State_Diagrams_Notes.docx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2011-12</t>
        </is>
      </c>
      <c r="C4" s="19" t="inlineStr">
        <is>
          <t>CSE 307</t>
        </is>
      </c>
      <c r="D4" s="19" t="inlineStr">
        <is>
          <t>3(a)</t>
        </is>
      </c>
      <c r="E4" s="20" t="inlineStr">
        <is>
          <t>Types of events in a statechart</t>
        </is>
      </c>
      <c r="F4" s="20" t="inlineStr">
        <is>
          <t>States, events, transitions — Lec 7, sl. 1–11</t>
        </is>
      </c>
      <c r="G4" s="19" t="inlineStr">
        <is>
          <t>L13</t>
        </is>
      </c>
      <c r="H4" s="19" t="n">
        <v>8</v>
      </c>
      <c r="I4" s="19" t="n">
        <v>58</v>
      </c>
      <c r="J4" s="22" t="inlineStr">
        <is>
          <t>★ Low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2012-13</t>
        </is>
      </c>
      <c r="C5" s="24" t="inlineStr">
        <is>
          <t>CSE 307</t>
        </is>
      </c>
      <c r="D5" s="24" t="inlineStr">
        <is>
          <t>7(a)</t>
        </is>
      </c>
      <c r="E5" s="6" t="inlineStr">
        <is>
          <t>Passing a graduate course — concurrent state diagram</t>
        </is>
      </c>
      <c r="F5" s="6" t="inlineStr">
        <is>
          <t>Nested &amp; concurrent states — Lec 7, sl. 12–24</t>
        </is>
      </c>
      <c r="G5" s="24" t="inlineStr">
        <is>
          <t>L14</t>
        </is>
      </c>
      <c r="H5" s="24" t="n">
        <v>15</v>
      </c>
      <c r="I5" s="24" t="n">
        <v>55</v>
      </c>
      <c r="J5" s="21" t="inlineStr">
        <is>
          <t>★★ Medium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2016-17 2(d); 2011-12 3(b); 2010-11 2(b)</t>
        </is>
      </c>
      <c r="N5" s="23" t="b">
        <v>0</v>
      </c>
      <c r="O5" s="24" t="n"/>
      <c r="P5" s="24" t="n"/>
      <c r="Q5" s="6" t="n"/>
    </row>
    <row r="6">
      <c r="A6" s="19" t="n">
        <v>3</v>
      </c>
      <c r="B6" s="19" t="inlineStr">
        <is>
          <t>2016-17</t>
        </is>
      </c>
      <c r="C6" s="19" t="inlineStr">
        <is>
          <t>CSE 307</t>
        </is>
      </c>
      <c r="D6" s="19" t="inlineStr">
        <is>
          <t>2(d)</t>
        </is>
      </c>
      <c r="E6" s="20" t="inlineStr">
        <is>
          <t>Entity classes; statechart of the most important entity class</t>
        </is>
      </c>
      <c r="F6" s="20" t="inlineStr">
        <is>
          <t>Worked statecharts — Lec 7, sl. 25–29</t>
        </is>
      </c>
      <c r="G6" s="19" t="inlineStr">
        <is>
          <t>L15</t>
        </is>
      </c>
      <c r="H6" s="19" t="n">
        <v>13</v>
      </c>
      <c r="I6" s="19" t="inlineStr">
        <is>
          <t>35–36</t>
        </is>
      </c>
      <c r="J6" s="21" t="inlineStr">
        <is>
          <t>★★ Medium</t>
        </is>
      </c>
      <c r="K6" s="19" t="inlineStr">
        <is>
          <t>Design</t>
        </is>
      </c>
      <c r="L6" s="22" t="inlineStr">
        <is>
          <t>✔ Solved</t>
        </is>
      </c>
      <c r="M6" s="20" t="inlineStr">
        <is>
          <t>2012-13 7(a); 2011-12 3(b); 2010-11 2(b)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2011-12</t>
        </is>
      </c>
      <c r="C7" s="19" t="inlineStr">
        <is>
          <t>CSE 307</t>
        </is>
      </c>
      <c r="D7" s="19" t="inlineStr">
        <is>
          <t>3(b)</t>
        </is>
      </c>
      <c r="E7" s="20" t="inlineStr">
        <is>
          <t>Insurance customer (defaulter, cancelled, claim) — statechart</t>
        </is>
      </c>
      <c r="F7" s="20" t="inlineStr">
        <is>
          <t>Worked statecharts — Lec 7, sl. 25–29</t>
        </is>
      </c>
      <c r="G7" s="19" t="inlineStr">
        <is>
          <t>L15</t>
        </is>
      </c>
      <c r="H7" s="19" t="n">
        <v>14.67</v>
      </c>
      <c r="I7" s="19" t="n">
        <v>58</v>
      </c>
      <c r="J7" s="21" t="inlineStr">
        <is>
          <t>★★ Medium</t>
        </is>
      </c>
      <c r="K7" s="19" t="inlineStr">
        <is>
          <t>Design</t>
        </is>
      </c>
      <c r="L7" s="22" t="inlineStr">
        <is>
          <t>✔ Solved</t>
        </is>
      </c>
      <c r="M7" s="20" t="inlineStr">
        <is>
          <t>2016-17 2(d); 2012-13 7(a); 2010-11 2(b)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2010-11</t>
        </is>
      </c>
      <c r="C8" s="19" t="inlineStr">
        <is>
          <t>CSE 307</t>
        </is>
      </c>
      <c r="D8" s="19" t="inlineStr">
        <is>
          <t>2(b)</t>
        </is>
      </c>
      <c r="E8" s="20" t="inlineStr">
        <is>
          <t>Lifetime of a video tape in a video store — statechart</t>
        </is>
      </c>
      <c r="F8" s="20" t="inlineStr">
        <is>
          <t>Worked statecharts — Lec 7, sl. 25–29</t>
        </is>
      </c>
      <c r="G8" s="19" t="inlineStr">
        <is>
          <t>L15</t>
        </is>
      </c>
      <c r="H8" s="19" t="n">
        <v>12.67</v>
      </c>
      <c r="I8" s="19" t="n">
        <v>65</v>
      </c>
      <c r="J8" s="21" t="inlineStr">
        <is>
          <t>★★ Medium</t>
        </is>
      </c>
      <c r="K8" s="19" t="inlineStr">
        <is>
          <t>Design</t>
        </is>
      </c>
      <c r="L8" s="22" t="inlineStr">
        <is>
          <t>✔ Solved</t>
        </is>
      </c>
      <c r="M8" s="20" t="inlineStr">
        <is>
          <t>2016-17 2(d); 2012-13 7(a); 2011-12 3(b)</t>
        </is>
      </c>
      <c r="N8" s="23" t="b">
        <v>0</v>
      </c>
      <c r="O8" s="19" t="n"/>
      <c r="P8" s="19" t="n"/>
      <c r="Q8" s="20" t="n"/>
    </row>
  </sheetData>
  <autoFilter ref="A3:Q8"/>
  <conditionalFormatting sqref="A4:Q8">
    <cfRule type="expression" priority="1" dxfId="0">
      <formula>$N4=TRUE</formula>
    </cfRule>
  </conditionalFormatting>
  <conditionalFormatting sqref="O4:O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8" showDropDown="0" showInputMessage="0" showErrorMessage="0" allowBlank="1" type="list">
      <formula1>"TRUE,FALSE"</formula1>
    </dataValidation>
    <dataValidation sqref="O4:O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8–10 — Sequence &amp; Collaboration</t>
        </is>
      </c>
    </row>
    <row r="2">
      <c r="A2" s="2" t="inlineStr">
        <is>
          <t>Note file: CSE213_Anindya_Interaction_Diagrams_Notes.docx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2011-12</t>
        </is>
      </c>
      <c r="C4" s="19" t="inlineStr">
        <is>
          <t>CSE 307</t>
        </is>
      </c>
      <c r="D4" s="19" t="inlineStr">
        <is>
          <t>2(c)</t>
        </is>
      </c>
      <c r="E4" s="20" t="inlineStr">
        <is>
          <t>Types of messages in a sequence diagram</t>
        </is>
      </c>
      <c r="F4" s="20" t="inlineStr">
        <is>
          <t>Sequence diagram notation — Lec 8, sl. 1–10</t>
        </is>
      </c>
      <c r="G4" s="19" t="inlineStr">
        <is>
          <t>L16</t>
        </is>
      </c>
      <c r="H4" s="19" t="n">
        <v>12</v>
      </c>
      <c r="I4" s="19" t="n">
        <v>57</v>
      </c>
      <c r="J4" s="21" t="inlineStr">
        <is>
          <t>★★ Medium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2016-17 2(c); 2013-14 7(b); 2010-11 2(a)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2016-17</t>
        </is>
      </c>
      <c r="C5" s="24" t="inlineStr">
        <is>
          <t>CSE 307</t>
        </is>
      </c>
      <c r="D5" s="24" t="inlineStr">
        <is>
          <t>2(c)</t>
        </is>
      </c>
      <c r="E5" s="6" t="inlineStr">
        <is>
          <t>Sequence diagram for 'Withdraw money'</t>
        </is>
      </c>
      <c r="F5" s="6" t="inlineStr">
        <is>
          <t>Use case → sequence diagram — Lec 9, sl. 1–5</t>
        </is>
      </c>
      <c r="G5" s="24" t="inlineStr">
        <is>
          <t>L17</t>
        </is>
      </c>
      <c r="H5" s="24" t="n">
        <v>13</v>
      </c>
      <c r="I5" s="24" t="inlineStr">
        <is>
          <t>35–36</t>
        </is>
      </c>
      <c r="J5" s="21" t="inlineStr">
        <is>
          <t>★★ Medium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2013-14 7(b); 2011-12 2(c); 2010-11 2(a)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2013-14</t>
        </is>
      </c>
      <c r="C6" s="24" t="inlineStr">
        <is>
          <t>CSE 307</t>
        </is>
      </c>
      <c r="D6" s="24" t="inlineStr">
        <is>
          <t>7(b)</t>
        </is>
      </c>
      <c r="E6" s="6" t="inlineStr">
        <is>
          <t>MRI centre referral — sequence diagram</t>
        </is>
      </c>
      <c r="F6" s="6" t="inlineStr">
        <is>
          <t>Use case → sequence diagram — Lec 9, sl. 1–5</t>
        </is>
      </c>
      <c r="G6" s="24" t="inlineStr">
        <is>
          <t>L17</t>
        </is>
      </c>
      <c r="H6" s="24" t="n">
        <v>16.67</v>
      </c>
      <c r="I6" s="24" t="n">
        <v>48</v>
      </c>
      <c r="J6" s="21" t="inlineStr">
        <is>
          <t>★★ Medium</t>
        </is>
      </c>
      <c r="K6" s="24" t="inlineStr">
        <is>
          <t>Design</t>
        </is>
      </c>
      <c r="L6" s="22" t="inlineStr">
        <is>
          <t>✔ Solved</t>
        </is>
      </c>
      <c r="M6" s="6" t="inlineStr">
        <is>
          <t>2016-17 2(c); 2011-12 2(c); 2010-11 2(a)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2010-11</t>
        </is>
      </c>
      <c r="C7" s="24" t="inlineStr">
        <is>
          <t>CSE 307</t>
        </is>
      </c>
      <c r="D7" s="24" t="inlineStr">
        <is>
          <t>2(a)</t>
        </is>
      </c>
      <c r="E7" s="6" t="inlineStr">
        <is>
          <t>chapters.com book purchase — sequence diagram</t>
        </is>
      </c>
      <c r="F7" s="6" t="inlineStr">
        <is>
          <t>Use case → sequence diagram — Lec 9, sl. 1–5</t>
        </is>
      </c>
      <c r="G7" s="24" t="inlineStr">
        <is>
          <t>L17</t>
        </is>
      </c>
      <c r="H7" s="24" t="n">
        <v>12</v>
      </c>
      <c r="I7" s="24" t="n">
        <v>65</v>
      </c>
      <c r="J7" s="21" t="inlineStr">
        <is>
          <t>★★ Medium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2016-17 2(c); 2013-14 7(b); 2011-12 2(c)</t>
        </is>
      </c>
      <c r="N7" s="23" t="b">
        <v>0</v>
      </c>
      <c r="O7" s="24" t="n"/>
      <c r="P7" s="24" t="n"/>
      <c r="Q7" s="6" t="n"/>
    </row>
    <row r="8">
      <c r="A8" s="19" t="n">
        <v>5</v>
      </c>
      <c r="B8" s="19" t="inlineStr">
        <is>
          <t>2014-15</t>
        </is>
      </c>
      <c r="C8" s="19" t="inlineStr">
        <is>
          <t>CSE 307</t>
        </is>
      </c>
      <c r="D8" s="19" t="inlineStr">
        <is>
          <t>7(c)</t>
        </is>
      </c>
      <c r="E8" s="20" t="inlineStr">
        <is>
          <t>Two types of interaction diagrams with example</t>
        </is>
      </c>
      <c r="F8" s="20" t="inlineStr">
        <is>
          <t>Collaboration diagrams — Lec 9 sl. 6–8, Lec 10</t>
        </is>
      </c>
      <c r="G8" s="19" t="inlineStr">
        <is>
          <t>L18</t>
        </is>
      </c>
      <c r="H8" s="19" t="n">
        <v>9.67</v>
      </c>
      <c r="I8" s="19" t="n">
        <v>43</v>
      </c>
      <c r="J8" s="21" t="inlineStr">
        <is>
          <t>★★ Medium</t>
        </is>
      </c>
      <c r="K8" s="19" t="inlineStr">
        <is>
          <t>Theory</t>
        </is>
      </c>
      <c r="L8" s="22" t="inlineStr">
        <is>
          <t>✔ Solved</t>
        </is>
      </c>
      <c r="M8" s="20" t="inlineStr">
        <is>
          <t>2012-13 5(c); 2012-13 6(a); 2010-11 1(a)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2012-13</t>
        </is>
      </c>
      <c r="C9" s="19" t="inlineStr">
        <is>
          <t>CSE 307</t>
        </is>
      </c>
      <c r="D9" s="19" t="inlineStr">
        <is>
          <t>5(c)</t>
        </is>
      </c>
      <c r="E9" s="20" t="inlineStr">
        <is>
          <t>Word processor / print spooler / printer — collaboration diagram + activity diagram of print file</t>
        </is>
      </c>
      <c r="F9" s="20" t="inlineStr">
        <is>
          <t>Collaboration diagrams — Lec 9 sl. 6–8, Lec 10</t>
        </is>
      </c>
      <c r="G9" s="19" t="inlineStr">
        <is>
          <t>L18</t>
        </is>
      </c>
      <c r="H9" s="19" t="n">
        <v>9</v>
      </c>
      <c r="I9" s="19" t="n">
        <v>54</v>
      </c>
      <c r="J9" s="21" t="inlineStr">
        <is>
          <t>★★ Medium</t>
        </is>
      </c>
      <c r="K9" s="19" t="inlineStr">
        <is>
          <t>Design</t>
        </is>
      </c>
      <c r="L9" s="26" t="inlineStr">
        <is>
          <t>◐ Method</t>
        </is>
      </c>
      <c r="M9" s="20" t="inlineStr">
        <is>
          <t>2014-15 7(c); 2012-13 6(a); 2010-11 1(a)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2012-13</t>
        </is>
      </c>
      <c r="C10" s="19" t="inlineStr">
        <is>
          <t>CSE 307</t>
        </is>
      </c>
      <c r="D10" s="19" t="inlineStr">
        <is>
          <t>6(a)</t>
        </is>
      </c>
      <c r="E10" s="20" t="inlineStr">
        <is>
          <t>Grocery invoice collaboration diagram → sequence diagram, stereotypes, Invoice class</t>
        </is>
      </c>
      <c r="F10" s="20" t="inlineStr">
        <is>
          <t>Collaboration diagrams — Lec 9 sl. 6–8, Lec 10</t>
        </is>
      </c>
      <c r="G10" s="19" t="inlineStr">
        <is>
          <t>L18</t>
        </is>
      </c>
      <c r="H10" s="19" t="n">
        <v>16</v>
      </c>
      <c r="I10" s="19" t="n">
        <v>54</v>
      </c>
      <c r="J10" s="21" t="inlineStr">
        <is>
          <t>★★ Medium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2014-15 7(c); 2012-13 5(c); 2010-11 1(a)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2010-11</t>
        </is>
      </c>
      <c r="C11" s="19" t="inlineStr">
        <is>
          <t>CSE 307</t>
        </is>
      </c>
      <c r="D11" s="19" t="inlineStr">
        <is>
          <t>1(a)</t>
        </is>
      </c>
      <c r="E11" s="20" t="inlineStr">
        <is>
          <t>Check Out Books use case → collaboration and class diagrams</t>
        </is>
      </c>
      <c r="F11" s="20" t="inlineStr">
        <is>
          <t>Collaboration diagrams — Lec 9 sl. 6–8, Lec 10</t>
        </is>
      </c>
      <c r="G11" s="19" t="inlineStr">
        <is>
          <t>L18</t>
        </is>
      </c>
      <c r="H11" s="19" t="n">
        <v>24.67</v>
      </c>
      <c r="I11" s="19" t="inlineStr">
        <is>
          <t>63–64</t>
        </is>
      </c>
      <c r="J11" s="21" t="inlineStr">
        <is>
          <t>★★ Medium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2014-15 7(c); 2012-13 5(c); 2012-13 6(a)</t>
        </is>
      </c>
      <c r="N11" s="23" t="b">
        <v>0</v>
      </c>
      <c r="O11" s="19" t="n"/>
      <c r="P11" s="19" t="n"/>
      <c r="Q11" s="20" t="n"/>
    </row>
  </sheetData>
  <autoFilter ref="A3:Q11"/>
  <conditionalFormatting sqref="A4:Q11">
    <cfRule type="expression" priority="1" dxfId="0">
      <formula>$N4=TRUE</formula>
    </cfRule>
  </conditionalFormatting>
  <conditionalFormatting sqref="O4:O1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1" showDropDown="0" showInputMessage="0" showErrorMessage="0" allowBlank="1" type="list">
      <formula1>"TRUE,FALSE"</formula1>
    </dataValidation>
    <dataValidation sqref="O4:O1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Use case.pptx + BPMN.pptx</t>
        </is>
      </c>
    </row>
    <row r="2">
      <c r="A2" s="2" t="inlineStr">
        <is>
          <t>Note file: CSE213_Anindya_UseCase_BPMN_Notes.docx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2016-17</t>
        </is>
      </c>
      <c r="C4" s="19" t="inlineStr">
        <is>
          <t>CSE 307</t>
        </is>
      </c>
      <c r="D4" s="19" t="inlineStr">
        <is>
          <t>1(a)</t>
        </is>
      </c>
      <c r="E4" s="20" t="inlineStr">
        <is>
          <t>Extensibility mechanisms of UML</t>
        </is>
      </c>
      <c r="F4" s="20" t="inlineStr">
        <is>
          <t>UML overview, use case relationships — Use case.pptx, sl. 1–16</t>
        </is>
      </c>
      <c r="G4" s="19" t="inlineStr">
        <is>
          <t>L19</t>
        </is>
      </c>
      <c r="H4" s="19" t="n">
        <v>12</v>
      </c>
      <c r="I4" s="19" t="n">
        <v>35</v>
      </c>
      <c r="J4" s="21" t="inlineStr">
        <is>
          <t>★★ Medium</t>
        </is>
      </c>
      <c r="K4" s="19" t="inlineStr">
        <is>
          <t>Theory</t>
        </is>
      </c>
      <c r="L4" s="26" t="inlineStr">
        <is>
          <t>◐ Method</t>
        </is>
      </c>
      <c r="M4" s="20" t="inlineStr">
        <is>
          <t>2014-15 5(c); 2013-14 5(b); 2012-13 7(d); 2010-11 1(b)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2014-15</t>
        </is>
      </c>
      <c r="C5" s="19" t="inlineStr">
        <is>
          <t>CSE 307</t>
        </is>
      </c>
      <c r="D5" s="19" t="inlineStr">
        <is>
          <t>5(c)</t>
        </is>
      </c>
      <c r="E5" s="20" t="inlineStr">
        <is>
          <t>UML diagram types; static vs dynamic</t>
        </is>
      </c>
      <c r="F5" s="20" t="inlineStr">
        <is>
          <t>UML overview, use case relationships — Use case.pptx, sl. 1–16</t>
        </is>
      </c>
      <c r="G5" s="19" t="inlineStr">
        <is>
          <t>L19</t>
        </is>
      </c>
      <c r="H5" s="19" t="n">
        <v>10</v>
      </c>
      <c r="I5" s="19" t="n">
        <v>43</v>
      </c>
      <c r="J5" s="21" t="inlineStr">
        <is>
          <t>★★ Medium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2016-17 1(a); 2013-14 5(b); 2012-13 7(d); 2010-11 1(b)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2013-14</t>
        </is>
      </c>
      <c r="C6" s="19" t="inlineStr">
        <is>
          <t>CSE 307</t>
        </is>
      </c>
      <c r="D6" s="19" t="inlineStr">
        <is>
          <t>1(c)</t>
        </is>
      </c>
      <c r="E6" s="20" t="inlineStr">
        <is>
          <t>&lt;&lt;extend&gt;&gt; and &lt;&lt;include&gt;&gt; (uses) relationships with examples</t>
        </is>
      </c>
      <c r="F6" s="20" t="inlineStr">
        <is>
          <t>UML overview, use case relationships — Use case.pptx, sl. 1–16</t>
        </is>
      </c>
      <c r="G6" s="19" t="inlineStr">
        <is>
          <t>L19</t>
        </is>
      </c>
      <c r="H6" s="19" t="n">
        <v>7.67</v>
      </c>
      <c r="I6" s="19" t="n">
        <v>45</v>
      </c>
      <c r="J6" s="22" t="inlineStr">
        <is>
          <t>★ Low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—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CSE 307</t>
        </is>
      </c>
      <c r="D7" s="19" t="inlineStr">
        <is>
          <t>5(b)</t>
        </is>
      </c>
      <c r="E7" s="20" t="inlineStr">
        <is>
          <t>Four kinds of things in UML</t>
        </is>
      </c>
      <c r="F7" s="20" t="inlineStr">
        <is>
          <t>UML overview, use case relationships — Use case.pptx, sl. 1–16</t>
        </is>
      </c>
      <c r="G7" s="19" t="inlineStr">
        <is>
          <t>L19</t>
        </is>
      </c>
      <c r="H7" s="19" t="n">
        <v>12</v>
      </c>
      <c r="I7" s="19" t="n">
        <v>47</v>
      </c>
      <c r="J7" s="21" t="inlineStr">
        <is>
          <t>★★ Medium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2016-17 1(a); 2014-15 5(c); 2012-13 7(d); 2010-11 1(b)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2012-13</t>
        </is>
      </c>
      <c r="C8" s="19" t="inlineStr">
        <is>
          <t>CSE 307</t>
        </is>
      </c>
      <c r="D8" s="19" t="inlineStr">
        <is>
          <t>7(d)</t>
        </is>
      </c>
      <c r="E8" s="20" t="inlineStr">
        <is>
          <t>Kinds of things in UML</t>
        </is>
      </c>
      <c r="F8" s="20" t="inlineStr">
        <is>
          <t>UML overview, use case relationships — Use case.pptx, sl. 1–16</t>
        </is>
      </c>
      <c r="G8" s="19" t="inlineStr">
        <is>
          <t>L19</t>
        </is>
      </c>
      <c r="H8" s="19" t="n">
        <v>4.67</v>
      </c>
      <c r="I8" s="19" t="n">
        <v>55</v>
      </c>
      <c r="J8" s="21" t="inlineStr">
        <is>
          <t>★★ Medium</t>
        </is>
      </c>
      <c r="K8" s="19" t="inlineStr">
        <is>
          <t>Theory</t>
        </is>
      </c>
      <c r="L8" s="22" t="inlineStr">
        <is>
          <t>✔ Solved</t>
        </is>
      </c>
      <c r="M8" s="20" t="inlineStr">
        <is>
          <t>2016-17 1(a); 2014-15 5(c); 2013-14 5(b); 2010-11 1(b)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2010-11</t>
        </is>
      </c>
      <c r="C9" s="19" t="inlineStr">
        <is>
          <t>CSE 307</t>
        </is>
      </c>
      <c r="D9" s="19" t="inlineStr">
        <is>
          <t>1(b)</t>
        </is>
      </c>
      <c r="E9" s="20" t="inlineStr">
        <is>
          <t>Behavioural UML diagrams and their purpose</t>
        </is>
      </c>
      <c r="F9" s="20" t="inlineStr">
        <is>
          <t>UML overview, use case relationships — Use case.pptx, sl. 1–16</t>
        </is>
      </c>
      <c r="G9" s="19" t="inlineStr">
        <is>
          <t>L19</t>
        </is>
      </c>
      <c r="H9" s="19" t="n">
        <v>8</v>
      </c>
      <c r="I9" s="19" t="n">
        <v>64</v>
      </c>
      <c r="J9" s="21" t="inlineStr">
        <is>
          <t>★★ Medium</t>
        </is>
      </c>
      <c r="K9" s="19" t="inlineStr">
        <is>
          <t>Theory</t>
        </is>
      </c>
      <c r="L9" s="22" t="inlineStr">
        <is>
          <t>✔ Solved</t>
        </is>
      </c>
      <c r="M9" s="20" t="inlineStr">
        <is>
          <t>2016-17 1(a); 2014-15 5(c); 2013-14 5(b); 2012-13 7(d)</t>
        </is>
      </c>
      <c r="N9" s="23" t="b">
        <v>0</v>
      </c>
      <c r="O9" s="19" t="n"/>
      <c r="P9" s="19" t="n"/>
      <c r="Q9" s="20" t="n"/>
    </row>
    <row r="10">
      <c r="A10" s="24" t="n">
        <v>7</v>
      </c>
      <c r="B10" s="24" t="inlineStr">
        <is>
          <t>2023-24</t>
        </is>
      </c>
      <c r="C10" s="24" t="inlineStr">
        <is>
          <t>CSE 213</t>
        </is>
      </c>
      <c r="D10" s="24" t="inlineStr">
        <is>
          <t>1(a)</t>
        </is>
      </c>
      <c r="E10" s="6" t="inlineStr">
        <is>
          <t>Mentcare: use case diagram of the processes through which a criminal can access the system</t>
        </is>
      </c>
      <c r="F10" s="6" t="inlineStr">
        <is>
          <t>Use case diagrams &amp; narratives — Use case.pptx (TF scenarios)</t>
        </is>
      </c>
      <c r="G10" s="24" t="inlineStr">
        <is>
          <t>L20</t>
        </is>
      </c>
      <c r="H10" s="24" t="n">
        <v>7</v>
      </c>
      <c r="I10" s="24" t="n">
        <v>1</v>
      </c>
      <c r="J10" s="25" t="inlineStr">
        <is>
          <t>★★★ High</t>
        </is>
      </c>
      <c r="K10" s="24" t="inlineStr">
        <is>
          <t>Design</t>
        </is>
      </c>
      <c r="L10" s="22" t="inlineStr">
        <is>
          <t>✔ Solved</t>
        </is>
      </c>
      <c r="M10" s="6" t="inlineStr">
        <is>
          <t>2016-17 2(a); 2014-15 6(d); 2013-14 6(d); 2012-13 8(a); 2010-11 2(c)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2016-17</t>
        </is>
      </c>
      <c r="C11" s="24" t="inlineStr">
        <is>
          <t>CSE 307</t>
        </is>
      </c>
      <c r="D11" s="24" t="inlineStr">
        <is>
          <t>2(a)</t>
        </is>
      </c>
      <c r="E11" s="6" t="inlineStr">
        <is>
          <t>Bank (normal / foreign users) — use case diagram</t>
        </is>
      </c>
      <c r="F11" s="6" t="inlineStr">
        <is>
          <t>Use case diagrams &amp; narratives — Use case.pptx (TF scenarios)</t>
        </is>
      </c>
      <c r="G11" s="24" t="inlineStr">
        <is>
          <t>L20</t>
        </is>
      </c>
      <c r="H11" s="24" t="n">
        <v>13</v>
      </c>
      <c r="I11" s="24" t="inlineStr">
        <is>
          <t>35–36</t>
        </is>
      </c>
      <c r="J11" s="21" t="inlineStr">
        <is>
          <t>★★ Medium</t>
        </is>
      </c>
      <c r="K11" s="24" t="inlineStr">
        <is>
          <t>Design</t>
        </is>
      </c>
      <c r="L11" s="22" t="inlineStr">
        <is>
          <t>✔ Solved</t>
        </is>
      </c>
      <c r="M11" s="6" t="inlineStr">
        <is>
          <t>2023-24 1(a); 2014-15 6(d); 2013-14 6(d); 2012-13 8(a); 2010-11 2(c)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2016-17</t>
        </is>
      </c>
      <c r="C12" s="24" t="inlineStr">
        <is>
          <t>CSE 307</t>
        </is>
      </c>
      <c r="D12" s="24" t="inlineStr">
        <is>
          <t>2(b)</t>
        </is>
      </c>
      <c r="E12" s="6" t="inlineStr">
        <is>
          <t>Use case narrative for 'Withdraw money'</t>
        </is>
      </c>
      <c r="F12" s="6" t="inlineStr">
        <is>
          <t>Use case diagrams &amp; narratives — Use case.pptx (TF scenarios)</t>
        </is>
      </c>
      <c r="G12" s="24" t="inlineStr">
        <is>
          <t>L20</t>
        </is>
      </c>
      <c r="H12" s="24" t="n">
        <v>7.67</v>
      </c>
      <c r="I12" s="24" t="inlineStr">
        <is>
          <t>35–36</t>
        </is>
      </c>
      <c r="J12" s="21" t="inlineStr">
        <is>
          <t>★★ Medium</t>
        </is>
      </c>
      <c r="K12" s="24" t="inlineStr">
        <is>
          <t>Design</t>
        </is>
      </c>
      <c r="L12" s="22" t="inlineStr">
        <is>
          <t>✔ Solved</t>
        </is>
      </c>
      <c r="M12" s="6" t="inlineStr">
        <is>
          <t>2013-14 1(d); 2011-12 2(a)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2014-15</t>
        </is>
      </c>
      <c r="C13" s="24" t="inlineStr">
        <is>
          <t>CSE 307</t>
        </is>
      </c>
      <c r="D13" s="24" t="inlineStr">
        <is>
          <t>6(d)</t>
        </is>
      </c>
      <c r="E13" s="6" t="inlineStr">
        <is>
          <t>Book / author / publisher / bookstore / reader — use case diagram</t>
        </is>
      </c>
      <c r="F13" s="6" t="inlineStr">
        <is>
          <t>Use case diagrams &amp; narratives — Use case.pptx (TF scenarios)</t>
        </is>
      </c>
      <c r="G13" s="24" t="inlineStr">
        <is>
          <t>L20</t>
        </is>
      </c>
      <c r="H13" s="24" t="n">
        <v>9.67</v>
      </c>
      <c r="I13" s="24" t="n">
        <v>43</v>
      </c>
      <c r="J13" s="21" t="inlineStr">
        <is>
          <t>★★ Medium</t>
        </is>
      </c>
      <c r="K13" s="24" t="inlineStr">
        <is>
          <t>Design</t>
        </is>
      </c>
      <c r="L13" s="22" t="inlineStr">
        <is>
          <t>✔ Solved</t>
        </is>
      </c>
      <c r="M13" s="6" t="inlineStr">
        <is>
          <t>2023-24 1(a); 2016-17 2(a); 2013-14 6(d); 2012-13 8(a); 2010-11 2(c)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CSE 307</t>
        </is>
      </c>
      <c r="D14" s="24" t="inlineStr">
        <is>
          <t>1(d)</t>
        </is>
      </c>
      <c r="E14" s="6" t="inlineStr">
        <is>
          <t>Bank teller, exam-fee deposit queue — extended use case</t>
        </is>
      </c>
      <c r="F14" s="6" t="inlineStr">
        <is>
          <t>Use case diagrams &amp; narratives — Use case.pptx (TF scenarios)</t>
        </is>
      </c>
      <c r="G14" s="24" t="inlineStr">
        <is>
          <t>L20</t>
        </is>
      </c>
      <c r="H14" s="24" t="n">
        <v>15</v>
      </c>
      <c r="I14" s="24" t="n">
        <v>45</v>
      </c>
      <c r="J14" s="21" t="inlineStr">
        <is>
          <t>★★ Medium</t>
        </is>
      </c>
      <c r="K14" s="24" t="inlineStr">
        <is>
          <t>Design</t>
        </is>
      </c>
      <c r="L14" s="26" t="inlineStr">
        <is>
          <t>◐ Method</t>
        </is>
      </c>
      <c r="M14" s="6" t="inlineStr">
        <is>
          <t>2016-17 2(b); 2011-12 2(a)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2013-14</t>
        </is>
      </c>
      <c r="C15" s="24" t="inlineStr">
        <is>
          <t>CSE 307</t>
        </is>
      </c>
      <c r="D15" s="24" t="inlineStr">
        <is>
          <t>6(d)</t>
        </is>
      </c>
      <c r="E15" s="6" t="inlineStr">
        <is>
          <t>Online bus reservation — use case diagram</t>
        </is>
      </c>
      <c r="F15" s="6" t="inlineStr">
        <is>
          <t>Use case diagrams &amp; narratives — Use case.pptx (TF scenarios)</t>
        </is>
      </c>
      <c r="G15" s="24" t="inlineStr">
        <is>
          <t>L20</t>
        </is>
      </c>
      <c r="H15" s="24" t="n">
        <v>22</v>
      </c>
      <c r="I15" s="24" t="n">
        <v>47</v>
      </c>
      <c r="J15" s="21" t="inlineStr">
        <is>
          <t>★★ Medium</t>
        </is>
      </c>
      <c r="K15" s="24" t="inlineStr">
        <is>
          <t>Design</t>
        </is>
      </c>
      <c r="L15" s="22" t="inlineStr">
        <is>
          <t>✔ Solved</t>
        </is>
      </c>
      <c r="M15" s="6" t="inlineStr">
        <is>
          <t>2023-24 1(a); 2016-17 2(a); 2014-15 6(d); 2012-13 8(a); 2010-11 2(c)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2012-13</t>
        </is>
      </c>
      <c r="C16" s="24" t="inlineStr">
        <is>
          <t>CSE 307</t>
        </is>
      </c>
      <c r="D16" s="24" t="inlineStr">
        <is>
          <t>8(a)</t>
        </is>
      </c>
      <c r="E16" s="6" t="inlineStr">
        <is>
          <t>Northeast Hotel reservations — use case diagram + use case dependency diagram</t>
        </is>
      </c>
      <c r="F16" s="6" t="inlineStr">
        <is>
          <t>Use case diagrams &amp; narratives — Use case.pptx (TF scenarios)</t>
        </is>
      </c>
      <c r="G16" s="24" t="inlineStr">
        <is>
          <t>L20</t>
        </is>
      </c>
      <c r="H16" s="24" t="n">
        <v>20</v>
      </c>
      <c r="I16" s="24" t="inlineStr">
        <is>
          <t>55–56</t>
        </is>
      </c>
      <c r="J16" s="21" t="inlineStr">
        <is>
          <t>★★ Medium</t>
        </is>
      </c>
      <c r="K16" s="24" t="inlineStr">
        <is>
          <t>Design</t>
        </is>
      </c>
      <c r="L16" s="22" t="inlineStr">
        <is>
          <t>✔ Solved</t>
        </is>
      </c>
      <c r="M16" s="6" t="inlineStr">
        <is>
          <t>2023-24 1(a); 2016-17 2(a); 2014-15 6(d); 2013-14 6(d); 2010-11 2(c)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2011-12</t>
        </is>
      </c>
      <c r="C17" s="24" t="inlineStr">
        <is>
          <t>CSE 307</t>
        </is>
      </c>
      <c r="D17" s="24" t="inlineStr">
        <is>
          <t>2(a)</t>
        </is>
      </c>
      <c r="E17" s="6" t="inlineStr">
        <is>
          <t>ABC Car Rentals: use case narrative 'Rent a Car'</t>
        </is>
      </c>
      <c r="F17" s="6" t="inlineStr">
        <is>
          <t>Use case diagrams &amp; narratives — Use case.pptx (TF scenarios)</t>
        </is>
      </c>
      <c r="G17" s="24" t="inlineStr">
        <is>
          <t>L20</t>
        </is>
      </c>
      <c r="H17" s="24" t="n">
        <v>18.67</v>
      </c>
      <c r="I17" s="24" t="n">
        <v>57</v>
      </c>
      <c r="J17" s="21" t="inlineStr">
        <is>
          <t>★★ Medium</t>
        </is>
      </c>
      <c r="K17" s="24" t="inlineStr">
        <is>
          <t>Design</t>
        </is>
      </c>
      <c r="L17" s="22" t="inlineStr">
        <is>
          <t>✔ Solved</t>
        </is>
      </c>
      <c r="M17" s="6" t="inlineStr">
        <is>
          <t>2016-17 2(b); 2013-14 1(d)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2010-11</t>
        </is>
      </c>
      <c r="C18" s="24" t="inlineStr">
        <is>
          <t>CSE 307</t>
        </is>
      </c>
      <c r="D18" s="24" t="inlineStr">
        <is>
          <t>2(c)</t>
        </is>
      </c>
      <c r="E18" s="6" t="inlineStr">
        <is>
          <t>Book / author / publisher / store / reader — use case diagram</t>
        </is>
      </c>
      <c r="F18" s="6" t="inlineStr">
        <is>
          <t>Use case diagrams &amp; narratives — Use case.pptx (TF scenarios)</t>
        </is>
      </c>
      <c r="G18" s="24" t="inlineStr">
        <is>
          <t>L20</t>
        </is>
      </c>
      <c r="H18" s="24" t="n">
        <v>8</v>
      </c>
      <c r="I18" s="24" t="n">
        <v>65</v>
      </c>
      <c r="J18" s="21" t="inlineStr">
        <is>
          <t>★★ Medium</t>
        </is>
      </c>
      <c r="K18" s="24" t="inlineStr">
        <is>
          <t>Design</t>
        </is>
      </c>
      <c r="L18" s="22" t="inlineStr">
        <is>
          <t>✔ Solved</t>
        </is>
      </c>
      <c r="M18" s="6" t="inlineStr">
        <is>
          <t>2023-24 1(a); 2016-17 2(a); 2014-15 6(d); 2013-14 6(d); 2012-13 8(a)</t>
        </is>
      </c>
      <c r="N18" s="23" t="b">
        <v>0</v>
      </c>
      <c r="O18" s="24" t="n"/>
      <c r="P18" s="24" t="n"/>
      <c r="Q18" s="6" t="n"/>
    </row>
  </sheetData>
  <autoFilter ref="A3:Q18"/>
  <conditionalFormatting sqref="A4:Q18">
    <cfRule type="expression" priority="1" dxfId="0">
      <formula>$N4=TRUE</formula>
    </cfRule>
  </conditionalFormatting>
  <conditionalFormatting sqref="O4:O1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8" showDropDown="0" showInputMessage="0" showErrorMessage="0" allowBlank="1" type="list">
      <formula1>"TRUE,FALSE"</formula1>
    </dataValidation>
    <dataValidation sqref="O4:O1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3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11 + Coverage + Equivalence Partitioning</t>
        </is>
      </c>
    </row>
    <row r="2">
      <c r="A2" s="2" t="inlineStr">
        <is>
          <t>Note file: CSE213_Anindya_Software_Testing_Notes.docx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2021-22</t>
        </is>
      </c>
      <c r="C4" s="19" t="inlineStr">
        <is>
          <t>CSE 307</t>
        </is>
      </c>
      <c r="D4" s="19" t="inlineStr">
        <is>
          <t>3(c)</t>
        </is>
      </c>
      <c r="E4" s="20" t="inlineStr">
        <is>
          <t>'Less cost to fix a bug found later in the SDLC' — agree?</t>
        </is>
      </c>
      <c r="F4" s="20" t="inlineStr">
        <is>
          <t>Testing basics, black/white box — Lec 11, sl. 1–13</t>
        </is>
      </c>
      <c r="G4" s="19" t="inlineStr">
        <is>
          <t>L23</t>
        </is>
      </c>
      <c r="H4" s="19" t="n">
        <v>5</v>
      </c>
      <c r="I4" s="19" t="n">
        <v>15</v>
      </c>
      <c r="J4" s="25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2017-18 8(a); 2014-15 2(a); 2013-14 3(b); 2012-13 4(d); 2010-11 6(c)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2017-18</t>
        </is>
      </c>
      <c r="C5" s="19" t="inlineStr">
        <is>
          <t>CSE 307</t>
        </is>
      </c>
      <c r="D5" s="19" t="inlineStr">
        <is>
          <t>8(a)</t>
        </is>
      </c>
      <c r="E5" s="20" t="inlineStr">
        <is>
          <t>Black-box advantages/disadvantages; performance and regression testing</t>
        </is>
      </c>
      <c r="F5" s="20" t="inlineStr">
        <is>
          <t>Testing basics, black/white box — Lec 11, sl. 1–13</t>
        </is>
      </c>
      <c r="G5" s="19" t="inlineStr">
        <is>
          <t>L23</t>
        </is>
      </c>
      <c r="H5" s="19" t="n">
        <v>12</v>
      </c>
      <c r="I5" s="19" t="n">
        <v>34</v>
      </c>
      <c r="J5" s="21" t="inlineStr">
        <is>
          <t>★★ Medium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2021-22 3(c); 2014-15 2(a); 2013-14 3(b); 2012-13 4(d); 2010-11 6(c)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2014-15</t>
        </is>
      </c>
      <c r="C6" s="19" t="inlineStr">
        <is>
          <t>CSE 307</t>
        </is>
      </c>
      <c r="D6" s="19" t="inlineStr">
        <is>
          <t>2(a)</t>
        </is>
      </c>
      <c r="E6" s="20" t="inlineStr">
        <is>
          <t>Example showing exhaustive testing is nearly impossible</t>
        </is>
      </c>
      <c r="F6" s="20" t="inlineStr">
        <is>
          <t>Testing basics, black/white box — Lec 11, sl. 1–13</t>
        </is>
      </c>
      <c r="G6" s="19" t="inlineStr">
        <is>
          <t>L23</t>
        </is>
      </c>
      <c r="H6" s="19" t="n">
        <v>6.67</v>
      </c>
      <c r="I6" s="19" t="n">
        <v>41</v>
      </c>
      <c r="J6" s="21" t="inlineStr">
        <is>
          <t>★★ Medium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2021-22 3(c); 2017-18 8(a); 2013-14 3(b); 2012-13 4(d); 2010-11 6(c)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CSE 307</t>
        </is>
      </c>
      <c r="D7" s="19" t="inlineStr">
        <is>
          <t>3(b)</t>
        </is>
      </c>
      <c r="E7" s="20" t="inlineStr">
        <is>
          <t>Debugging process with diagram</t>
        </is>
      </c>
      <c r="F7" s="20" t="inlineStr">
        <is>
          <t>Testing basics, black/white box — Lec 11, sl. 1–13</t>
        </is>
      </c>
      <c r="G7" s="19" t="inlineStr">
        <is>
          <t>L23</t>
        </is>
      </c>
      <c r="H7" s="19" t="n">
        <v>8</v>
      </c>
      <c r="I7" s="19" t="n">
        <v>46</v>
      </c>
      <c r="J7" s="21" t="inlineStr">
        <is>
          <t>★★ Medium</t>
        </is>
      </c>
      <c r="K7" s="19" t="inlineStr">
        <is>
          <t>Theory</t>
        </is>
      </c>
      <c r="L7" s="26" t="inlineStr">
        <is>
          <t>◐ Method</t>
        </is>
      </c>
      <c r="M7" s="20" t="inlineStr">
        <is>
          <t>2021-22 3(c); 2017-18 8(a); 2014-15 2(a); 2012-13 4(d); 2010-11 6(c)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2012-13</t>
        </is>
      </c>
      <c r="C8" s="19" t="inlineStr">
        <is>
          <t>CSE 307</t>
        </is>
      </c>
      <c r="D8" s="19" t="inlineStr">
        <is>
          <t>4(d)</t>
        </is>
      </c>
      <c r="E8" s="20" t="inlineStr">
        <is>
          <t>Verification vs validation; defect testing vs debugging</t>
        </is>
      </c>
      <c r="F8" s="20" t="inlineStr">
        <is>
          <t>Testing basics, black/white box — Lec 11, sl. 1–13</t>
        </is>
      </c>
      <c r="G8" s="19" t="inlineStr">
        <is>
          <t>L23</t>
        </is>
      </c>
      <c r="H8" s="19" t="n">
        <v>6</v>
      </c>
      <c r="I8" s="19" t="n">
        <v>53</v>
      </c>
      <c r="J8" s="21" t="inlineStr">
        <is>
          <t>★★ Medium</t>
        </is>
      </c>
      <c r="K8" s="19" t="inlineStr">
        <is>
          <t>Theory</t>
        </is>
      </c>
      <c r="L8" s="22" t="inlineStr">
        <is>
          <t>✔ Solved</t>
        </is>
      </c>
      <c r="M8" s="20" t="inlineStr">
        <is>
          <t>2021-22 3(c); 2017-18 8(a); 2014-15 2(a); 2013-14 3(b); 2010-11 6(c)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2010-11</t>
        </is>
      </c>
      <c r="C9" s="19" t="inlineStr">
        <is>
          <t>CSE 307</t>
        </is>
      </c>
      <c r="D9" s="19" t="inlineStr">
        <is>
          <t>6(c)</t>
        </is>
      </c>
      <c r="E9" s="20" t="inlineStr">
        <is>
          <t>Verification vs validation; I/O faults for a banking module</t>
        </is>
      </c>
      <c r="F9" s="20" t="inlineStr">
        <is>
          <t>Testing basics, black/white box — Lec 11, sl. 1–13</t>
        </is>
      </c>
      <c r="G9" s="19" t="inlineStr">
        <is>
          <t>L23</t>
        </is>
      </c>
      <c r="H9" s="19" t="n">
        <v>7</v>
      </c>
      <c r="I9" s="19" t="n">
        <v>69</v>
      </c>
      <c r="J9" s="21" t="inlineStr">
        <is>
          <t>★★ Medium</t>
        </is>
      </c>
      <c r="K9" s="19" t="inlineStr">
        <is>
          <t>Theory</t>
        </is>
      </c>
      <c r="L9" s="22" t="inlineStr">
        <is>
          <t>✔ Solved</t>
        </is>
      </c>
      <c r="M9" s="20" t="inlineStr">
        <is>
          <t>2021-22 3(c); 2017-18 8(a); 2014-15 2(a); 2013-14 3(b); 2012-13 4(d)</t>
        </is>
      </c>
      <c r="N9" s="23" t="b">
        <v>0</v>
      </c>
      <c r="O9" s="19" t="n"/>
      <c r="P9" s="19" t="n"/>
      <c r="Q9" s="20" t="n"/>
    </row>
    <row r="10">
      <c r="A10" s="24" t="n">
        <v>7</v>
      </c>
      <c r="B10" s="24" t="inlineStr">
        <is>
          <t>2024-25</t>
        </is>
      </c>
      <c r="C10" s="24" t="inlineStr">
        <is>
          <t>CSE 213</t>
        </is>
      </c>
      <c r="D10" s="24" t="inlineStr">
        <is>
          <t>6(c)</t>
        </is>
      </c>
      <c r="E10" s="6" t="inlineStr">
        <is>
          <t>Integration testing Display–Controller(missing)–Sensor: stubs/drivers, order</t>
        </is>
      </c>
      <c r="F10" s="6" t="inlineStr">
        <is>
          <t>Testing types, integration, performance — Lec 11, sl. 14–22</t>
        </is>
      </c>
      <c r="G10" s="24" t="inlineStr">
        <is>
          <t>L24</t>
        </is>
      </c>
      <c r="H10" s="24" t="n">
        <v>10</v>
      </c>
      <c r="I10" s="24" t="inlineStr">
        <is>
          <t>22 batch p.6</t>
        </is>
      </c>
      <c r="J10" s="25" t="inlineStr">
        <is>
          <t>★★★ High</t>
        </is>
      </c>
      <c r="K10" s="24" t="inlineStr">
        <is>
          <t>Theory</t>
        </is>
      </c>
      <c r="L10" s="22" t="inlineStr">
        <is>
          <t>✔ Solved</t>
        </is>
      </c>
      <c r="M10" s="6" t="inlineStr">
        <is>
          <t>2022-23 1(c); 2019-20 5(b); 2014-15 2(d); 2014-15 2(e); 2013-14 3(a); 2011-12 8(d)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2024-25</t>
        </is>
      </c>
      <c r="C11" s="24" t="inlineStr">
        <is>
          <t>CSE 213</t>
        </is>
      </c>
      <c r="D11" s="24" t="inlineStr">
        <is>
          <t>7(a)</t>
        </is>
      </c>
      <c r="E11" s="6" t="inlineStr">
        <is>
          <t>Performance test plan: burst 10,000 users, collapse beyond capacity, slowdown after 8 h — test types + JMeter configuration</t>
        </is>
      </c>
      <c r="F11" s="6" t="inlineStr">
        <is>
          <t>Testing types, integration, performance — Lec 11, sl. 14–22</t>
        </is>
      </c>
      <c r="G11" s="24" t="inlineStr">
        <is>
          <t>L24</t>
        </is>
      </c>
      <c r="H11" s="24" t="n">
        <v>15</v>
      </c>
      <c r="I11" s="24" t="inlineStr">
        <is>
          <t>22 batch p.7</t>
        </is>
      </c>
      <c r="J11" s="25" t="inlineStr">
        <is>
          <t>★★★ High</t>
        </is>
      </c>
      <c r="K11" s="24" t="inlineStr">
        <is>
          <t>Theory</t>
        </is>
      </c>
      <c r="L11" s="22" t="inlineStr">
        <is>
          <t>✔ Solved</t>
        </is>
      </c>
      <c r="M11" s="6" t="inlineStr">
        <is>
          <t>2019-20 8(b); 2017-18 7(a)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2022-23</t>
        </is>
      </c>
      <c r="C12" s="24" t="inlineStr">
        <is>
          <t>CSE 307</t>
        </is>
      </c>
      <c r="D12" s="24" t="inlineStr">
        <is>
          <t>1(c)</t>
        </is>
      </c>
      <c r="E12" s="6" t="inlineStr">
        <is>
          <t>Internal and external integration testing for a ride-sharing app</t>
        </is>
      </c>
      <c r="F12" s="6" t="inlineStr">
        <is>
          <t>Testing types, integration, performance — Lec 11, sl. 14–22</t>
        </is>
      </c>
      <c r="G12" s="24" t="inlineStr">
        <is>
          <t>L24</t>
        </is>
      </c>
      <c r="H12" s="24" t="n">
        <v>10</v>
      </c>
      <c r="I12" s="24" t="n">
        <v>8</v>
      </c>
      <c r="J12" s="25" t="inlineStr">
        <is>
          <t>★★★ High</t>
        </is>
      </c>
      <c r="K12" s="24" t="inlineStr">
        <is>
          <t>Theory</t>
        </is>
      </c>
      <c r="L12" s="22" t="inlineStr">
        <is>
          <t>✔ Solved</t>
        </is>
      </c>
      <c r="M12" s="6" t="inlineStr">
        <is>
          <t>2024-25 6(c); 2019-20 5(b); 2014-15 2(d); 2014-15 2(e); 2013-14 3(a); 2011-12 8(d)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2021-22</t>
        </is>
      </c>
      <c r="C13" s="24" t="inlineStr">
        <is>
          <t>CSE 307</t>
        </is>
      </c>
      <c r="D13" s="24" t="inlineStr">
        <is>
          <t>3(b)</t>
        </is>
      </c>
      <c r="E13" s="6" t="inlineStr">
        <is>
          <t>Six testing types: unit, integration, non-functional, regression, acceptance, beta</t>
        </is>
      </c>
      <c r="F13" s="6" t="inlineStr">
        <is>
          <t>Testing types, integration, performance — Lec 11, sl. 14–22</t>
        </is>
      </c>
      <c r="G13" s="24" t="inlineStr">
        <is>
          <t>L24</t>
        </is>
      </c>
      <c r="H13" s="24" t="n">
        <v>10</v>
      </c>
      <c r="I13" s="24" t="n">
        <v>15</v>
      </c>
      <c r="J13" s="25" t="inlineStr">
        <is>
          <t>★★★ High</t>
        </is>
      </c>
      <c r="K13" s="24" t="inlineStr">
        <is>
          <t>Theory</t>
        </is>
      </c>
      <c r="L13" s="22" t="inlineStr">
        <is>
          <t>✔ Solved</t>
        </is>
      </c>
      <c r="M13" s="6" t="inlineStr">
        <is>
          <t>2020-21 8(c); 2018-19 4(a); 2011-12 7(a)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2020-21</t>
        </is>
      </c>
      <c r="C14" s="24" t="inlineStr">
        <is>
          <t>CSE 307</t>
        </is>
      </c>
      <c r="D14" s="24" t="inlineStr">
        <is>
          <t>8(c)</t>
        </is>
      </c>
      <c r="E14" s="6" t="inlineStr">
        <is>
          <t>Smoke vs regression testing with example</t>
        </is>
      </c>
      <c r="F14" s="6" t="inlineStr">
        <is>
          <t>Testing types, integration, performance — Lec 11, sl. 14–22</t>
        </is>
      </c>
      <c r="G14" s="24" t="inlineStr">
        <is>
          <t>L24</t>
        </is>
      </c>
      <c r="H14" s="24" t="n">
        <v>8</v>
      </c>
      <c r="I14" s="24" t="n">
        <v>21</v>
      </c>
      <c r="J14" s="25" t="inlineStr">
        <is>
          <t>★★★ High</t>
        </is>
      </c>
      <c r="K14" s="24" t="inlineStr">
        <is>
          <t>Theory</t>
        </is>
      </c>
      <c r="L14" s="22" t="inlineStr">
        <is>
          <t>✔ Solved</t>
        </is>
      </c>
      <c r="M14" s="6" t="inlineStr">
        <is>
          <t>2021-22 3(b); 2018-19 4(a); 2011-12 7(a)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2019-20</t>
        </is>
      </c>
      <c r="C15" s="24" t="inlineStr">
        <is>
          <t>CSE 307</t>
        </is>
      </c>
      <c r="D15" s="24" t="inlineStr">
        <is>
          <t>5(b)</t>
        </is>
      </c>
      <c r="E15" s="6" t="inlineStr">
        <is>
          <t>ERP HRM: 4 inter-component + 2 inter-module integration-test requirements</t>
        </is>
      </c>
      <c r="F15" s="6" t="inlineStr">
        <is>
          <t>Testing types, integration, performance — Lec 11, sl. 14–22</t>
        </is>
      </c>
      <c r="G15" s="24" t="inlineStr">
        <is>
          <t>L24</t>
        </is>
      </c>
      <c r="H15" s="24" t="n">
        <v>15</v>
      </c>
      <c r="I15" s="24" t="n">
        <v>24</v>
      </c>
      <c r="J15" s="25" t="inlineStr">
        <is>
          <t>★★★ High</t>
        </is>
      </c>
      <c r="K15" s="24" t="inlineStr">
        <is>
          <t>Theory</t>
        </is>
      </c>
      <c r="L15" s="22" t="inlineStr">
        <is>
          <t>✔ Solved</t>
        </is>
      </c>
      <c r="M15" s="6" t="inlineStr">
        <is>
          <t>2024-25 6(c); 2022-23 1(c); 2014-15 2(d); 2014-15 2(e); 2013-14 3(a); 2011-12 8(d)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2019-20</t>
        </is>
      </c>
      <c r="C16" s="24" t="inlineStr">
        <is>
          <t>CSE 307</t>
        </is>
      </c>
      <c r="D16" s="24" t="inlineStr">
        <is>
          <t>8(b)</t>
        </is>
      </c>
      <c r="E16" s="6" t="inlineStr">
        <is>
          <t>Load vs stress testing for BIIS; is code review black-box testing?</t>
        </is>
      </c>
      <c r="F16" s="6" t="inlineStr">
        <is>
          <t>Testing types, integration, performance — Lec 11, sl. 14–22</t>
        </is>
      </c>
      <c r="G16" s="24" t="inlineStr">
        <is>
          <t>L24</t>
        </is>
      </c>
      <c r="H16" s="24" t="n">
        <v>15</v>
      </c>
      <c r="I16" s="24" t="n">
        <v>25</v>
      </c>
      <c r="J16" s="25" t="inlineStr">
        <is>
          <t>★★★ High</t>
        </is>
      </c>
      <c r="K16" s="24" t="inlineStr">
        <is>
          <t>Theory</t>
        </is>
      </c>
      <c r="L16" s="22" t="inlineStr">
        <is>
          <t>✔ Solved</t>
        </is>
      </c>
      <c r="M16" s="6" t="inlineStr">
        <is>
          <t>2024-25 7(a); 2017-18 7(a)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2018-19</t>
        </is>
      </c>
      <c r="C17" s="24" t="inlineStr">
        <is>
          <t>CSE 307</t>
        </is>
      </c>
      <c r="D17" s="24" t="inlineStr">
        <is>
          <t>4(a)</t>
        </is>
      </c>
      <c r="E17" s="6" t="inlineStr">
        <is>
          <t>Integration, beta and usability testing</t>
        </is>
      </c>
      <c r="F17" s="6" t="inlineStr">
        <is>
          <t>Testing types, integration, performance — Lec 11, sl. 14–22</t>
        </is>
      </c>
      <c r="G17" s="24" t="inlineStr">
        <is>
          <t>L24</t>
        </is>
      </c>
      <c r="H17" s="24" t="n">
        <v>9</v>
      </c>
      <c r="I17" s="24" t="n">
        <v>27</v>
      </c>
      <c r="J17" s="21" t="inlineStr">
        <is>
          <t>★★ Medium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2021-22 3(b); 2020-21 8(c); 2011-12 7(a)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2017-18</t>
        </is>
      </c>
      <c r="C18" s="24" t="inlineStr">
        <is>
          <t>CSE 307</t>
        </is>
      </c>
      <c r="D18" s="24" t="inlineStr">
        <is>
          <t>7(a)</t>
        </is>
      </c>
      <c r="E18" s="6" t="inlineStr">
        <is>
          <t>Spec 100 users; failed at 90, crashed at 150 — which two test types?</t>
        </is>
      </c>
      <c r="F18" s="6" t="inlineStr">
        <is>
          <t>Testing types, integration, performance — Lec 11, sl. 14–22</t>
        </is>
      </c>
      <c r="G18" s="24" t="inlineStr">
        <is>
          <t>L24</t>
        </is>
      </c>
      <c r="H18" s="24" t="n">
        <v>6</v>
      </c>
      <c r="I18" s="24" t="n">
        <v>33</v>
      </c>
      <c r="J18" s="21" t="inlineStr">
        <is>
          <t>★★ Medium</t>
        </is>
      </c>
      <c r="K18" s="24" t="inlineStr">
        <is>
          <t>Theory</t>
        </is>
      </c>
      <c r="L18" s="22" t="inlineStr">
        <is>
          <t>✔ Solved</t>
        </is>
      </c>
      <c r="M18" s="6" t="inlineStr">
        <is>
          <t>2024-25 7(a); 2019-20 8(b)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2014-15</t>
        </is>
      </c>
      <c r="C19" s="24" t="inlineStr">
        <is>
          <t>CSE 307</t>
        </is>
      </c>
      <c r="D19" s="24" t="inlineStr">
        <is>
          <t>2(d)</t>
        </is>
      </c>
      <c r="E19" s="6" t="inlineStr">
        <is>
          <t>Components of the unit-test environment</t>
        </is>
      </c>
      <c r="F19" s="6" t="inlineStr">
        <is>
          <t>Testing types, integration, performance — Lec 11, sl. 14–22</t>
        </is>
      </c>
      <c r="G19" s="24" t="inlineStr">
        <is>
          <t>L24</t>
        </is>
      </c>
      <c r="H19" s="24" t="n">
        <v>7</v>
      </c>
      <c r="I19" s="24" t="n">
        <v>41</v>
      </c>
      <c r="J19" s="21" t="inlineStr">
        <is>
          <t>★★ Medium</t>
        </is>
      </c>
      <c r="K19" s="24" t="inlineStr">
        <is>
          <t>Theory</t>
        </is>
      </c>
      <c r="L19" s="22" t="inlineStr">
        <is>
          <t>✔ Solved</t>
        </is>
      </c>
      <c r="M19" s="6" t="inlineStr">
        <is>
          <t>2024-25 6(c); 2022-23 1(c); 2019-20 5(b); 2014-15 2(e); 2013-14 3(a); 2011-12 8(d)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2014-15</t>
        </is>
      </c>
      <c r="C20" s="24" t="inlineStr">
        <is>
          <t>CSE 307</t>
        </is>
      </c>
      <c r="D20" s="24" t="inlineStr">
        <is>
          <t>2(e)</t>
        </is>
      </c>
      <c r="E20" s="6" t="inlineStr">
        <is>
          <t>Integration-testing strategies</t>
        </is>
      </c>
      <c r="F20" s="6" t="inlineStr">
        <is>
          <t>Testing types, integration, performance — Lec 11, sl. 14–22</t>
        </is>
      </c>
      <c r="G20" s="24" t="inlineStr">
        <is>
          <t>L24</t>
        </is>
      </c>
      <c r="H20" s="24" t="n">
        <v>8</v>
      </c>
      <c r="I20" s="24" t="n">
        <v>41</v>
      </c>
      <c r="J20" s="21" t="inlineStr">
        <is>
          <t>★★ Medium</t>
        </is>
      </c>
      <c r="K20" s="24" t="inlineStr">
        <is>
          <t>Theory</t>
        </is>
      </c>
      <c r="L20" s="22" t="inlineStr">
        <is>
          <t>✔ Solved</t>
        </is>
      </c>
      <c r="M20" s="6" t="inlineStr">
        <is>
          <t>2024-25 6(c); 2022-23 1(c); 2019-20 5(b); 2014-15 2(d); 2013-14 3(a); 2011-12 8(d)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2013-14</t>
        </is>
      </c>
      <c r="C21" s="24" t="inlineStr">
        <is>
          <t>CSE 307</t>
        </is>
      </c>
      <c r="D21" s="24" t="inlineStr">
        <is>
          <t>3(a)</t>
        </is>
      </c>
      <c r="E21" s="6" t="inlineStr">
        <is>
          <t>Call-return tree 1–14: top-down integration order with stubs and drivers</t>
        </is>
      </c>
      <c r="F21" s="6" t="inlineStr">
        <is>
          <t>Testing types, integration, performance — Lec 11, sl. 14–22</t>
        </is>
      </c>
      <c r="G21" s="24" t="inlineStr">
        <is>
          <t>L24</t>
        </is>
      </c>
      <c r="H21" s="24" t="n">
        <v>10</v>
      </c>
      <c r="I21" s="24" t="n">
        <v>46</v>
      </c>
      <c r="J21" s="21" t="inlineStr">
        <is>
          <t>★★ Medium</t>
        </is>
      </c>
      <c r="K21" s="24" t="inlineStr">
        <is>
          <t>Theory</t>
        </is>
      </c>
      <c r="L21" s="22" t="inlineStr">
        <is>
          <t>✔ Solved</t>
        </is>
      </c>
      <c r="M21" s="6" t="inlineStr">
        <is>
          <t>2024-25 6(c); 2022-23 1(c); 2019-20 5(b); 2014-15 2(d); 2014-15 2(e); 2011-12 8(d)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2011-12</t>
        </is>
      </c>
      <c r="C22" s="24" t="inlineStr">
        <is>
          <t>CSE 307</t>
        </is>
      </c>
      <c r="D22" s="24" t="inlineStr">
        <is>
          <t>7(a)</t>
        </is>
      </c>
      <c r="E22" s="6" t="inlineStr">
        <is>
          <t>Stock trading: unit, integration or system test for five cases</t>
        </is>
      </c>
      <c r="F22" s="6" t="inlineStr">
        <is>
          <t>Testing types, integration, performance — Lec 11, sl. 14–22</t>
        </is>
      </c>
      <c r="G22" s="24" t="inlineStr">
        <is>
          <t>L24</t>
        </is>
      </c>
      <c r="H22" s="24" t="n">
        <v>10</v>
      </c>
      <c r="I22" s="24" t="n">
        <v>60</v>
      </c>
      <c r="J22" s="21" t="inlineStr">
        <is>
          <t>★★ Medium</t>
        </is>
      </c>
      <c r="K22" s="24" t="inlineStr">
        <is>
          <t>Theory</t>
        </is>
      </c>
      <c r="L22" s="22" t="inlineStr">
        <is>
          <t>✔ Solved</t>
        </is>
      </c>
      <c r="M22" s="6" t="inlineStr">
        <is>
          <t>2021-22 3(b); 2020-21 8(c); 2018-19 4(a)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2011-12</t>
        </is>
      </c>
      <c r="C23" s="24" t="inlineStr">
        <is>
          <t>CSE 307</t>
        </is>
      </c>
      <c r="D23" s="24" t="inlineStr">
        <is>
          <t>8(d)</t>
        </is>
      </c>
      <c r="E23" s="6" t="inlineStr">
        <is>
          <t>Depth-first top-down integration of ROOT / M1–M9</t>
        </is>
      </c>
      <c r="F23" s="6" t="inlineStr">
        <is>
          <t>Testing types, integration, performance — Lec 11, sl. 14–22</t>
        </is>
      </c>
      <c r="G23" s="24" t="inlineStr">
        <is>
          <t>L24</t>
        </is>
      </c>
      <c r="H23" s="24" t="n">
        <v>9.67</v>
      </c>
      <c r="I23" s="24" t="n">
        <v>62</v>
      </c>
      <c r="J23" s="21" t="inlineStr">
        <is>
          <t>★★ Medium</t>
        </is>
      </c>
      <c r="K23" s="24" t="inlineStr">
        <is>
          <t>Theory</t>
        </is>
      </c>
      <c r="L23" s="22" t="inlineStr">
        <is>
          <t>✔ Solved</t>
        </is>
      </c>
      <c r="M23" s="6" t="inlineStr">
        <is>
          <t>2024-25 6(c); 2022-23 1(c); 2019-20 5(b); 2014-15 2(d); 2014-15 2(e); 2013-14 3(a)</t>
        </is>
      </c>
      <c r="N23" s="23" t="b">
        <v>0</v>
      </c>
      <c r="O23" s="24" t="n"/>
      <c r="P23" s="24" t="n"/>
      <c r="Q23" s="6" t="n"/>
    </row>
    <row r="24">
      <c r="A24" s="19" t="n">
        <v>21</v>
      </c>
      <c r="B24" s="19" t="inlineStr">
        <is>
          <t>2023-24</t>
        </is>
      </c>
      <c r="C24" s="19" t="inlineStr">
        <is>
          <t>CSE 213</t>
        </is>
      </c>
      <c r="D24" s="19" t="inlineStr">
        <is>
          <t>5(c)</t>
        </is>
      </c>
      <c r="E24" s="20" t="inlineStr">
        <is>
          <t>Why high test coverage is important; risks of low coverage</t>
        </is>
      </c>
      <c r="F24" s="20" t="inlineStr">
        <is>
          <t>Code coverage — 1-Coverage.pptx, sl. 1–8</t>
        </is>
      </c>
      <c r="G24" s="19" t="inlineStr">
        <is>
          <t>L25</t>
        </is>
      </c>
      <c r="H24" s="19" t="n">
        <v>8</v>
      </c>
      <c r="I24" s="19" t="n">
        <v>4</v>
      </c>
      <c r="J24" s="25" t="inlineStr">
        <is>
          <t>★★★ High</t>
        </is>
      </c>
      <c r="K24" s="19" t="inlineStr">
        <is>
          <t>Theory</t>
        </is>
      </c>
      <c r="L24" s="22" t="inlineStr">
        <is>
          <t>✔ Solved</t>
        </is>
      </c>
      <c r="M24" s="20" t="inlineStr">
        <is>
          <t>—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2022-23</t>
        </is>
      </c>
      <c r="C25" s="19" t="inlineStr">
        <is>
          <t>CSE 307</t>
        </is>
      </c>
      <c r="D25" s="19" t="inlineStr">
        <is>
          <t>4(c)</t>
        </is>
      </c>
      <c r="E25" s="20" t="inlineStr">
        <is>
          <t>something(int x): if (x &lt; 0 || y &lt; x) — minimal data set for condition coverage</t>
        </is>
      </c>
      <c r="F25" s="20" t="inlineStr">
        <is>
          <t>Code coverage — 1-Coverage.pptx, sl. 1–8</t>
        </is>
      </c>
      <c r="G25" s="19" t="inlineStr">
        <is>
          <t>L25</t>
        </is>
      </c>
      <c r="H25" s="19" t="n">
        <v>8</v>
      </c>
      <c r="I25" s="19" t="n">
        <v>9</v>
      </c>
      <c r="J25" s="25" t="inlineStr">
        <is>
          <t>★★★ High</t>
        </is>
      </c>
      <c r="K25" s="19" t="inlineStr">
        <is>
          <t>Test design</t>
        </is>
      </c>
      <c r="L25" s="22" t="inlineStr">
        <is>
          <t>✔ Solved</t>
        </is>
      </c>
      <c r="M25" s="20" t="inlineStr">
        <is>
          <t>2020-21 6(b); 2018-19 2(b)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2020-21</t>
        </is>
      </c>
      <c r="C26" s="19" t="inlineStr">
        <is>
          <t>CSE 307</t>
        </is>
      </c>
      <c r="D26" s="19" t="inlineStr">
        <is>
          <t>6(b)</t>
        </is>
      </c>
      <c r="E26" s="20" t="inlineStr">
        <is>
          <t>Test execution ensuring method, branch and condition coverage; characteristics of good unit tests</t>
        </is>
      </c>
      <c r="F26" s="20" t="inlineStr">
        <is>
          <t>Code coverage — 1-Coverage.pptx, sl. 1–8</t>
        </is>
      </c>
      <c r="G26" s="19" t="inlineStr">
        <is>
          <t>L25</t>
        </is>
      </c>
      <c r="H26" s="19" t="n">
        <v>15</v>
      </c>
      <c r="I26" s="19" t="n">
        <v>21</v>
      </c>
      <c r="J26" s="25" t="inlineStr">
        <is>
          <t>★★★ High</t>
        </is>
      </c>
      <c r="K26" s="19" t="inlineStr">
        <is>
          <t>Test design</t>
        </is>
      </c>
      <c r="L26" s="22" t="inlineStr">
        <is>
          <t>✔ Solved</t>
        </is>
      </c>
      <c r="M26" s="20" t="inlineStr">
        <is>
          <t>2022-23 4(c); 2018-19 2(b)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2018-19</t>
        </is>
      </c>
      <c r="C27" s="19" t="inlineStr">
        <is>
          <t>CSE 307</t>
        </is>
      </c>
      <c r="D27" s="19" t="inlineStr">
        <is>
          <t>2(b)</t>
        </is>
      </c>
      <c r="E27" s="20" t="inlineStr">
        <is>
          <t>Test execution ensuring method, branch and condition coverage; good unit testing</t>
        </is>
      </c>
      <c r="F27" s="20" t="inlineStr">
        <is>
          <t>Code coverage — 1-Coverage.pptx, sl. 1–8</t>
        </is>
      </c>
      <c r="G27" s="19" t="inlineStr">
        <is>
          <t>L25</t>
        </is>
      </c>
      <c r="H27" s="19" t="n">
        <v>15</v>
      </c>
      <c r="I27" s="19" t="n">
        <v>27</v>
      </c>
      <c r="J27" s="21" t="inlineStr">
        <is>
          <t>★★ Medium</t>
        </is>
      </c>
      <c r="K27" s="19" t="inlineStr">
        <is>
          <t>Test design</t>
        </is>
      </c>
      <c r="L27" s="22" t="inlineStr">
        <is>
          <t>✔ Solved</t>
        </is>
      </c>
      <c r="M27" s="20" t="inlineStr">
        <is>
          <t>2022-23 4(c); 2020-21 6(b)</t>
        </is>
      </c>
      <c r="N27" s="23" t="b">
        <v>0</v>
      </c>
      <c r="O27" s="19" t="n"/>
      <c r="P27" s="19" t="n"/>
      <c r="Q27" s="20" t="n"/>
    </row>
    <row r="28">
      <c r="A28" s="24" t="n">
        <v>25</v>
      </c>
      <c r="B28" s="24" t="inlineStr">
        <is>
          <t>2023-24</t>
        </is>
      </c>
      <c r="C28" s="24" t="inlineStr">
        <is>
          <t>CSE 213</t>
        </is>
      </c>
      <c r="D28" s="24" t="inlineStr">
        <is>
          <t>3(b)</t>
        </is>
      </c>
      <c r="E28" s="6" t="inlineStr">
        <is>
          <t>White-box test cases for FindMean</t>
        </is>
      </c>
      <c r="F28" s="6" t="inlineStr">
        <is>
          <t>Basis paths, loop testing — textbook</t>
        </is>
      </c>
      <c r="G28" s="24" t="inlineStr">
        <is>
          <t>L26</t>
        </is>
      </c>
      <c r="H28" s="24" t="n">
        <v>10</v>
      </c>
      <c r="I28" s="24" t="n">
        <v>3</v>
      </c>
      <c r="J28" s="25" t="inlineStr">
        <is>
          <t>★★★ High</t>
        </is>
      </c>
      <c r="K28" s="24" t="inlineStr">
        <is>
          <t>Test design</t>
        </is>
      </c>
      <c r="L28" s="22" t="inlineStr">
        <is>
          <t>✔ Solved</t>
        </is>
      </c>
      <c r="M28" s="6" t="inlineStr">
        <is>
          <t>2012-13 4(c); 2011-12 7(b)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2014-15</t>
        </is>
      </c>
      <c r="C29" s="24" t="inlineStr">
        <is>
          <t>CSE 307</t>
        </is>
      </c>
      <c r="D29" s="24" t="inlineStr">
        <is>
          <t>2(b)</t>
        </is>
      </c>
      <c r="E29" s="6" t="inlineStr">
        <is>
          <t>Loop-testing test cases: max of n numbers</t>
        </is>
      </c>
      <c r="F29" s="6" t="inlineStr">
        <is>
          <t>Basis paths, loop testing — textbook</t>
        </is>
      </c>
      <c r="G29" s="24" t="inlineStr">
        <is>
          <t>L26</t>
        </is>
      </c>
      <c r="H29" s="24" t="n">
        <v>12</v>
      </c>
      <c r="I29" s="24" t="n">
        <v>41</v>
      </c>
      <c r="J29" s="21" t="inlineStr">
        <is>
          <t>★★ Medium</t>
        </is>
      </c>
      <c r="K29" s="24" t="inlineStr">
        <is>
          <t>Test design</t>
        </is>
      </c>
      <c r="L29" s="22" t="inlineStr">
        <is>
          <t>✔ Solved</t>
        </is>
      </c>
      <c r="M29" s="6" t="inlineStr">
        <is>
          <t>2013-14 3(d)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2013-14</t>
        </is>
      </c>
      <c r="C30" s="24" t="inlineStr">
        <is>
          <t>CSE 307</t>
        </is>
      </c>
      <c r="D30" s="24" t="inlineStr">
        <is>
          <t>3(d)</t>
        </is>
      </c>
      <c r="E30" s="6" t="inlineStr">
        <is>
          <t>Loop-testing test cases: sum of n numbers</t>
        </is>
      </c>
      <c r="F30" s="6" t="inlineStr">
        <is>
          <t>Basis paths, loop testing — textbook</t>
        </is>
      </c>
      <c r="G30" s="24" t="inlineStr">
        <is>
          <t>L26</t>
        </is>
      </c>
      <c r="H30" s="24" t="n">
        <v>10</v>
      </c>
      <c r="I30" s="24" t="n">
        <v>46</v>
      </c>
      <c r="J30" s="21" t="inlineStr">
        <is>
          <t>★★ Medium</t>
        </is>
      </c>
      <c r="K30" s="24" t="inlineStr">
        <is>
          <t>Test design</t>
        </is>
      </c>
      <c r="L30" s="22" t="inlineStr">
        <is>
          <t>✔ Solved</t>
        </is>
      </c>
      <c r="M30" s="6" t="inlineStr">
        <is>
          <t>2014-15 2(b)</t>
        </is>
      </c>
      <c r="N30" s="23" t="b">
        <v>0</v>
      </c>
      <c r="O30" s="24" t="n"/>
      <c r="P30" s="24" t="n"/>
      <c r="Q30" s="6" t="n"/>
    </row>
    <row r="31">
      <c r="A31" s="24" t="n">
        <v>28</v>
      </c>
      <c r="B31" s="24" t="inlineStr">
        <is>
          <t>2012-13</t>
        </is>
      </c>
      <c r="C31" s="24" t="inlineStr">
        <is>
          <t>CSE 307</t>
        </is>
      </c>
      <c r="D31" s="24" t="inlineStr">
        <is>
          <t>4(c)</t>
        </is>
      </c>
      <c r="E31" s="6" t="inlineStr">
        <is>
          <t>Counting sort: flow graph, independent paths, test cases</t>
        </is>
      </c>
      <c r="F31" s="6" t="inlineStr">
        <is>
          <t>Basis paths, loop testing — textbook</t>
        </is>
      </c>
      <c r="G31" s="24" t="inlineStr">
        <is>
          <t>L26</t>
        </is>
      </c>
      <c r="H31" s="24" t="n">
        <v>20</v>
      </c>
      <c r="I31" s="24" t="inlineStr">
        <is>
          <t>52–53</t>
        </is>
      </c>
      <c r="J31" s="21" t="inlineStr">
        <is>
          <t>★★ Medium</t>
        </is>
      </c>
      <c r="K31" s="24" t="inlineStr">
        <is>
          <t>Test design</t>
        </is>
      </c>
      <c r="L31" s="22" t="inlineStr">
        <is>
          <t>✔ Solved</t>
        </is>
      </c>
      <c r="M31" s="6" t="inlineStr">
        <is>
          <t>2023-24 3(b); 2011-12 7(b)</t>
        </is>
      </c>
      <c r="N31" s="23" t="b">
        <v>0</v>
      </c>
      <c r="O31" s="24" t="n"/>
      <c r="P31" s="24" t="n"/>
      <c r="Q31" s="6" t="n"/>
    </row>
    <row r="32">
      <c r="A32" s="24" t="n">
        <v>29</v>
      </c>
      <c r="B32" s="24" t="inlineStr">
        <is>
          <t>2011-12</t>
        </is>
      </c>
      <c r="C32" s="24" t="inlineStr">
        <is>
          <t>CSE 307</t>
        </is>
      </c>
      <c r="D32" s="24" t="inlineStr">
        <is>
          <t>7(b)</t>
        </is>
      </c>
      <c r="E32" s="6" t="inlineStr">
        <is>
          <t>calculate(amount): CFG, cyclomatic complexity, basis paths, test cases</t>
        </is>
      </c>
      <c r="F32" s="6" t="inlineStr">
        <is>
          <t>Basis paths, loop testing — textbook</t>
        </is>
      </c>
      <c r="G32" s="24" t="inlineStr">
        <is>
          <t>L26</t>
        </is>
      </c>
      <c r="H32" s="24" t="n">
        <v>25</v>
      </c>
      <c r="I32" s="24" t="n">
        <v>61</v>
      </c>
      <c r="J32" s="21" t="inlineStr">
        <is>
          <t>★★ Medium</t>
        </is>
      </c>
      <c r="K32" s="24" t="inlineStr">
        <is>
          <t>Test design</t>
        </is>
      </c>
      <c r="L32" s="22" t="inlineStr">
        <is>
          <t>✔ Solved</t>
        </is>
      </c>
      <c r="M32" s="6" t="inlineStr">
        <is>
          <t>2023-24 3(b); 2012-13 4(c)</t>
        </is>
      </c>
      <c r="N32" s="23" t="b">
        <v>0</v>
      </c>
      <c r="O32" s="24" t="n"/>
      <c r="P32" s="24" t="n"/>
      <c r="Q32" s="6" t="n"/>
    </row>
    <row r="33">
      <c r="A33" s="19" t="n">
        <v>30</v>
      </c>
      <c r="B33" s="19" t="inlineStr">
        <is>
          <t>2024-25</t>
        </is>
      </c>
      <c r="C33" s="19" t="inlineStr">
        <is>
          <t>CSE 213</t>
        </is>
      </c>
      <c r="D33" s="19" t="inlineStr">
        <is>
          <t>5(a)</t>
        </is>
      </c>
      <c r="E33" s="20" t="inlineStr">
        <is>
          <t>Course registration ECT (credits C1–C4, CGPA G1–G4, status S1–S3): minimal weak ECT, strong count, defect missed by weak</t>
        </is>
      </c>
      <c r="F33" s="20" t="inlineStr">
        <is>
          <t>EP, BVA, positive/negative — 2-Equivalence partitioning.pptx</t>
        </is>
      </c>
      <c r="G33" s="19" t="inlineStr">
        <is>
          <t>L27</t>
        </is>
      </c>
      <c r="H33" s="19" t="n">
        <v>15</v>
      </c>
      <c r="I33" s="19" t="inlineStr">
        <is>
          <t>22 batch p.5</t>
        </is>
      </c>
      <c r="J33" s="25" t="inlineStr">
        <is>
          <t>★★★ High</t>
        </is>
      </c>
      <c r="K33" s="19" t="inlineStr">
        <is>
          <t>Test design</t>
        </is>
      </c>
      <c r="L33" s="22" t="inlineStr">
        <is>
          <t>✔ Solved</t>
        </is>
      </c>
      <c r="M33" s="20" t="inlineStr">
        <is>
          <t>2023-24 1(c); 2022-23 1(b); 2020-21 5(b); 2018-19 1(b)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2024-25</t>
        </is>
      </c>
      <c r="C34" s="19" t="inlineStr">
        <is>
          <t>CSE 213</t>
        </is>
      </c>
      <c r="D34" s="19" t="inlineStr">
        <is>
          <t>7(b)</t>
        </is>
      </c>
      <c r="E34" s="20" t="inlineStr">
        <is>
          <t>BVA for the LOW partition 30 ≤ M ≤ 70</t>
        </is>
      </c>
      <c r="F34" s="20" t="inlineStr">
        <is>
          <t>EP, BVA, positive/negative — 2-Equivalence partitioning.pptx</t>
        </is>
      </c>
      <c r="G34" s="19" t="inlineStr">
        <is>
          <t>L27</t>
        </is>
      </c>
      <c r="H34" s="19" t="n">
        <v>10</v>
      </c>
      <c r="I34" s="19" t="inlineStr">
        <is>
          <t>22 batch p.7</t>
        </is>
      </c>
      <c r="J34" s="25" t="inlineStr">
        <is>
          <t>★★★ High</t>
        </is>
      </c>
      <c r="K34" s="19" t="inlineStr">
        <is>
          <t>Test design</t>
        </is>
      </c>
      <c r="L34" s="22" t="inlineStr">
        <is>
          <t>✔ Solved</t>
        </is>
      </c>
      <c r="M34" s="20" t="inlineStr">
        <is>
          <t>—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2023-24</t>
        </is>
      </c>
      <c r="C35" s="19" t="inlineStr">
        <is>
          <t>CSE 213</t>
        </is>
      </c>
      <c r="D35" s="19" t="inlineStr">
        <is>
          <t>1(c)</t>
        </is>
      </c>
      <c r="E35" s="20" t="inlineStr">
        <is>
          <t>Design test cases for the password policy</t>
        </is>
      </c>
      <c r="F35" s="20" t="inlineStr">
        <is>
          <t>EP, BVA, positive/negative — 2-Equivalence partitioning.pptx</t>
        </is>
      </c>
      <c r="G35" s="19" t="inlineStr">
        <is>
          <t>L27</t>
        </is>
      </c>
      <c r="H35" s="19" t="n">
        <v>10</v>
      </c>
      <c r="I35" s="19" t="n">
        <v>1</v>
      </c>
      <c r="J35" s="25" t="inlineStr">
        <is>
          <t>★★★ High</t>
        </is>
      </c>
      <c r="K35" s="19" t="inlineStr">
        <is>
          <t>Test design</t>
        </is>
      </c>
      <c r="L35" s="22" t="inlineStr">
        <is>
          <t>✔ Solved</t>
        </is>
      </c>
      <c r="M35" s="20" t="inlineStr">
        <is>
          <t>2024-25 5(a); 2022-23 1(b); 2020-21 5(b); 2018-19 1(b)</t>
        </is>
      </c>
      <c r="N35" s="23" t="b">
        <v>0</v>
      </c>
      <c r="O35" s="19" t="n"/>
      <c r="P35" s="19" t="n"/>
      <c r="Q35" s="20" t="n"/>
    </row>
    <row r="36">
      <c r="A36" s="19" t="n">
        <v>33</v>
      </c>
      <c r="B36" s="19" t="inlineStr">
        <is>
          <t>2023-24</t>
        </is>
      </c>
      <c r="C36" s="19" t="inlineStr">
        <is>
          <t>CSE 213</t>
        </is>
      </c>
      <c r="D36" s="19" t="inlineStr">
        <is>
          <t>3(c)</t>
        </is>
      </c>
      <c r="E36" s="20" t="inlineStr">
        <is>
          <t>Equivalence partitioning principle; why it is used</t>
        </is>
      </c>
      <c r="F36" s="20" t="inlineStr">
        <is>
          <t>EP, BVA, positive/negative — 2-Equivalence partitioning.pptx</t>
        </is>
      </c>
      <c r="G36" s="19" t="inlineStr">
        <is>
          <t>L27</t>
        </is>
      </c>
      <c r="H36" s="19" t="n">
        <v>8</v>
      </c>
      <c r="I36" s="19" t="n">
        <v>4</v>
      </c>
      <c r="J36" s="25" t="inlineStr">
        <is>
          <t>★★★ High</t>
        </is>
      </c>
      <c r="K36" s="19" t="inlineStr">
        <is>
          <t>Theory</t>
        </is>
      </c>
      <c r="L36" s="22" t="inlineStr">
        <is>
          <t>✔ Solved</t>
        </is>
      </c>
      <c r="M36" s="20" t="inlineStr">
        <is>
          <t>2013-14 3(e)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2022-23</t>
        </is>
      </c>
      <c r="C37" s="19" t="inlineStr">
        <is>
          <t>CSE 307</t>
        </is>
      </c>
      <c r="D37" s="19" t="inlineStr">
        <is>
          <t>1(b)</t>
        </is>
      </c>
      <c r="E37" s="20" t="inlineStr">
        <is>
          <t>Test cases for income-tax slabs 0 % &lt; 4 lac, 10 % 4–10 lac, 20 % &gt; 10 lac</t>
        </is>
      </c>
      <c r="F37" s="20" t="inlineStr">
        <is>
          <t>EP, BVA, positive/negative — 2-Equivalence partitioning.pptx</t>
        </is>
      </c>
      <c r="G37" s="19" t="inlineStr">
        <is>
          <t>L27</t>
        </is>
      </c>
      <c r="H37" s="19" t="n">
        <v>10</v>
      </c>
      <c r="I37" s="19" t="n">
        <v>8</v>
      </c>
      <c r="J37" s="25" t="inlineStr">
        <is>
          <t>★★★ High</t>
        </is>
      </c>
      <c r="K37" s="19" t="inlineStr">
        <is>
          <t>Test design</t>
        </is>
      </c>
      <c r="L37" s="22" t="inlineStr">
        <is>
          <t>✔ Solved</t>
        </is>
      </c>
      <c r="M37" s="20" t="inlineStr">
        <is>
          <t>2024-25 5(a); 2023-24 1(c); 2020-21 5(b); 2018-19 1(b)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2021-22</t>
        </is>
      </c>
      <c r="C38" s="19" t="inlineStr">
        <is>
          <t>CSE 307</t>
        </is>
      </c>
      <c r="D38" s="19" t="inlineStr">
        <is>
          <t>4(c)</t>
        </is>
      </c>
      <c r="E38" s="20" t="inlineStr">
        <is>
          <t>Five negative-testing ideas for a web application</t>
        </is>
      </c>
      <c r="F38" s="20" t="inlineStr">
        <is>
          <t>EP, BVA, positive/negative — 2-Equivalence partitioning.pptx</t>
        </is>
      </c>
      <c r="G38" s="19" t="inlineStr">
        <is>
          <t>L27</t>
        </is>
      </c>
      <c r="H38" s="19" t="n">
        <v>5</v>
      </c>
      <c r="I38" s="19" t="n">
        <v>16</v>
      </c>
      <c r="J38" s="25" t="inlineStr">
        <is>
          <t>★★★ High</t>
        </is>
      </c>
      <c r="K38" s="19" t="inlineStr">
        <is>
          <t>Theory</t>
        </is>
      </c>
      <c r="L38" s="22" t="inlineStr">
        <is>
          <t>✔ Solved</t>
        </is>
      </c>
      <c r="M38" s="20" t="inlineStr">
        <is>
          <t>2020-21 7(a); 2018-19 3(a)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2020-21</t>
        </is>
      </c>
      <c r="C39" s="19" t="inlineStr">
        <is>
          <t>CSE 307</t>
        </is>
      </c>
      <c r="D39" s="19" t="inlineStr">
        <is>
          <t>5(b)</t>
        </is>
      </c>
      <c r="E39" s="20" t="inlineStr">
        <is>
          <t>Equivalence partitioning; test input set for Release Order cost</t>
        </is>
      </c>
      <c r="F39" s="20" t="inlineStr">
        <is>
          <t>EP, BVA, positive/negative — 2-Equivalence partitioning.pptx</t>
        </is>
      </c>
      <c r="G39" s="19" t="inlineStr">
        <is>
          <t>L27</t>
        </is>
      </c>
      <c r="H39" s="19" t="n">
        <v>12</v>
      </c>
      <c r="I39" s="19" t="n">
        <v>21</v>
      </c>
      <c r="J39" s="25" t="inlineStr">
        <is>
          <t>★★★ High</t>
        </is>
      </c>
      <c r="K39" s="19" t="inlineStr">
        <is>
          <t>Test design</t>
        </is>
      </c>
      <c r="L39" s="22" t="inlineStr">
        <is>
          <t>✔ Solved</t>
        </is>
      </c>
      <c r="M39" s="20" t="inlineStr">
        <is>
          <t>2024-25 5(a); 2023-24 1(c); 2022-23 1(b); 2018-19 1(b)</t>
        </is>
      </c>
      <c r="N39" s="23" t="b">
        <v>0</v>
      </c>
      <c r="O39" s="19" t="n"/>
      <c r="P39" s="19" t="n"/>
      <c r="Q39" s="20" t="n"/>
    </row>
    <row r="40">
      <c r="A40" s="19" t="n">
        <v>37</v>
      </c>
      <c r="B40" s="19" t="inlineStr">
        <is>
          <t>2020-21</t>
        </is>
      </c>
      <c r="C40" s="19" t="inlineStr">
        <is>
          <t>CSE 307</t>
        </is>
      </c>
      <c r="D40" s="19" t="inlineStr">
        <is>
          <t>7(a)</t>
        </is>
      </c>
      <c r="E40" s="20" t="inlineStr">
        <is>
          <t>GM laptop + two phones per year requisition: positive and negative testing</t>
        </is>
      </c>
      <c r="F40" s="20" t="inlineStr">
        <is>
          <t>EP, BVA, positive/negative — 2-Equivalence partitioning.pptx</t>
        </is>
      </c>
      <c r="G40" s="19" t="inlineStr">
        <is>
          <t>L27</t>
        </is>
      </c>
      <c r="H40" s="19" t="n">
        <v>10</v>
      </c>
      <c r="I40" s="19" t="n">
        <v>21</v>
      </c>
      <c r="J40" s="25" t="inlineStr">
        <is>
          <t>★★★ High</t>
        </is>
      </c>
      <c r="K40" s="19" t="inlineStr">
        <is>
          <t>Test design</t>
        </is>
      </c>
      <c r="L40" s="22" t="inlineStr">
        <is>
          <t>✔ Solved</t>
        </is>
      </c>
      <c r="M40" s="20" t="inlineStr">
        <is>
          <t>2021-22 4(c); 2018-19 3(a)</t>
        </is>
      </c>
      <c r="N40" s="23" t="b">
        <v>0</v>
      </c>
      <c r="O40" s="19" t="n"/>
      <c r="P40" s="19" t="n"/>
      <c r="Q40" s="20" t="n"/>
    </row>
    <row r="41">
      <c r="A41" s="19" t="n">
        <v>38</v>
      </c>
      <c r="B41" s="19" t="inlineStr">
        <is>
          <t>2018-19</t>
        </is>
      </c>
      <c r="C41" s="19" t="inlineStr">
        <is>
          <t>CSE 307</t>
        </is>
      </c>
      <c r="D41" s="19" t="inlineStr">
        <is>
          <t>1(b)</t>
        </is>
      </c>
      <c r="E41" s="20" t="inlineStr">
        <is>
          <t>Equivalence partitioning; test input set for BIIS user roles</t>
        </is>
      </c>
      <c r="F41" s="20" t="inlineStr">
        <is>
          <t>EP, BVA, positive/negative — 2-Equivalence partitioning.pptx</t>
        </is>
      </c>
      <c r="G41" s="19" t="inlineStr">
        <is>
          <t>L27</t>
        </is>
      </c>
      <c r="H41" s="19" t="n">
        <v>12</v>
      </c>
      <c r="I41" s="19" t="n">
        <v>26</v>
      </c>
      <c r="J41" s="21" t="inlineStr">
        <is>
          <t>★★ Medium</t>
        </is>
      </c>
      <c r="K41" s="19" t="inlineStr">
        <is>
          <t>Test design</t>
        </is>
      </c>
      <c r="L41" s="26" t="inlineStr">
        <is>
          <t>◐ Method</t>
        </is>
      </c>
      <c r="M41" s="20" t="inlineStr">
        <is>
          <t>2024-25 5(a); 2023-24 1(c); 2022-23 1(b); 2020-21 5(b)</t>
        </is>
      </c>
      <c r="N41" s="23" t="b">
        <v>0</v>
      </c>
      <c r="O41" s="19" t="n"/>
      <c r="P41" s="19" t="n"/>
      <c r="Q41" s="20" t="n"/>
    </row>
    <row r="42">
      <c r="A42" s="19" t="n">
        <v>39</v>
      </c>
      <c r="B42" s="19" t="inlineStr">
        <is>
          <t>2018-19</t>
        </is>
      </c>
      <c r="C42" s="19" t="inlineStr">
        <is>
          <t>CSE 307</t>
        </is>
      </c>
      <c r="D42" s="19" t="inlineStr">
        <is>
          <t>3(a)</t>
        </is>
      </c>
      <c r="E42" s="20" t="inlineStr">
        <is>
          <t>GM laptop requisition: positive and negative testing</t>
        </is>
      </c>
      <c r="F42" s="20" t="inlineStr">
        <is>
          <t>EP, BVA, positive/negative — 2-Equivalence partitioning.pptx</t>
        </is>
      </c>
      <c r="G42" s="19" t="inlineStr">
        <is>
          <t>L27</t>
        </is>
      </c>
      <c r="H42" s="19" t="n">
        <v>7</v>
      </c>
      <c r="I42" s="19" t="n">
        <v>27</v>
      </c>
      <c r="J42" s="21" t="inlineStr">
        <is>
          <t>★★ Medium</t>
        </is>
      </c>
      <c r="K42" s="19" t="inlineStr">
        <is>
          <t>Test design</t>
        </is>
      </c>
      <c r="L42" s="22" t="inlineStr">
        <is>
          <t>✔ Solved</t>
        </is>
      </c>
      <c r="M42" s="20" t="inlineStr">
        <is>
          <t>2021-22 4(c); 2020-21 7(a)</t>
        </is>
      </c>
      <c r="N42" s="23" t="b">
        <v>0</v>
      </c>
      <c r="O42" s="19" t="n"/>
      <c r="P42" s="19" t="n"/>
      <c r="Q42" s="20" t="n"/>
    </row>
    <row r="43">
      <c r="A43" s="19" t="n">
        <v>40</v>
      </c>
      <c r="B43" s="19" t="inlineStr">
        <is>
          <t>2013-14</t>
        </is>
      </c>
      <c r="C43" s="19" t="inlineStr">
        <is>
          <t>CSE 307</t>
        </is>
      </c>
      <c r="D43" s="19" t="inlineStr">
        <is>
          <t>3(e)</t>
        </is>
      </c>
      <c r="E43" s="20" t="inlineStr">
        <is>
          <t>Equivalence partitioning to reduce test cases — example</t>
        </is>
      </c>
      <c r="F43" s="20" t="inlineStr">
        <is>
          <t>EP, BVA, positive/negative — 2-Equivalence partitioning.pptx</t>
        </is>
      </c>
      <c r="G43" s="19" t="inlineStr">
        <is>
          <t>L27</t>
        </is>
      </c>
      <c r="H43" s="19" t="n">
        <v>6.67</v>
      </c>
      <c r="I43" s="19" t="n">
        <v>46</v>
      </c>
      <c r="J43" s="21" t="inlineStr">
        <is>
          <t>★★ Medium</t>
        </is>
      </c>
      <c r="K43" s="19" t="inlineStr">
        <is>
          <t>Theory</t>
        </is>
      </c>
      <c r="L43" s="22" t="inlineStr">
        <is>
          <t>✔ Solved</t>
        </is>
      </c>
      <c r="M43" s="20" t="inlineStr">
        <is>
          <t>2023-24 3(c)</t>
        </is>
      </c>
      <c r="N43" s="23" t="b">
        <v>0</v>
      </c>
      <c r="O43" s="19" t="n"/>
      <c r="P43" s="19" t="n"/>
      <c r="Q43" s="20" t="n"/>
    </row>
  </sheetData>
  <autoFilter ref="A3:Q43"/>
  <conditionalFormatting sqref="A4:Q43">
    <cfRule type="expression" priority="1" dxfId="0">
      <formula>$N4=TRUE</formula>
    </cfRule>
  </conditionalFormatting>
  <conditionalFormatting sqref="O4:O43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43" showDropDown="0" showInputMessage="0" showErrorMessage="0" allowBlank="1" type="list">
      <formula1>"TRUE,FALSE"</formula1>
    </dataValidation>
    <dataValidation sqref="O4:O43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Anindya-section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2021-22</t>
        </is>
      </c>
      <c r="C4" s="24" t="inlineStr">
        <is>
          <t>CSE 307</t>
        </is>
      </c>
      <c r="D4" s="24" t="inlineStr">
        <is>
          <t>1(c)</t>
        </is>
      </c>
      <c r="E4" s="6" t="inlineStr">
        <is>
          <t>System implementation: parallel, plunge, pilot, phased + use case</t>
        </is>
      </c>
      <c r="F4" s="6" t="inlineStr">
        <is>
          <t>IS implementation / installation</t>
        </is>
      </c>
      <c r="G4" s="24" t="n">
        <v>6</v>
      </c>
      <c r="H4" s="24" t="n">
        <v>14</v>
      </c>
      <c r="I4" s="23" t="b">
        <v>0</v>
      </c>
      <c r="J4" s="6" t="n"/>
    </row>
    <row r="5">
      <c r="A5" s="24" t="n">
        <v>2</v>
      </c>
      <c r="B5" s="24" t="inlineStr">
        <is>
          <t>2017-18</t>
        </is>
      </c>
      <c r="C5" s="24" t="inlineStr">
        <is>
          <t>CSE 307</t>
        </is>
      </c>
      <c r="D5" s="24" t="inlineStr">
        <is>
          <t>5(b)</t>
        </is>
      </c>
      <c r="E5" s="6" t="inlineStr">
        <is>
          <t>Usability: measurement, two dimensions</t>
        </is>
      </c>
      <c r="F5" s="6" t="inlineStr">
        <is>
          <t>UI / usability</t>
        </is>
      </c>
      <c r="G5" s="24" t="n">
        <v>12</v>
      </c>
      <c r="H5" s="24" t="n">
        <v>33</v>
      </c>
      <c r="I5" s="23" t="b">
        <v>0</v>
      </c>
      <c r="J5" s="6" t="n"/>
    </row>
    <row r="6">
      <c r="A6" s="24" t="n">
        <v>3</v>
      </c>
      <c r="B6" s="24" t="inlineStr">
        <is>
          <t>2017-18</t>
        </is>
      </c>
      <c r="C6" s="24" t="inlineStr">
        <is>
          <t>CSE 307</t>
        </is>
      </c>
      <c r="D6" s="24" t="inlineStr">
        <is>
          <t>6(b)</t>
        </is>
      </c>
      <c r="E6" s="6" t="inlineStr">
        <is>
          <t>Parameterisation; UI to parameterise POS product price</t>
        </is>
      </c>
      <c r="F6" s="6" t="inlineStr">
        <is>
          <t>UI / parameterisation</t>
        </is>
      </c>
      <c r="G6" s="24" t="n">
        <v>13</v>
      </c>
      <c r="H6" s="24" t="n">
        <v>33</v>
      </c>
      <c r="I6" s="23" t="b">
        <v>0</v>
      </c>
      <c r="J6" s="6" t="n"/>
    </row>
    <row r="7">
      <c r="A7" s="24" t="n">
        <v>4</v>
      </c>
      <c r="B7" s="24" t="inlineStr">
        <is>
          <t>2016-17</t>
        </is>
      </c>
      <c r="C7" s="24" t="inlineStr">
        <is>
          <t>CSE 307</t>
        </is>
      </c>
      <c r="D7" s="24" t="inlineStr">
        <is>
          <t>1(b)</t>
        </is>
      </c>
      <c r="E7" s="6" t="inlineStr">
        <is>
          <t>Types of output documents</t>
        </is>
      </c>
      <c r="F7" s="6" t="inlineStr">
        <is>
          <t>IS design (outputs)</t>
        </is>
      </c>
      <c r="G7" s="24" t="n">
        <v>12</v>
      </c>
      <c r="H7" s="24" t="n">
        <v>35</v>
      </c>
      <c r="I7" s="23" t="b">
        <v>0</v>
      </c>
      <c r="J7" s="6" t="n"/>
    </row>
    <row r="8">
      <c r="A8" s="24" t="n">
        <v>5</v>
      </c>
      <c r="B8" s="24" t="inlineStr">
        <is>
          <t>2016-17</t>
        </is>
      </c>
      <c r="C8" s="24" t="inlineStr">
        <is>
          <t>CSE 307</t>
        </is>
      </c>
      <c r="D8" s="24" t="inlineStr">
        <is>
          <t>1(c)</t>
        </is>
      </c>
      <c r="E8" s="6" t="inlineStr">
        <is>
          <t>Payback period and ROI (dev $50,000, 11 %)</t>
        </is>
      </c>
      <c r="F8" s="6" t="inlineStr">
        <is>
          <t>Cost–benefit (payback / ROI)</t>
        </is>
      </c>
      <c r="G8" s="24" t="n">
        <v>15</v>
      </c>
      <c r="H8" s="24" t="n">
        <v>35</v>
      </c>
      <c r="I8" s="23" t="b">
        <v>0</v>
      </c>
      <c r="J8" s="6" t="n"/>
    </row>
    <row r="9">
      <c r="A9" s="24" t="n">
        <v>6</v>
      </c>
      <c r="B9" s="24" t="inlineStr">
        <is>
          <t>2016-17</t>
        </is>
      </c>
      <c r="C9" s="24" t="inlineStr">
        <is>
          <t>CSE 307</t>
        </is>
      </c>
      <c r="D9" s="24" t="inlineStr">
        <is>
          <t>4(a)–(d)</t>
        </is>
      </c>
      <c r="E9" s="6" t="inlineStr">
        <is>
          <t>UI problems of a registration page; construction steps; Shneiderman's 8 rules; EMI calculator prototype</t>
        </is>
      </c>
      <c r="F9" s="6" t="inlineStr">
        <is>
          <t>UI design</t>
        </is>
      </c>
      <c r="G9" s="24" t="n">
        <v>46.67</v>
      </c>
      <c r="H9" s="24" t="n">
        <v>37</v>
      </c>
      <c r="I9" s="23" t="b">
        <v>0</v>
      </c>
      <c r="J9" s="6" t="n"/>
    </row>
    <row r="10">
      <c r="A10" s="24" t="n">
        <v>7</v>
      </c>
      <c r="B10" s="24" t="inlineStr">
        <is>
          <t>2014-15</t>
        </is>
      </c>
      <c r="C10" s="24" t="inlineStr">
        <is>
          <t>CSE 307</t>
        </is>
      </c>
      <c r="D10" s="24" t="inlineStr">
        <is>
          <t>5(a)</t>
        </is>
      </c>
      <c r="E10" s="6" t="inlineStr">
        <is>
          <t>Magazine company: prototype of the information system</t>
        </is>
      </c>
      <c r="F10" s="6" t="inlineStr">
        <is>
          <t>IS design (prototype)</t>
        </is>
      </c>
      <c r="G10" s="24" t="n">
        <v>20</v>
      </c>
      <c r="H10" s="24" t="n">
        <v>42</v>
      </c>
      <c r="I10" s="23" t="b">
        <v>0</v>
      </c>
      <c r="J10" s="6" t="n"/>
    </row>
    <row r="11">
      <c r="A11" s="24" t="n">
        <v>8</v>
      </c>
      <c r="B11" s="24" t="inlineStr">
        <is>
          <t>2014-15</t>
        </is>
      </c>
      <c r="C11" s="24" t="inlineStr">
        <is>
          <t>CSE 307</t>
        </is>
      </c>
      <c r="D11" s="24" t="inlineStr">
        <is>
          <t>5(d)</t>
        </is>
      </c>
      <c r="E11" s="6" t="inlineStr">
        <is>
          <t>Future value of $100 after 5 years at 5 %</t>
        </is>
      </c>
      <c r="F11" s="6" t="inlineStr">
        <is>
          <t>Cost–benefit (payback / ROI)</t>
        </is>
      </c>
      <c r="G11" s="24" t="n">
        <v>6.67</v>
      </c>
      <c r="H11" s="24" t="n">
        <v>43</v>
      </c>
      <c r="I11" s="23" t="b">
        <v>0</v>
      </c>
      <c r="J11" s="6" t="n"/>
    </row>
    <row r="12">
      <c r="A12" s="24" t="n">
        <v>9</v>
      </c>
      <c r="B12" s="24" t="inlineStr">
        <is>
          <t>2014-15</t>
        </is>
      </c>
      <c r="C12" s="24" t="inlineStr">
        <is>
          <t>CSE 307</t>
        </is>
      </c>
      <c r="D12" s="24" t="inlineStr">
        <is>
          <t>7(a)</t>
        </is>
      </c>
      <c r="E12" s="6" t="inlineStr">
        <is>
          <t>Kinds of feasibility analysis</t>
        </is>
      </c>
      <c r="F12" s="6" t="inlineStr">
        <is>
          <t>IS design (feasibility)</t>
        </is>
      </c>
      <c r="G12" s="24" t="n">
        <v>15</v>
      </c>
      <c r="H12" s="24" t="n">
        <v>43</v>
      </c>
      <c r="I12" s="23" t="b">
        <v>0</v>
      </c>
      <c r="J12" s="6" t="n"/>
    </row>
    <row r="13">
      <c r="A13" s="24" t="n">
        <v>10</v>
      </c>
      <c r="B13" s="24" t="inlineStr">
        <is>
          <t>2014-15</t>
        </is>
      </c>
      <c r="C13" s="24" t="inlineStr">
        <is>
          <t>CSE 307</t>
        </is>
      </c>
      <c r="D13" s="24" t="inlineStr">
        <is>
          <t>7(b)</t>
        </is>
      </c>
      <c r="E13" s="6" t="inlineStr">
        <is>
          <t>Video rental: context diagram and DFD</t>
        </is>
      </c>
      <c r="F13" s="6" t="inlineStr">
        <is>
          <t>DFD</t>
        </is>
      </c>
      <c r="G13" s="24" t="n">
        <v>22</v>
      </c>
      <c r="H13" s="24" t="n">
        <v>43</v>
      </c>
      <c r="I13" s="23" t="b">
        <v>0</v>
      </c>
      <c r="J13" s="6" t="n"/>
    </row>
    <row r="14">
      <c r="A14" s="24" t="n">
        <v>11</v>
      </c>
      <c r="B14" s="24" t="inlineStr">
        <is>
          <t>2014-15</t>
        </is>
      </c>
      <c r="C14" s="24" t="inlineStr">
        <is>
          <t>CSE 307</t>
        </is>
      </c>
      <c r="D14" s="24" t="inlineStr">
        <is>
          <t>8(c)</t>
        </is>
      </c>
      <c r="E14" s="6" t="inlineStr">
        <is>
          <t>ABC Advertising: centralised vs distributed IS; fact-finding strategy</t>
        </is>
      </c>
      <c r="F14" s="6" t="inlineStr">
        <is>
          <t>IS design</t>
        </is>
      </c>
      <c r="G14" s="24" t="n">
        <v>12</v>
      </c>
      <c r="H14" s="24" t="n">
        <v>44</v>
      </c>
      <c r="I14" s="23" t="b">
        <v>0</v>
      </c>
      <c r="J14" s="6" t="n"/>
    </row>
    <row r="15">
      <c r="A15" s="24" t="n">
        <v>12</v>
      </c>
      <c r="B15" s="24" t="inlineStr">
        <is>
          <t>2013-14</t>
        </is>
      </c>
      <c r="C15" s="24" t="inlineStr">
        <is>
          <t>CSE 307</t>
        </is>
      </c>
      <c r="D15" s="24" t="inlineStr">
        <is>
          <t>4(a)</t>
        </is>
      </c>
      <c r="E15" s="6" t="inlineStr">
        <is>
          <t>Aircraft controller DFD and architecture</t>
        </is>
      </c>
      <c r="F15" s="6" t="inlineStr">
        <is>
          <t>DFD / architecture</t>
        </is>
      </c>
      <c r="G15" s="24" t="n">
        <v>17.67</v>
      </c>
      <c r="H15" s="24" t="n">
        <v>46</v>
      </c>
      <c r="I15" s="23" t="b">
        <v>0</v>
      </c>
      <c r="J15" s="6" t="n"/>
    </row>
    <row r="16">
      <c r="A16" s="24" t="n">
        <v>13</v>
      </c>
      <c r="B16" s="24" t="inlineStr">
        <is>
          <t>2013-14</t>
        </is>
      </c>
      <c r="C16" s="24" t="inlineStr">
        <is>
          <t>CSE 307</t>
        </is>
      </c>
      <c r="D16" s="24" t="inlineStr">
        <is>
          <t>5(a)</t>
        </is>
      </c>
      <c r="E16" s="6" t="inlineStr">
        <is>
          <t>Model in IS design</t>
        </is>
      </c>
      <c r="F16" s="6" t="inlineStr">
        <is>
          <t>IS design</t>
        </is>
      </c>
      <c r="G16" s="24" t="n">
        <v>5</v>
      </c>
      <c r="H16" s="24" t="n">
        <v>47</v>
      </c>
      <c r="I16" s="23" t="b">
        <v>0</v>
      </c>
      <c r="J16" s="6" t="n"/>
    </row>
    <row r="17">
      <c r="A17" s="24" t="n">
        <v>14</v>
      </c>
      <c r="B17" s="24" t="inlineStr">
        <is>
          <t>2013-14</t>
        </is>
      </c>
      <c r="C17" s="24" t="inlineStr">
        <is>
          <t>CSE 307</t>
        </is>
      </c>
      <c r="D17" s="24" t="inlineStr">
        <is>
          <t>6(c)</t>
        </is>
      </c>
      <c r="E17" s="6" t="inlineStr">
        <is>
          <t>Human-engineering guidelines for UI design</t>
        </is>
      </c>
      <c r="F17" s="6" t="inlineStr">
        <is>
          <t>UI design</t>
        </is>
      </c>
      <c r="G17" s="24" t="n">
        <v>8</v>
      </c>
      <c r="H17" s="24" t="n">
        <v>47</v>
      </c>
      <c r="I17" s="23" t="b">
        <v>0</v>
      </c>
      <c r="J17" s="6" t="n"/>
    </row>
    <row r="18">
      <c r="A18" s="24" t="n">
        <v>15</v>
      </c>
      <c r="B18" s="24" t="inlineStr">
        <is>
          <t>2013-14</t>
        </is>
      </c>
      <c r="C18" s="24" t="inlineStr">
        <is>
          <t>CSE 307</t>
        </is>
      </c>
      <c r="D18" s="24" t="inlineStr">
        <is>
          <t>8(a)–(c)</t>
        </is>
      </c>
      <c r="E18" s="6" t="inlineStr">
        <is>
          <t>PV of $1,000; payback analysis; Blood Bank context diagram + DFD</t>
        </is>
      </c>
      <c r="F18" s="6" t="inlineStr">
        <is>
          <t>Cost–benefit / DFD</t>
        </is>
      </c>
      <c r="G18" s="24" t="n">
        <v>46.67</v>
      </c>
      <c r="H18" s="24" t="inlineStr">
        <is>
          <t>48–49</t>
        </is>
      </c>
      <c r="I18" s="23" t="b">
        <v>0</v>
      </c>
      <c r="J18" s="6" t="n"/>
    </row>
    <row r="19">
      <c r="A19" s="24" t="n">
        <v>16</v>
      </c>
      <c r="B19" s="24" t="inlineStr">
        <is>
          <t>2012-13</t>
        </is>
      </c>
      <c r="C19" s="24" t="inlineStr">
        <is>
          <t>CSE 307</t>
        </is>
      </c>
      <c r="D19" s="24" t="inlineStr">
        <is>
          <t>5(a)</t>
        </is>
      </c>
      <c r="E19" s="6" t="inlineStr">
        <is>
          <t>Sweet Treat top-level DFD</t>
        </is>
      </c>
      <c r="F19" s="6" t="inlineStr">
        <is>
          <t>DFD</t>
        </is>
      </c>
      <c r="G19" s="24" t="n">
        <v>18</v>
      </c>
      <c r="H19" s="24" t="n">
        <v>53</v>
      </c>
      <c r="I19" s="23" t="b">
        <v>0</v>
      </c>
      <c r="J19" s="6" t="n"/>
    </row>
    <row r="20">
      <c r="A20" s="24" t="n">
        <v>17</v>
      </c>
      <c r="B20" s="24" t="inlineStr">
        <is>
          <t>2012-13</t>
        </is>
      </c>
      <c r="C20" s="24" t="inlineStr">
        <is>
          <t>CSE 307</t>
        </is>
      </c>
      <c r="D20" s="24" t="inlineStr">
        <is>
          <t>5(b)</t>
        </is>
      </c>
      <c r="E20" s="6" t="inlineStr">
        <is>
          <t>Online auction payback and ROI (11 %)</t>
        </is>
      </c>
      <c r="F20" s="6" t="inlineStr">
        <is>
          <t>Cost–benefit (payback / ROI)</t>
        </is>
      </c>
      <c r="G20" s="24" t="n">
        <v>15</v>
      </c>
      <c r="H20" s="24" t="inlineStr">
        <is>
          <t>53–54</t>
        </is>
      </c>
      <c r="I20" s="23" t="b">
        <v>0</v>
      </c>
      <c r="J20" s="6" t="n"/>
    </row>
    <row r="21">
      <c r="A21" s="24" t="n">
        <v>18</v>
      </c>
      <c r="B21" s="24" t="inlineStr">
        <is>
          <t>2012-13</t>
        </is>
      </c>
      <c r="C21" s="24" t="inlineStr">
        <is>
          <t>CSE 307</t>
        </is>
      </c>
      <c r="D21" s="24" t="inlineStr">
        <is>
          <t>6(b)</t>
        </is>
      </c>
      <c r="E21" s="6" t="inlineStr">
        <is>
          <t>Chain store: tables, replicate or partition</t>
        </is>
      </c>
      <c r="F21" s="6" t="inlineStr">
        <is>
          <t>IS design (distributed data)</t>
        </is>
      </c>
      <c r="G21" s="24" t="n">
        <v>14</v>
      </c>
      <c r="H21" s="24" t="n">
        <v>55</v>
      </c>
      <c r="I21" s="23" t="b">
        <v>0</v>
      </c>
      <c r="J21" s="6" t="n"/>
    </row>
    <row r="22">
      <c r="A22" s="24" t="n">
        <v>19</v>
      </c>
      <c r="B22" s="24" t="inlineStr">
        <is>
          <t>2012-13</t>
        </is>
      </c>
      <c r="C22" s="24" t="inlineStr">
        <is>
          <t>CSE 307</t>
        </is>
      </c>
      <c r="D22" s="24" t="inlineStr">
        <is>
          <t>6(d)</t>
        </is>
      </c>
      <c r="E22" s="6" t="inlineStr">
        <is>
          <t>Intangible benefits of a DMS</t>
        </is>
      </c>
      <c r="F22" s="6" t="inlineStr">
        <is>
          <t>Cost–benefit</t>
        </is>
      </c>
      <c r="G22" s="24" t="n">
        <v>6.67</v>
      </c>
      <c r="H22" s="24" t="n">
        <v>55</v>
      </c>
      <c r="I22" s="23" t="b">
        <v>0</v>
      </c>
      <c r="J22" s="6" t="n"/>
    </row>
    <row r="23">
      <c r="A23" s="24" t="n">
        <v>20</v>
      </c>
      <c r="B23" s="24" t="inlineStr">
        <is>
          <t>2012-13</t>
        </is>
      </c>
      <c r="C23" s="24" t="inlineStr">
        <is>
          <t>CSE 307</t>
        </is>
      </c>
      <c r="D23" s="24" t="inlineStr">
        <is>
          <t>8(c)–(e)</t>
        </is>
      </c>
      <c r="E23" s="6" t="inlineStr">
        <is>
          <t>Dialogue tone/terminology; define terms; building-permit decomposition diagram</t>
        </is>
      </c>
      <c r="F23" s="6" t="inlineStr">
        <is>
          <t>UI / IS design</t>
        </is>
      </c>
      <c r="G23" s="24" t="n">
        <v>21.67</v>
      </c>
      <c r="H23" s="24" t="n">
        <v>56</v>
      </c>
      <c r="I23" s="23" t="b">
        <v>0</v>
      </c>
      <c r="J23" s="6" t="n"/>
    </row>
    <row r="24">
      <c r="A24" s="24" t="n">
        <v>21</v>
      </c>
      <c r="B24" s="24" t="inlineStr">
        <is>
          <t>2011-12</t>
        </is>
      </c>
      <c r="C24" s="24" t="inlineStr">
        <is>
          <t>CSE 307</t>
        </is>
      </c>
      <c r="D24" s="24" t="inlineStr">
        <is>
          <t>3(c)</t>
        </is>
      </c>
      <c r="E24" s="6" t="inlineStr">
        <is>
          <t>Phases of constructing a new system</t>
        </is>
      </c>
      <c r="F24" s="6" t="inlineStr">
        <is>
          <t>IS implementation / installation</t>
        </is>
      </c>
      <c r="G24" s="24" t="n">
        <v>16</v>
      </c>
      <c r="H24" s="24" t="n">
        <v>58</v>
      </c>
      <c r="I24" s="23" t="b">
        <v>0</v>
      </c>
      <c r="J24" s="6" t="n"/>
    </row>
    <row r="25">
      <c r="A25" s="24" t="n">
        <v>22</v>
      </c>
      <c r="B25" s="24" t="inlineStr">
        <is>
          <t>2011-12</t>
        </is>
      </c>
      <c r="C25" s="24" t="inlineStr">
        <is>
          <t>CSE 307</t>
        </is>
      </c>
      <c r="D25" s="24" t="inlineStr">
        <is>
          <t>3(d)</t>
        </is>
      </c>
      <c r="E25" s="6" t="inlineStr">
        <is>
          <t>Installation strategies</t>
        </is>
      </c>
      <c r="F25" s="6" t="inlineStr">
        <is>
          <t>IS implementation / installation</t>
        </is>
      </c>
      <c r="G25" s="24" t="n">
        <v>8</v>
      </c>
      <c r="H25" s="24" t="n">
        <v>58</v>
      </c>
      <c r="I25" s="23" t="b">
        <v>0</v>
      </c>
      <c r="J25" s="6" t="n"/>
    </row>
    <row r="26">
      <c r="A26" s="24" t="n">
        <v>23</v>
      </c>
      <c r="B26" s="24" t="inlineStr">
        <is>
          <t>2011-12</t>
        </is>
      </c>
      <c r="C26" s="24" t="inlineStr">
        <is>
          <t>CSE 307</t>
        </is>
      </c>
      <c r="D26" s="24" t="inlineStr">
        <is>
          <t>4(a)</t>
        </is>
      </c>
      <c r="E26" s="6" t="inlineStr">
        <is>
          <t>System design approaches; model-driven approaches</t>
        </is>
      </c>
      <c r="F26" s="6" t="inlineStr">
        <is>
          <t>IS design</t>
        </is>
      </c>
      <c r="G26" s="24" t="n">
        <v>18.67</v>
      </c>
      <c r="H26" s="24" t="n">
        <v>58</v>
      </c>
      <c r="I26" s="23" t="b">
        <v>0</v>
      </c>
      <c r="J26" s="6" t="n"/>
    </row>
    <row r="27">
      <c r="A27" s="24" t="n">
        <v>24</v>
      </c>
      <c r="B27" s="24" t="inlineStr">
        <is>
          <t>2011-12</t>
        </is>
      </c>
      <c r="C27" s="24" t="inlineStr">
        <is>
          <t>CSE 307</t>
        </is>
      </c>
      <c r="D27" s="24" t="inlineStr">
        <is>
          <t>4(d)</t>
        </is>
      </c>
      <c r="E27" s="6" t="inlineStr">
        <is>
          <t>Bar vs column, radar and scatter charts</t>
        </is>
      </c>
      <c r="F27" s="6" t="inlineStr">
        <is>
          <t>IS design (outputs)</t>
        </is>
      </c>
      <c r="G27" s="24" t="n">
        <v>8</v>
      </c>
      <c r="H27" s="24" t="n">
        <v>58</v>
      </c>
      <c r="I27" s="23" t="b">
        <v>0</v>
      </c>
      <c r="J27" s="6" t="n"/>
    </row>
    <row r="28">
      <c r="A28" s="24" t="n">
        <v>25</v>
      </c>
      <c r="B28" s="24" t="inlineStr">
        <is>
          <t>2010-11</t>
        </is>
      </c>
      <c r="C28" s="24" t="inlineStr">
        <is>
          <t>CSE 307</t>
        </is>
      </c>
      <c r="D28" s="24" t="inlineStr">
        <is>
          <t>1(c)</t>
        </is>
      </c>
      <c r="E28" s="6" t="inlineStr">
        <is>
          <t>Activity diagram: making a cup of tea</t>
        </is>
      </c>
      <c r="F28" s="6" t="inlineStr">
        <is>
          <t>Activity diagram</t>
        </is>
      </c>
      <c r="G28" s="24" t="n">
        <v>10</v>
      </c>
      <c r="H28" s="24" t="n">
        <v>64</v>
      </c>
      <c r="I28" s="23" t="b">
        <v>0</v>
      </c>
      <c r="J28" s="6" t="n"/>
    </row>
    <row r="29">
      <c r="A29" s="24" t="n">
        <v>26</v>
      </c>
      <c r="B29" s="24" t="inlineStr">
        <is>
          <t>2010-11</t>
        </is>
      </c>
      <c r="C29" s="24" t="inlineStr">
        <is>
          <t>CSE 307</t>
        </is>
      </c>
      <c r="D29" s="24" t="inlineStr">
        <is>
          <t>1(d)</t>
        </is>
      </c>
      <c r="E29" s="6" t="inlineStr">
        <is>
          <t>Simplified decision table</t>
        </is>
      </c>
      <c r="F29" s="6" t="inlineStr">
        <is>
          <t>Decision table</t>
        </is>
      </c>
      <c r="G29" s="24" t="n">
        <v>4</v>
      </c>
      <c r="H29" s="24" t="inlineStr">
        <is>
          <t>64–65</t>
        </is>
      </c>
      <c r="I29" s="23" t="b">
        <v>0</v>
      </c>
      <c r="J29" s="6" t="n"/>
    </row>
    <row r="30">
      <c r="A30" s="24" t="n">
        <v>27</v>
      </c>
      <c r="B30" s="24" t="inlineStr">
        <is>
          <t>2010-11</t>
        </is>
      </c>
      <c r="C30" s="24" t="inlineStr">
        <is>
          <t>CSE 307</t>
        </is>
      </c>
      <c r="D30" s="24" t="inlineStr">
        <is>
          <t>2(d)</t>
        </is>
      </c>
      <c r="E30" s="6" t="inlineStr">
        <is>
          <t>PV of $1,000 at 10 %; ROI vs payback</t>
        </is>
      </c>
      <c r="F30" s="6" t="inlineStr">
        <is>
          <t>Cost–benefit (payback / ROI)</t>
        </is>
      </c>
      <c r="G30" s="24" t="n">
        <v>14</v>
      </c>
      <c r="H30" s="24" t="n">
        <v>65</v>
      </c>
      <c r="I30" s="23" t="b">
        <v>0</v>
      </c>
      <c r="J30" s="6" t="n"/>
    </row>
    <row r="31">
      <c r="A31" s="24" t="n">
        <v>28</v>
      </c>
      <c r="B31" s="24" t="inlineStr">
        <is>
          <t>2010-11</t>
        </is>
      </c>
      <c r="C31" s="24" t="inlineStr">
        <is>
          <t>CSE 307</t>
        </is>
      </c>
      <c r="D31" s="24" t="inlineStr">
        <is>
          <t>3(a)</t>
        </is>
      </c>
      <c r="E31" s="6" t="inlineStr">
        <is>
          <t>Blood Bank DFD</t>
        </is>
      </c>
      <c r="F31" s="6" t="inlineStr">
        <is>
          <t>DFD</t>
        </is>
      </c>
      <c r="G31" s="24" t="n">
        <v>12.67</v>
      </c>
      <c r="H31" s="24" t="n">
        <v>66</v>
      </c>
      <c r="I31" s="23" t="b">
        <v>0</v>
      </c>
      <c r="J31" s="6" t="n"/>
    </row>
    <row r="32">
      <c r="A32" s="24" t="n">
        <v>29</v>
      </c>
      <c r="B32" s="24" t="inlineStr">
        <is>
          <t>2010-11</t>
        </is>
      </c>
      <c r="C32" s="24" t="inlineStr">
        <is>
          <t>CSE 307</t>
        </is>
      </c>
      <c r="D32" s="24" t="inlineStr">
        <is>
          <t>3(b)</t>
        </is>
      </c>
      <c r="E32" s="6" t="inlineStr">
        <is>
          <t>Define reports, turnaround document, 2/3-tier, file-server, agile</t>
        </is>
      </c>
      <c r="F32" s="6" t="inlineStr">
        <is>
          <t>IS design</t>
        </is>
      </c>
      <c r="G32" s="24" t="n">
        <v>24</v>
      </c>
      <c r="H32" s="24" t="n">
        <v>66</v>
      </c>
      <c r="I32" s="23" t="b">
        <v>0</v>
      </c>
      <c r="J32" s="6" t="n"/>
    </row>
    <row r="33">
      <c r="A33" s="24" t="n">
        <v>30</v>
      </c>
      <c r="B33" s="24" t="inlineStr">
        <is>
          <t>2010-11</t>
        </is>
      </c>
      <c r="C33" s="24" t="inlineStr">
        <is>
          <t>CSE 307</t>
        </is>
      </c>
      <c r="D33" s="24" t="inlineStr">
        <is>
          <t>4(b)</t>
        </is>
      </c>
      <c r="E33" s="6" t="inlineStr">
        <is>
          <t>Input and output design guidelines</t>
        </is>
      </c>
      <c r="F33" s="6" t="inlineStr">
        <is>
          <t>IS design (I/O)</t>
        </is>
      </c>
      <c r="G33" s="24" t="n">
        <v>10</v>
      </c>
      <c r="H33" s="24" t="n">
        <v>67</v>
      </c>
      <c r="I33" s="23" t="b">
        <v>0</v>
      </c>
      <c r="J33" s="6" t="n"/>
    </row>
  </sheetData>
  <autoFilter ref="A3:J33"/>
  <conditionalFormatting sqref="A4:J33">
    <cfRule type="expression" priority="1" dxfId="3">
      <formula>$I4=TRUE</formula>
    </cfRule>
  </conditionalFormatting>
  <dataValidations count="1">
    <dataValidation sqref="I4:I33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2026-10-16T20:53:43Z</dcterms:created>
  <dcterms:modified xmlns:dcterms="http://purl.org/dc/terms/" xmlns:xsi="http://www.w3.org/2001/XMLSchema-instance" xsi:type="dcterms:W3CDTF">2026-10-16T20:53:43Z</dcterms:modified>
</cp:coreProperties>
</file>